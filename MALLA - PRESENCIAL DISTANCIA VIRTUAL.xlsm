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os\mallas\"/>
    </mc:Choice>
  </mc:AlternateContent>
  <xr:revisionPtr revIDLastSave="0" documentId="13_ncr:1_{FCE61040-5072-42DD-BCF9-8F9840E6009A}" xr6:coauthVersionLast="47" xr6:coauthVersionMax="47" xr10:uidLastSave="{00000000-0000-0000-0000-000000000000}"/>
  <bookViews>
    <workbookView xWindow="-108" yWindow="-108" windowWidth="23256" windowHeight="12456" tabRatio="875" xr2:uid="{8DE70E1D-F9CF-4F8F-86BD-C60736AA8D2B}"/>
  </bookViews>
  <sheets>
    <sheet name="MENU" sheetId="9" r:id="rId1"/>
    <sheet name="ASIGNACIÓN ASIGNATURAS" sheetId="2" r:id="rId2"/>
    <sheet name="PLANTILLA MALLA PREGRADO" sheetId="4" r:id="rId3"/>
    <sheet name="DATA" sheetId="12" state="hidden" r:id="rId4"/>
    <sheet name="MAPEO MALLA" sheetId="5" state="hidden" r:id="rId5"/>
    <sheet name="PLANTILLA MALLA POSGRADO" sheetId="14" r:id="rId6"/>
    <sheet name="MAPEO PLAN DE ESTUDIO" sheetId="11" state="hidden" r:id="rId7"/>
    <sheet name="PLAN DE ESTUDIO" sheetId="10" r:id="rId8"/>
    <sheet name="ASIGNATURAS" sheetId="13" r:id="rId9"/>
  </sheets>
  <functionGroups builtInGroupCount="19"/>
  <definedNames>
    <definedName name="_xlnm._FilterDatabase" localSheetId="8" hidden="1">ASIGNATURAS!$A$1:$S$300</definedName>
    <definedName name="_xlnm._FilterDatabase" localSheetId="3" hidden="1">DATA!$AB$3:$AK$42</definedName>
    <definedName name="_xlnm._FilterDatabase" localSheetId="6" hidden="1">'MAPEO PLAN DE ESTUDIO'!$A$1:$G$299</definedName>
    <definedName name="_xleta.EXP" hidden="1" xlm="1">#NAME?</definedName>
    <definedName name="_xleta.IF" hidden="1" xlm="1">#NAME?</definedName>
    <definedName name="_xleta.XLOOKUP" hidden="1" xlm="1">#NAME?</definedName>
    <definedName name="ASIGNATURA">DATA!$F$12</definedName>
    <definedName name="COMPONENTES">DATA!$D$12</definedName>
    <definedName name="NIVEL">DATA!$H$12</definedName>
    <definedName name="SEMESTRE">DATA!$B$12</definedName>
  </definedNames>
  <calcPr calcId="191028"/>
  <pivotCaches>
    <pivotCache cacheId="4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00" i="13" l="1"/>
  <c r="R300" i="13"/>
  <c r="Q300" i="13"/>
  <c r="P300" i="13"/>
  <c r="O300" i="13"/>
  <c r="N300" i="13"/>
  <c r="M300" i="13"/>
  <c r="L300" i="13"/>
  <c r="K300" i="13"/>
  <c r="G300" i="13"/>
  <c r="F300" i="13"/>
  <c r="E300" i="13"/>
  <c r="D300" i="13"/>
  <c r="C300" i="13"/>
  <c r="B300" i="13"/>
  <c r="A300" i="13"/>
  <c r="S299" i="13"/>
  <c r="R299" i="13"/>
  <c r="Q299" i="13"/>
  <c r="P299" i="13"/>
  <c r="O299" i="13"/>
  <c r="N299" i="13"/>
  <c r="M299" i="13"/>
  <c r="L299" i="13"/>
  <c r="K299" i="13"/>
  <c r="G299" i="13"/>
  <c r="F299" i="13"/>
  <c r="E299" i="13"/>
  <c r="D299" i="13"/>
  <c r="C299" i="13"/>
  <c r="B299" i="13"/>
  <c r="A299" i="13"/>
  <c r="S298" i="13"/>
  <c r="R298" i="13"/>
  <c r="Q298" i="13"/>
  <c r="P298" i="13"/>
  <c r="O298" i="13"/>
  <c r="N298" i="13"/>
  <c r="M298" i="13"/>
  <c r="L298" i="13"/>
  <c r="K298" i="13"/>
  <c r="G298" i="13"/>
  <c r="F298" i="13"/>
  <c r="E298" i="13"/>
  <c r="D298" i="13"/>
  <c r="C298" i="13"/>
  <c r="B298" i="13"/>
  <c r="A298" i="13"/>
  <c r="S297" i="13"/>
  <c r="R297" i="13"/>
  <c r="Q297" i="13"/>
  <c r="P297" i="13"/>
  <c r="O297" i="13"/>
  <c r="N297" i="13"/>
  <c r="M297" i="13"/>
  <c r="L297" i="13"/>
  <c r="K297" i="13"/>
  <c r="G297" i="13"/>
  <c r="F297" i="13"/>
  <c r="E297" i="13"/>
  <c r="D297" i="13"/>
  <c r="C297" i="13"/>
  <c r="B297" i="13"/>
  <c r="A297" i="13"/>
  <c r="S296" i="13"/>
  <c r="R296" i="13"/>
  <c r="Q296" i="13"/>
  <c r="P296" i="13"/>
  <c r="O296" i="13"/>
  <c r="N296" i="13"/>
  <c r="M296" i="13"/>
  <c r="L296" i="13"/>
  <c r="K296" i="13"/>
  <c r="G296" i="13"/>
  <c r="F296" i="13"/>
  <c r="E296" i="13"/>
  <c r="D296" i="13"/>
  <c r="C296" i="13"/>
  <c r="B296" i="13"/>
  <c r="A296" i="13"/>
  <c r="S295" i="13"/>
  <c r="R295" i="13"/>
  <c r="Q295" i="13"/>
  <c r="P295" i="13"/>
  <c r="O295" i="13"/>
  <c r="N295" i="13"/>
  <c r="M295" i="13"/>
  <c r="L295" i="13"/>
  <c r="K295" i="13"/>
  <c r="G295" i="13"/>
  <c r="F295" i="13"/>
  <c r="E295" i="13"/>
  <c r="D295" i="13"/>
  <c r="C295" i="13"/>
  <c r="B295" i="13"/>
  <c r="A295" i="13"/>
  <c r="S294" i="13"/>
  <c r="R294" i="13"/>
  <c r="Q294" i="13"/>
  <c r="P294" i="13"/>
  <c r="O294" i="13"/>
  <c r="N294" i="13"/>
  <c r="M294" i="13"/>
  <c r="L294" i="13"/>
  <c r="K294" i="13"/>
  <c r="G294" i="13"/>
  <c r="F294" i="13"/>
  <c r="E294" i="13"/>
  <c r="D294" i="13"/>
  <c r="C294" i="13"/>
  <c r="B294" i="13"/>
  <c r="A294" i="13"/>
  <c r="S293" i="13"/>
  <c r="R293" i="13"/>
  <c r="Q293" i="13"/>
  <c r="P293" i="13"/>
  <c r="O293" i="13"/>
  <c r="N293" i="13"/>
  <c r="M293" i="13"/>
  <c r="L293" i="13"/>
  <c r="K293" i="13"/>
  <c r="G293" i="13"/>
  <c r="F293" i="13"/>
  <c r="E293" i="13"/>
  <c r="D293" i="13"/>
  <c r="C293" i="13"/>
  <c r="B293" i="13"/>
  <c r="A293" i="13"/>
  <c r="S292" i="13"/>
  <c r="R292" i="13"/>
  <c r="Q292" i="13"/>
  <c r="P292" i="13"/>
  <c r="O292" i="13"/>
  <c r="N292" i="13"/>
  <c r="M292" i="13"/>
  <c r="L292" i="13"/>
  <c r="K292" i="13"/>
  <c r="G292" i="13"/>
  <c r="F292" i="13"/>
  <c r="E292" i="13"/>
  <c r="D292" i="13"/>
  <c r="C292" i="13"/>
  <c r="B292" i="13"/>
  <c r="A292" i="13"/>
  <c r="S291" i="13"/>
  <c r="R291" i="13"/>
  <c r="Q291" i="13"/>
  <c r="P291" i="13"/>
  <c r="O291" i="13"/>
  <c r="N291" i="13"/>
  <c r="M291" i="13"/>
  <c r="L291" i="13"/>
  <c r="K291" i="13"/>
  <c r="G291" i="13"/>
  <c r="F291" i="13"/>
  <c r="E291" i="13"/>
  <c r="D291" i="13"/>
  <c r="C291" i="13"/>
  <c r="B291" i="13"/>
  <c r="A291" i="13"/>
  <c r="S290" i="13"/>
  <c r="R290" i="13"/>
  <c r="Q290" i="13"/>
  <c r="P290" i="13"/>
  <c r="O290" i="13"/>
  <c r="N290" i="13"/>
  <c r="M290" i="13"/>
  <c r="L290" i="13"/>
  <c r="K290" i="13"/>
  <c r="G290" i="13"/>
  <c r="F290" i="13"/>
  <c r="E290" i="13"/>
  <c r="D290" i="13"/>
  <c r="C290" i="13"/>
  <c r="B290" i="13"/>
  <c r="A290" i="13"/>
  <c r="S289" i="13"/>
  <c r="R289" i="13"/>
  <c r="Q289" i="13"/>
  <c r="P289" i="13"/>
  <c r="O289" i="13"/>
  <c r="N289" i="13"/>
  <c r="M289" i="13"/>
  <c r="L289" i="13"/>
  <c r="K289" i="13"/>
  <c r="G289" i="13"/>
  <c r="F289" i="13"/>
  <c r="E289" i="13"/>
  <c r="D289" i="13"/>
  <c r="C289" i="13"/>
  <c r="B289" i="13"/>
  <c r="A289" i="13"/>
  <c r="S288" i="13"/>
  <c r="R288" i="13"/>
  <c r="Q288" i="13"/>
  <c r="P288" i="13"/>
  <c r="O288" i="13"/>
  <c r="N288" i="13"/>
  <c r="M288" i="13"/>
  <c r="L288" i="13"/>
  <c r="K288" i="13"/>
  <c r="G288" i="13"/>
  <c r="F288" i="13"/>
  <c r="E288" i="13"/>
  <c r="D288" i="13"/>
  <c r="C288" i="13"/>
  <c r="B288" i="13"/>
  <c r="A288" i="13"/>
  <c r="S287" i="13"/>
  <c r="R287" i="13"/>
  <c r="Q287" i="13"/>
  <c r="P287" i="13"/>
  <c r="O287" i="13"/>
  <c r="N287" i="13"/>
  <c r="M287" i="13"/>
  <c r="L287" i="13"/>
  <c r="K287" i="13"/>
  <c r="G287" i="13"/>
  <c r="F287" i="13"/>
  <c r="E287" i="13"/>
  <c r="D287" i="13"/>
  <c r="C287" i="13"/>
  <c r="B287" i="13"/>
  <c r="A287" i="13"/>
  <c r="S286" i="13"/>
  <c r="R286" i="13"/>
  <c r="Q286" i="13"/>
  <c r="P286" i="13"/>
  <c r="O286" i="13"/>
  <c r="N286" i="13"/>
  <c r="M286" i="13"/>
  <c r="L286" i="13"/>
  <c r="K286" i="13"/>
  <c r="G286" i="13"/>
  <c r="F286" i="13"/>
  <c r="E286" i="13"/>
  <c r="D286" i="13"/>
  <c r="C286" i="13"/>
  <c r="B286" i="13"/>
  <c r="A286" i="13"/>
  <c r="S285" i="13"/>
  <c r="R285" i="13"/>
  <c r="Q285" i="13"/>
  <c r="P285" i="13"/>
  <c r="O285" i="13"/>
  <c r="N285" i="13"/>
  <c r="M285" i="13"/>
  <c r="L285" i="13"/>
  <c r="K285" i="13"/>
  <c r="G285" i="13"/>
  <c r="F285" i="13"/>
  <c r="E285" i="13"/>
  <c r="D285" i="13"/>
  <c r="C285" i="13"/>
  <c r="B285" i="13"/>
  <c r="A285" i="13"/>
  <c r="S284" i="13"/>
  <c r="R284" i="13"/>
  <c r="Q284" i="13"/>
  <c r="P284" i="13"/>
  <c r="O284" i="13"/>
  <c r="N284" i="13"/>
  <c r="M284" i="13"/>
  <c r="L284" i="13"/>
  <c r="K284" i="13"/>
  <c r="G284" i="13"/>
  <c r="F284" i="13"/>
  <c r="E284" i="13"/>
  <c r="D284" i="13"/>
  <c r="C284" i="13"/>
  <c r="B284" i="13"/>
  <c r="A284" i="13"/>
  <c r="S283" i="13"/>
  <c r="R283" i="13"/>
  <c r="Q283" i="13"/>
  <c r="P283" i="13"/>
  <c r="O283" i="13"/>
  <c r="N283" i="13"/>
  <c r="M283" i="13"/>
  <c r="L283" i="13"/>
  <c r="K283" i="13"/>
  <c r="G283" i="13"/>
  <c r="F283" i="13"/>
  <c r="E283" i="13"/>
  <c r="D283" i="13"/>
  <c r="C283" i="13"/>
  <c r="B283" i="13"/>
  <c r="A283" i="13"/>
  <c r="S282" i="13"/>
  <c r="R282" i="13"/>
  <c r="Q282" i="13"/>
  <c r="P282" i="13"/>
  <c r="O282" i="13"/>
  <c r="N282" i="13"/>
  <c r="M282" i="13"/>
  <c r="L282" i="13"/>
  <c r="K282" i="13"/>
  <c r="G282" i="13"/>
  <c r="F282" i="13"/>
  <c r="E282" i="13"/>
  <c r="D282" i="13"/>
  <c r="C282" i="13"/>
  <c r="B282" i="13"/>
  <c r="A282" i="13"/>
  <c r="S281" i="13"/>
  <c r="R281" i="13"/>
  <c r="Q281" i="13"/>
  <c r="P281" i="13"/>
  <c r="O281" i="13"/>
  <c r="N281" i="13"/>
  <c r="M281" i="13"/>
  <c r="L281" i="13"/>
  <c r="K281" i="13"/>
  <c r="G281" i="13"/>
  <c r="F281" i="13"/>
  <c r="E281" i="13"/>
  <c r="D281" i="13"/>
  <c r="C281" i="13"/>
  <c r="B281" i="13"/>
  <c r="A281" i="13"/>
  <c r="S280" i="13"/>
  <c r="R280" i="13"/>
  <c r="Q280" i="13"/>
  <c r="P280" i="13"/>
  <c r="O280" i="13"/>
  <c r="N280" i="13"/>
  <c r="M280" i="13"/>
  <c r="L280" i="13"/>
  <c r="K280" i="13"/>
  <c r="G280" i="13"/>
  <c r="F280" i="13"/>
  <c r="E280" i="13"/>
  <c r="D280" i="13"/>
  <c r="C280" i="13"/>
  <c r="B280" i="13"/>
  <c r="A280" i="13"/>
  <c r="S279" i="13"/>
  <c r="R279" i="13"/>
  <c r="Q279" i="13"/>
  <c r="P279" i="13"/>
  <c r="O279" i="13"/>
  <c r="N279" i="13"/>
  <c r="M279" i="13"/>
  <c r="L279" i="13"/>
  <c r="K279" i="13"/>
  <c r="G279" i="13"/>
  <c r="F279" i="13"/>
  <c r="E279" i="13"/>
  <c r="D279" i="13"/>
  <c r="C279" i="13"/>
  <c r="B279" i="13"/>
  <c r="A279" i="13"/>
  <c r="S278" i="13"/>
  <c r="R278" i="13"/>
  <c r="Q278" i="13"/>
  <c r="P278" i="13"/>
  <c r="O278" i="13"/>
  <c r="N278" i="13"/>
  <c r="M278" i="13"/>
  <c r="L278" i="13"/>
  <c r="K278" i="13"/>
  <c r="G278" i="13"/>
  <c r="F278" i="13"/>
  <c r="E278" i="13"/>
  <c r="D278" i="13"/>
  <c r="C278" i="13"/>
  <c r="B278" i="13"/>
  <c r="A278" i="13"/>
  <c r="S277" i="13"/>
  <c r="R277" i="13"/>
  <c r="Q277" i="13"/>
  <c r="P277" i="13"/>
  <c r="O277" i="13"/>
  <c r="N277" i="13"/>
  <c r="M277" i="13"/>
  <c r="L277" i="13"/>
  <c r="K277" i="13"/>
  <c r="G277" i="13"/>
  <c r="F277" i="13"/>
  <c r="E277" i="13"/>
  <c r="D277" i="13"/>
  <c r="C277" i="13"/>
  <c r="B277" i="13"/>
  <c r="A277" i="13"/>
  <c r="S276" i="13"/>
  <c r="R276" i="13"/>
  <c r="Q276" i="13"/>
  <c r="P276" i="13"/>
  <c r="O276" i="13"/>
  <c r="N276" i="13"/>
  <c r="M276" i="13"/>
  <c r="L276" i="13"/>
  <c r="K276" i="13"/>
  <c r="G276" i="13"/>
  <c r="F276" i="13"/>
  <c r="E276" i="13"/>
  <c r="D276" i="13"/>
  <c r="C276" i="13"/>
  <c r="B276" i="13"/>
  <c r="A276" i="13"/>
  <c r="S275" i="13"/>
  <c r="R275" i="13"/>
  <c r="Q275" i="13"/>
  <c r="P275" i="13"/>
  <c r="O275" i="13"/>
  <c r="N275" i="13"/>
  <c r="M275" i="13"/>
  <c r="L275" i="13"/>
  <c r="K275" i="13"/>
  <c r="G275" i="13"/>
  <c r="F275" i="13"/>
  <c r="E275" i="13"/>
  <c r="D275" i="13"/>
  <c r="C275" i="13"/>
  <c r="B275" i="13"/>
  <c r="A275" i="13"/>
  <c r="S274" i="13"/>
  <c r="R274" i="13"/>
  <c r="Q274" i="13"/>
  <c r="P274" i="13"/>
  <c r="O274" i="13"/>
  <c r="N274" i="13"/>
  <c r="M274" i="13"/>
  <c r="L274" i="13"/>
  <c r="K274" i="13"/>
  <c r="G274" i="13"/>
  <c r="F274" i="13"/>
  <c r="E274" i="13"/>
  <c r="D274" i="13"/>
  <c r="C274" i="13"/>
  <c r="B274" i="13"/>
  <c r="A274" i="13"/>
  <c r="S273" i="13"/>
  <c r="R273" i="13"/>
  <c r="Q273" i="13"/>
  <c r="P273" i="13"/>
  <c r="O273" i="13"/>
  <c r="N273" i="13"/>
  <c r="M273" i="13"/>
  <c r="L273" i="13"/>
  <c r="K273" i="13"/>
  <c r="G273" i="13"/>
  <c r="F273" i="13"/>
  <c r="E273" i="13"/>
  <c r="D273" i="13"/>
  <c r="C273" i="13"/>
  <c r="B273" i="13"/>
  <c r="A273" i="13"/>
  <c r="S272" i="13"/>
  <c r="R272" i="13"/>
  <c r="Q272" i="13"/>
  <c r="P272" i="13"/>
  <c r="O272" i="13"/>
  <c r="N272" i="13"/>
  <c r="M272" i="13"/>
  <c r="L272" i="13"/>
  <c r="K272" i="13"/>
  <c r="G272" i="13"/>
  <c r="F272" i="13"/>
  <c r="E272" i="13"/>
  <c r="D272" i="13"/>
  <c r="C272" i="13"/>
  <c r="B272" i="13"/>
  <c r="A272" i="13"/>
  <c r="S271" i="13"/>
  <c r="R271" i="13"/>
  <c r="Q271" i="13"/>
  <c r="P271" i="13"/>
  <c r="O271" i="13"/>
  <c r="N271" i="13"/>
  <c r="M271" i="13"/>
  <c r="L271" i="13"/>
  <c r="K271" i="13"/>
  <c r="G271" i="13"/>
  <c r="F271" i="13"/>
  <c r="E271" i="13"/>
  <c r="D271" i="13"/>
  <c r="C271" i="13"/>
  <c r="B271" i="13"/>
  <c r="A271" i="13"/>
  <c r="S270" i="13"/>
  <c r="R270" i="13"/>
  <c r="Q270" i="13"/>
  <c r="P270" i="13"/>
  <c r="O270" i="13"/>
  <c r="N270" i="13"/>
  <c r="M270" i="13"/>
  <c r="L270" i="13"/>
  <c r="K270" i="13"/>
  <c r="G270" i="13"/>
  <c r="F270" i="13"/>
  <c r="E270" i="13"/>
  <c r="D270" i="13"/>
  <c r="C270" i="13"/>
  <c r="B270" i="13"/>
  <c r="A270" i="13"/>
  <c r="S269" i="13"/>
  <c r="R269" i="13"/>
  <c r="Q269" i="13"/>
  <c r="P269" i="13"/>
  <c r="O269" i="13"/>
  <c r="N269" i="13"/>
  <c r="M269" i="13"/>
  <c r="L269" i="13"/>
  <c r="K269" i="13"/>
  <c r="G269" i="13"/>
  <c r="F269" i="13"/>
  <c r="E269" i="13"/>
  <c r="D269" i="13"/>
  <c r="C269" i="13"/>
  <c r="B269" i="13"/>
  <c r="A269" i="13"/>
  <c r="S268" i="13"/>
  <c r="R268" i="13"/>
  <c r="Q268" i="13"/>
  <c r="P268" i="13"/>
  <c r="O268" i="13"/>
  <c r="N268" i="13"/>
  <c r="M268" i="13"/>
  <c r="L268" i="13"/>
  <c r="K268" i="13"/>
  <c r="G268" i="13"/>
  <c r="F268" i="13"/>
  <c r="E268" i="13"/>
  <c r="D268" i="13"/>
  <c r="C268" i="13"/>
  <c r="B268" i="13"/>
  <c r="A268" i="13"/>
  <c r="S267" i="13"/>
  <c r="R267" i="13"/>
  <c r="Q267" i="13"/>
  <c r="P267" i="13"/>
  <c r="O267" i="13"/>
  <c r="N267" i="13"/>
  <c r="M267" i="13"/>
  <c r="L267" i="13"/>
  <c r="K267" i="13"/>
  <c r="G267" i="13"/>
  <c r="F267" i="13"/>
  <c r="E267" i="13"/>
  <c r="D267" i="13"/>
  <c r="C267" i="13"/>
  <c r="B267" i="13"/>
  <c r="A267" i="13"/>
  <c r="S266" i="13"/>
  <c r="R266" i="13"/>
  <c r="Q266" i="13"/>
  <c r="P266" i="13"/>
  <c r="O266" i="13"/>
  <c r="N266" i="13"/>
  <c r="M266" i="13"/>
  <c r="L266" i="13"/>
  <c r="K266" i="13"/>
  <c r="G266" i="13"/>
  <c r="F266" i="13"/>
  <c r="E266" i="13"/>
  <c r="D266" i="13"/>
  <c r="C266" i="13"/>
  <c r="B266" i="13"/>
  <c r="A266" i="13"/>
  <c r="S265" i="13"/>
  <c r="R265" i="13"/>
  <c r="Q265" i="13"/>
  <c r="P265" i="13"/>
  <c r="O265" i="13"/>
  <c r="N265" i="13"/>
  <c r="M265" i="13"/>
  <c r="L265" i="13"/>
  <c r="K265" i="13"/>
  <c r="G265" i="13"/>
  <c r="F265" i="13"/>
  <c r="E265" i="13"/>
  <c r="D265" i="13"/>
  <c r="C265" i="13"/>
  <c r="B265" i="13"/>
  <c r="A265" i="13"/>
  <c r="S264" i="13"/>
  <c r="R264" i="13"/>
  <c r="Q264" i="13"/>
  <c r="P264" i="13"/>
  <c r="O264" i="13"/>
  <c r="N264" i="13"/>
  <c r="M264" i="13"/>
  <c r="L264" i="13"/>
  <c r="K264" i="13"/>
  <c r="G264" i="13"/>
  <c r="F264" i="13"/>
  <c r="E264" i="13"/>
  <c r="D264" i="13"/>
  <c r="C264" i="13"/>
  <c r="B264" i="13"/>
  <c r="A264" i="13"/>
  <c r="S263" i="13"/>
  <c r="R263" i="13"/>
  <c r="Q263" i="13"/>
  <c r="P263" i="13"/>
  <c r="O263" i="13"/>
  <c r="N263" i="13"/>
  <c r="M263" i="13"/>
  <c r="L263" i="13"/>
  <c r="K263" i="13"/>
  <c r="G263" i="13"/>
  <c r="F263" i="13"/>
  <c r="E263" i="13"/>
  <c r="D263" i="13"/>
  <c r="C263" i="13"/>
  <c r="B263" i="13"/>
  <c r="A263" i="13"/>
  <c r="S262" i="13"/>
  <c r="R262" i="13"/>
  <c r="Q262" i="13"/>
  <c r="P262" i="13"/>
  <c r="O262" i="13"/>
  <c r="N262" i="13"/>
  <c r="M262" i="13"/>
  <c r="L262" i="13"/>
  <c r="K262" i="13"/>
  <c r="G262" i="13"/>
  <c r="F262" i="13"/>
  <c r="E262" i="13"/>
  <c r="D262" i="13"/>
  <c r="C262" i="13"/>
  <c r="B262" i="13"/>
  <c r="A262" i="13"/>
  <c r="S261" i="13"/>
  <c r="R261" i="13"/>
  <c r="Q261" i="13"/>
  <c r="P261" i="13"/>
  <c r="O261" i="13"/>
  <c r="N261" i="13"/>
  <c r="M261" i="13"/>
  <c r="L261" i="13"/>
  <c r="K261" i="13"/>
  <c r="G261" i="13"/>
  <c r="F261" i="13"/>
  <c r="E261" i="13"/>
  <c r="D261" i="13"/>
  <c r="C261" i="13"/>
  <c r="B261" i="13"/>
  <c r="A261" i="13"/>
  <c r="S260" i="13"/>
  <c r="R260" i="13"/>
  <c r="Q260" i="13"/>
  <c r="P260" i="13"/>
  <c r="O260" i="13"/>
  <c r="N260" i="13"/>
  <c r="M260" i="13"/>
  <c r="L260" i="13"/>
  <c r="K260" i="13"/>
  <c r="G260" i="13"/>
  <c r="F260" i="13"/>
  <c r="E260" i="13"/>
  <c r="D260" i="13"/>
  <c r="C260" i="13"/>
  <c r="B260" i="13"/>
  <c r="A260" i="13"/>
  <c r="S259" i="13"/>
  <c r="R259" i="13"/>
  <c r="Q259" i="13"/>
  <c r="P259" i="13"/>
  <c r="O259" i="13"/>
  <c r="N259" i="13"/>
  <c r="M259" i="13"/>
  <c r="L259" i="13"/>
  <c r="K259" i="13"/>
  <c r="G259" i="13"/>
  <c r="F259" i="13"/>
  <c r="E259" i="13"/>
  <c r="D259" i="13"/>
  <c r="C259" i="13"/>
  <c r="B259" i="13"/>
  <c r="A259" i="13"/>
  <c r="S258" i="13"/>
  <c r="R258" i="13"/>
  <c r="Q258" i="13"/>
  <c r="P258" i="13"/>
  <c r="O258" i="13"/>
  <c r="N258" i="13"/>
  <c r="M258" i="13"/>
  <c r="L258" i="13"/>
  <c r="K258" i="13"/>
  <c r="G258" i="13"/>
  <c r="F258" i="13"/>
  <c r="E258" i="13"/>
  <c r="D258" i="13"/>
  <c r="C258" i="13"/>
  <c r="B258" i="13"/>
  <c r="A258" i="13"/>
  <c r="S257" i="13"/>
  <c r="R257" i="13"/>
  <c r="Q257" i="13"/>
  <c r="P257" i="13"/>
  <c r="O257" i="13"/>
  <c r="N257" i="13"/>
  <c r="M257" i="13"/>
  <c r="L257" i="13"/>
  <c r="K257" i="13"/>
  <c r="G257" i="13"/>
  <c r="F257" i="13"/>
  <c r="E257" i="13"/>
  <c r="D257" i="13"/>
  <c r="C257" i="13"/>
  <c r="B257" i="13"/>
  <c r="A257" i="13"/>
  <c r="S256" i="13"/>
  <c r="R256" i="13"/>
  <c r="Q256" i="13"/>
  <c r="P256" i="13"/>
  <c r="O256" i="13"/>
  <c r="N256" i="13"/>
  <c r="M256" i="13"/>
  <c r="L256" i="13"/>
  <c r="K256" i="13"/>
  <c r="G256" i="13"/>
  <c r="F256" i="13"/>
  <c r="E256" i="13"/>
  <c r="D256" i="13"/>
  <c r="C256" i="13"/>
  <c r="B256" i="13"/>
  <c r="A256" i="13"/>
  <c r="S255" i="13"/>
  <c r="R255" i="13"/>
  <c r="Q255" i="13"/>
  <c r="P255" i="13"/>
  <c r="O255" i="13"/>
  <c r="N255" i="13"/>
  <c r="M255" i="13"/>
  <c r="L255" i="13"/>
  <c r="K255" i="13"/>
  <c r="G255" i="13"/>
  <c r="F255" i="13"/>
  <c r="E255" i="13"/>
  <c r="D255" i="13"/>
  <c r="C255" i="13"/>
  <c r="B255" i="13"/>
  <c r="A255" i="13"/>
  <c r="S254" i="13"/>
  <c r="R254" i="13"/>
  <c r="Q254" i="13"/>
  <c r="P254" i="13"/>
  <c r="O254" i="13"/>
  <c r="N254" i="13"/>
  <c r="M254" i="13"/>
  <c r="L254" i="13"/>
  <c r="K254" i="13"/>
  <c r="G254" i="13"/>
  <c r="F254" i="13"/>
  <c r="E254" i="13"/>
  <c r="D254" i="13"/>
  <c r="C254" i="13"/>
  <c r="B254" i="13"/>
  <c r="A254" i="13"/>
  <c r="S253" i="13"/>
  <c r="R253" i="13"/>
  <c r="Q253" i="13"/>
  <c r="P253" i="13"/>
  <c r="O253" i="13"/>
  <c r="N253" i="13"/>
  <c r="M253" i="13"/>
  <c r="L253" i="13"/>
  <c r="K253" i="13"/>
  <c r="G253" i="13"/>
  <c r="F253" i="13"/>
  <c r="E253" i="13"/>
  <c r="D253" i="13"/>
  <c r="C253" i="13"/>
  <c r="B253" i="13"/>
  <c r="A253" i="13"/>
  <c r="S252" i="13"/>
  <c r="R252" i="13"/>
  <c r="Q252" i="13"/>
  <c r="P252" i="13"/>
  <c r="O252" i="13"/>
  <c r="N252" i="13"/>
  <c r="M252" i="13"/>
  <c r="L252" i="13"/>
  <c r="K252" i="13"/>
  <c r="G252" i="13"/>
  <c r="F252" i="13"/>
  <c r="E252" i="13"/>
  <c r="D252" i="13"/>
  <c r="C252" i="13"/>
  <c r="B252" i="13"/>
  <c r="A252" i="13"/>
  <c r="S251" i="13"/>
  <c r="R251" i="13"/>
  <c r="Q251" i="13"/>
  <c r="P251" i="13"/>
  <c r="O251" i="13"/>
  <c r="N251" i="13"/>
  <c r="M251" i="13"/>
  <c r="L251" i="13"/>
  <c r="K251" i="13"/>
  <c r="G251" i="13"/>
  <c r="F251" i="13"/>
  <c r="E251" i="13"/>
  <c r="D251" i="13"/>
  <c r="C251" i="13"/>
  <c r="B251" i="13"/>
  <c r="A251" i="13"/>
  <c r="S250" i="13"/>
  <c r="R250" i="13"/>
  <c r="Q250" i="13"/>
  <c r="P250" i="13"/>
  <c r="O250" i="13"/>
  <c r="N250" i="13"/>
  <c r="M250" i="13"/>
  <c r="L250" i="13"/>
  <c r="K250" i="13"/>
  <c r="G250" i="13"/>
  <c r="F250" i="13"/>
  <c r="E250" i="13"/>
  <c r="D250" i="13"/>
  <c r="C250" i="13"/>
  <c r="B250" i="13"/>
  <c r="A250" i="13"/>
  <c r="S249" i="13"/>
  <c r="R249" i="13"/>
  <c r="Q249" i="13"/>
  <c r="P249" i="13"/>
  <c r="O249" i="13"/>
  <c r="N249" i="13"/>
  <c r="M249" i="13"/>
  <c r="L249" i="13"/>
  <c r="K249" i="13"/>
  <c r="G249" i="13"/>
  <c r="F249" i="13"/>
  <c r="E249" i="13"/>
  <c r="D249" i="13"/>
  <c r="C249" i="13"/>
  <c r="B249" i="13"/>
  <c r="A249" i="13"/>
  <c r="S248" i="13"/>
  <c r="R248" i="13"/>
  <c r="Q248" i="13"/>
  <c r="P248" i="13"/>
  <c r="O248" i="13"/>
  <c r="N248" i="13"/>
  <c r="M248" i="13"/>
  <c r="L248" i="13"/>
  <c r="K248" i="13"/>
  <c r="G248" i="13"/>
  <c r="F248" i="13"/>
  <c r="E248" i="13"/>
  <c r="D248" i="13"/>
  <c r="C248" i="13"/>
  <c r="B248" i="13"/>
  <c r="A248" i="13"/>
  <c r="S247" i="13"/>
  <c r="R247" i="13"/>
  <c r="Q247" i="13"/>
  <c r="P247" i="13"/>
  <c r="O247" i="13"/>
  <c r="N247" i="13"/>
  <c r="M247" i="13"/>
  <c r="L247" i="13"/>
  <c r="K247" i="13"/>
  <c r="G247" i="13"/>
  <c r="F247" i="13"/>
  <c r="E247" i="13"/>
  <c r="D247" i="13"/>
  <c r="C247" i="13"/>
  <c r="B247" i="13"/>
  <c r="A247" i="13"/>
  <c r="S246" i="13"/>
  <c r="R246" i="13"/>
  <c r="Q246" i="13"/>
  <c r="P246" i="13"/>
  <c r="O246" i="13"/>
  <c r="N246" i="13"/>
  <c r="M246" i="13"/>
  <c r="L246" i="13"/>
  <c r="K246" i="13"/>
  <c r="G246" i="13"/>
  <c r="F246" i="13"/>
  <c r="E246" i="13"/>
  <c r="D246" i="13"/>
  <c r="C246" i="13"/>
  <c r="B246" i="13"/>
  <c r="A246" i="13"/>
  <c r="S245" i="13"/>
  <c r="R245" i="13"/>
  <c r="Q245" i="13"/>
  <c r="P245" i="13"/>
  <c r="O245" i="13"/>
  <c r="N245" i="13"/>
  <c r="M245" i="13"/>
  <c r="L245" i="13"/>
  <c r="K245" i="13"/>
  <c r="G245" i="13"/>
  <c r="F245" i="13"/>
  <c r="E245" i="13"/>
  <c r="D245" i="13"/>
  <c r="C245" i="13"/>
  <c r="B245" i="13"/>
  <c r="A245" i="13"/>
  <c r="S244" i="13"/>
  <c r="R244" i="13"/>
  <c r="Q244" i="13"/>
  <c r="P244" i="13"/>
  <c r="O244" i="13"/>
  <c r="N244" i="13"/>
  <c r="M244" i="13"/>
  <c r="L244" i="13"/>
  <c r="K244" i="13"/>
  <c r="G244" i="13"/>
  <c r="F244" i="13"/>
  <c r="E244" i="13"/>
  <c r="D244" i="13"/>
  <c r="C244" i="13"/>
  <c r="B244" i="13"/>
  <c r="A244" i="13"/>
  <c r="S243" i="13"/>
  <c r="R243" i="13"/>
  <c r="Q243" i="13"/>
  <c r="P243" i="13"/>
  <c r="O243" i="13"/>
  <c r="N243" i="13"/>
  <c r="M243" i="13"/>
  <c r="L243" i="13"/>
  <c r="K243" i="13"/>
  <c r="G243" i="13"/>
  <c r="F243" i="13"/>
  <c r="E243" i="13"/>
  <c r="D243" i="13"/>
  <c r="C243" i="13"/>
  <c r="B243" i="13"/>
  <c r="A243" i="13"/>
  <c r="S242" i="13"/>
  <c r="R242" i="13"/>
  <c r="Q242" i="13"/>
  <c r="P242" i="13"/>
  <c r="O242" i="13"/>
  <c r="N242" i="13"/>
  <c r="M242" i="13"/>
  <c r="L242" i="13"/>
  <c r="K242" i="13"/>
  <c r="G242" i="13"/>
  <c r="F242" i="13"/>
  <c r="E242" i="13"/>
  <c r="D242" i="13"/>
  <c r="C242" i="13"/>
  <c r="B242" i="13"/>
  <c r="A242" i="13"/>
  <c r="S241" i="13"/>
  <c r="R241" i="13"/>
  <c r="Q241" i="13"/>
  <c r="P241" i="13"/>
  <c r="O241" i="13"/>
  <c r="N241" i="13"/>
  <c r="M241" i="13"/>
  <c r="L241" i="13"/>
  <c r="K241" i="13"/>
  <c r="G241" i="13"/>
  <c r="F241" i="13"/>
  <c r="E241" i="13"/>
  <c r="D241" i="13"/>
  <c r="C241" i="13"/>
  <c r="B241" i="13"/>
  <c r="A241" i="13"/>
  <c r="S240" i="13"/>
  <c r="R240" i="13"/>
  <c r="Q240" i="13"/>
  <c r="P240" i="13"/>
  <c r="O240" i="13"/>
  <c r="N240" i="13"/>
  <c r="M240" i="13"/>
  <c r="L240" i="13"/>
  <c r="K240" i="13"/>
  <c r="G240" i="13"/>
  <c r="F240" i="13"/>
  <c r="E240" i="13"/>
  <c r="D240" i="13"/>
  <c r="C240" i="13"/>
  <c r="B240" i="13"/>
  <c r="A240" i="13"/>
  <c r="S239" i="13"/>
  <c r="R239" i="13"/>
  <c r="Q239" i="13"/>
  <c r="P239" i="13"/>
  <c r="O239" i="13"/>
  <c r="N239" i="13"/>
  <c r="M239" i="13"/>
  <c r="L239" i="13"/>
  <c r="K239" i="13"/>
  <c r="G239" i="13"/>
  <c r="F239" i="13"/>
  <c r="E239" i="13"/>
  <c r="D239" i="13"/>
  <c r="C239" i="13"/>
  <c r="B239" i="13"/>
  <c r="A239" i="13"/>
  <c r="S238" i="13"/>
  <c r="R238" i="13"/>
  <c r="Q238" i="13"/>
  <c r="P238" i="13"/>
  <c r="O238" i="13"/>
  <c r="N238" i="13"/>
  <c r="M238" i="13"/>
  <c r="L238" i="13"/>
  <c r="K238" i="13"/>
  <c r="G238" i="13"/>
  <c r="F238" i="13"/>
  <c r="E238" i="13"/>
  <c r="D238" i="13"/>
  <c r="C238" i="13"/>
  <c r="B238" i="13"/>
  <c r="A238" i="13"/>
  <c r="S237" i="13"/>
  <c r="R237" i="13"/>
  <c r="Q237" i="13"/>
  <c r="P237" i="13"/>
  <c r="O237" i="13"/>
  <c r="N237" i="13"/>
  <c r="M237" i="13"/>
  <c r="L237" i="13"/>
  <c r="K237" i="13"/>
  <c r="G237" i="13"/>
  <c r="F237" i="13"/>
  <c r="E237" i="13"/>
  <c r="D237" i="13"/>
  <c r="C237" i="13"/>
  <c r="B237" i="13"/>
  <c r="A237" i="13"/>
  <c r="S236" i="13"/>
  <c r="R236" i="13"/>
  <c r="Q236" i="13"/>
  <c r="P236" i="13"/>
  <c r="O236" i="13"/>
  <c r="N236" i="13"/>
  <c r="M236" i="13"/>
  <c r="L236" i="13"/>
  <c r="K236" i="13"/>
  <c r="G236" i="13"/>
  <c r="F236" i="13"/>
  <c r="E236" i="13"/>
  <c r="D236" i="13"/>
  <c r="C236" i="13"/>
  <c r="B236" i="13"/>
  <c r="A236" i="13"/>
  <c r="S235" i="13"/>
  <c r="R235" i="13"/>
  <c r="Q235" i="13"/>
  <c r="P235" i="13"/>
  <c r="O235" i="13"/>
  <c r="N235" i="13"/>
  <c r="M235" i="13"/>
  <c r="L235" i="13"/>
  <c r="K235" i="13"/>
  <c r="G235" i="13"/>
  <c r="F235" i="13"/>
  <c r="E235" i="13"/>
  <c r="D235" i="13"/>
  <c r="C235" i="13"/>
  <c r="B235" i="13"/>
  <c r="A235" i="13"/>
  <c r="S234" i="13"/>
  <c r="R234" i="13"/>
  <c r="Q234" i="13"/>
  <c r="P234" i="13"/>
  <c r="O234" i="13"/>
  <c r="N234" i="13"/>
  <c r="M234" i="13"/>
  <c r="L234" i="13"/>
  <c r="K234" i="13"/>
  <c r="G234" i="13"/>
  <c r="F234" i="13"/>
  <c r="E234" i="13"/>
  <c r="D234" i="13"/>
  <c r="C234" i="13"/>
  <c r="B234" i="13"/>
  <c r="A234" i="13"/>
  <c r="S233" i="13"/>
  <c r="R233" i="13"/>
  <c r="Q233" i="13"/>
  <c r="P233" i="13"/>
  <c r="O233" i="13"/>
  <c r="N233" i="13"/>
  <c r="M233" i="13"/>
  <c r="L233" i="13"/>
  <c r="K233" i="13"/>
  <c r="G233" i="13"/>
  <c r="F233" i="13"/>
  <c r="E233" i="13"/>
  <c r="D233" i="13"/>
  <c r="C233" i="13"/>
  <c r="B233" i="13"/>
  <c r="A233" i="13"/>
  <c r="S232" i="13"/>
  <c r="R232" i="13"/>
  <c r="Q232" i="13"/>
  <c r="P232" i="13"/>
  <c r="O232" i="13"/>
  <c r="N232" i="13"/>
  <c r="M232" i="13"/>
  <c r="L232" i="13"/>
  <c r="K232" i="13"/>
  <c r="G232" i="13"/>
  <c r="F232" i="13"/>
  <c r="E232" i="13"/>
  <c r="D232" i="13"/>
  <c r="C232" i="13"/>
  <c r="B232" i="13"/>
  <c r="A232" i="13"/>
  <c r="S231" i="13"/>
  <c r="R231" i="13"/>
  <c r="Q231" i="13"/>
  <c r="P231" i="13"/>
  <c r="O231" i="13"/>
  <c r="N231" i="13"/>
  <c r="M231" i="13"/>
  <c r="L231" i="13"/>
  <c r="K231" i="13"/>
  <c r="G231" i="13"/>
  <c r="F231" i="13"/>
  <c r="E231" i="13"/>
  <c r="D231" i="13"/>
  <c r="C231" i="13"/>
  <c r="B231" i="13"/>
  <c r="A231" i="13"/>
  <c r="S230" i="13"/>
  <c r="R230" i="13"/>
  <c r="Q230" i="13"/>
  <c r="P230" i="13"/>
  <c r="O230" i="13"/>
  <c r="N230" i="13"/>
  <c r="M230" i="13"/>
  <c r="L230" i="13"/>
  <c r="K230" i="13"/>
  <c r="G230" i="13"/>
  <c r="F230" i="13"/>
  <c r="E230" i="13"/>
  <c r="D230" i="13"/>
  <c r="C230" i="13"/>
  <c r="B230" i="13"/>
  <c r="A230" i="13"/>
  <c r="S229" i="13"/>
  <c r="R229" i="13"/>
  <c r="Q229" i="13"/>
  <c r="P229" i="13"/>
  <c r="O229" i="13"/>
  <c r="N229" i="13"/>
  <c r="M229" i="13"/>
  <c r="L229" i="13"/>
  <c r="K229" i="13"/>
  <c r="G229" i="13"/>
  <c r="F229" i="13"/>
  <c r="E229" i="13"/>
  <c r="D229" i="13"/>
  <c r="C229" i="13"/>
  <c r="B229" i="13"/>
  <c r="A229" i="13"/>
  <c r="S228" i="13"/>
  <c r="R228" i="13"/>
  <c r="Q228" i="13"/>
  <c r="P228" i="13"/>
  <c r="O228" i="13"/>
  <c r="N228" i="13"/>
  <c r="M228" i="13"/>
  <c r="L228" i="13"/>
  <c r="K228" i="13"/>
  <c r="G228" i="13"/>
  <c r="F228" i="13"/>
  <c r="E228" i="13"/>
  <c r="D228" i="13"/>
  <c r="C228" i="13"/>
  <c r="B228" i="13"/>
  <c r="A228" i="13"/>
  <c r="S227" i="13"/>
  <c r="R227" i="13"/>
  <c r="Q227" i="13"/>
  <c r="P227" i="13"/>
  <c r="O227" i="13"/>
  <c r="N227" i="13"/>
  <c r="M227" i="13"/>
  <c r="L227" i="13"/>
  <c r="K227" i="13"/>
  <c r="G227" i="13"/>
  <c r="F227" i="13"/>
  <c r="E227" i="13"/>
  <c r="D227" i="13"/>
  <c r="C227" i="13"/>
  <c r="B227" i="13"/>
  <c r="A227" i="13"/>
  <c r="S226" i="13"/>
  <c r="R226" i="13"/>
  <c r="Q226" i="13"/>
  <c r="P226" i="13"/>
  <c r="O226" i="13"/>
  <c r="N226" i="13"/>
  <c r="M226" i="13"/>
  <c r="L226" i="13"/>
  <c r="K226" i="13"/>
  <c r="G226" i="13"/>
  <c r="F226" i="13"/>
  <c r="E226" i="13"/>
  <c r="D226" i="13"/>
  <c r="C226" i="13"/>
  <c r="B226" i="13"/>
  <c r="A226" i="13"/>
  <c r="S225" i="13"/>
  <c r="R225" i="13"/>
  <c r="Q225" i="13"/>
  <c r="P225" i="13"/>
  <c r="O225" i="13"/>
  <c r="N225" i="13"/>
  <c r="M225" i="13"/>
  <c r="L225" i="13"/>
  <c r="K225" i="13"/>
  <c r="G225" i="13"/>
  <c r="F225" i="13"/>
  <c r="E225" i="13"/>
  <c r="D225" i="13"/>
  <c r="C225" i="13"/>
  <c r="B225" i="13"/>
  <c r="A225" i="13"/>
  <c r="S224" i="13"/>
  <c r="R224" i="13"/>
  <c r="Q224" i="13"/>
  <c r="P224" i="13"/>
  <c r="O224" i="13"/>
  <c r="N224" i="13"/>
  <c r="M224" i="13"/>
  <c r="L224" i="13"/>
  <c r="K224" i="13"/>
  <c r="G224" i="13"/>
  <c r="F224" i="13"/>
  <c r="E224" i="13"/>
  <c r="D224" i="13"/>
  <c r="C224" i="13"/>
  <c r="B224" i="13"/>
  <c r="A224" i="13"/>
  <c r="S223" i="13"/>
  <c r="R223" i="13"/>
  <c r="Q223" i="13"/>
  <c r="P223" i="13"/>
  <c r="O223" i="13"/>
  <c r="N223" i="13"/>
  <c r="M223" i="13"/>
  <c r="L223" i="13"/>
  <c r="K223" i="13"/>
  <c r="G223" i="13"/>
  <c r="F223" i="13"/>
  <c r="E223" i="13"/>
  <c r="D223" i="13"/>
  <c r="C223" i="13"/>
  <c r="B223" i="13"/>
  <c r="A223" i="13"/>
  <c r="S222" i="13"/>
  <c r="R222" i="13"/>
  <c r="Q222" i="13"/>
  <c r="P222" i="13"/>
  <c r="O222" i="13"/>
  <c r="N222" i="13"/>
  <c r="M222" i="13"/>
  <c r="L222" i="13"/>
  <c r="K222" i="13"/>
  <c r="G222" i="13"/>
  <c r="F222" i="13"/>
  <c r="E222" i="13"/>
  <c r="D222" i="13"/>
  <c r="C222" i="13"/>
  <c r="B222" i="13"/>
  <c r="A222" i="13"/>
  <c r="S221" i="13"/>
  <c r="R221" i="13"/>
  <c r="Q221" i="13"/>
  <c r="P221" i="13"/>
  <c r="O221" i="13"/>
  <c r="N221" i="13"/>
  <c r="M221" i="13"/>
  <c r="L221" i="13"/>
  <c r="K221" i="13"/>
  <c r="G221" i="13"/>
  <c r="F221" i="13"/>
  <c r="E221" i="13"/>
  <c r="D221" i="13"/>
  <c r="C221" i="13"/>
  <c r="B221" i="13"/>
  <c r="A221" i="13"/>
  <c r="S220" i="13"/>
  <c r="R220" i="13"/>
  <c r="Q220" i="13"/>
  <c r="P220" i="13"/>
  <c r="O220" i="13"/>
  <c r="N220" i="13"/>
  <c r="M220" i="13"/>
  <c r="L220" i="13"/>
  <c r="K220" i="13"/>
  <c r="G220" i="13"/>
  <c r="F220" i="13"/>
  <c r="E220" i="13"/>
  <c r="D220" i="13"/>
  <c r="C220" i="13"/>
  <c r="B220" i="13"/>
  <c r="A220" i="13"/>
  <c r="S219" i="13"/>
  <c r="R219" i="13"/>
  <c r="Q219" i="13"/>
  <c r="P219" i="13"/>
  <c r="O219" i="13"/>
  <c r="N219" i="13"/>
  <c r="M219" i="13"/>
  <c r="L219" i="13"/>
  <c r="K219" i="13"/>
  <c r="G219" i="13"/>
  <c r="F219" i="13"/>
  <c r="E219" i="13"/>
  <c r="D219" i="13"/>
  <c r="C219" i="13"/>
  <c r="B219" i="13"/>
  <c r="A219" i="13"/>
  <c r="S218" i="13"/>
  <c r="R218" i="13"/>
  <c r="Q218" i="13"/>
  <c r="P218" i="13"/>
  <c r="O218" i="13"/>
  <c r="N218" i="13"/>
  <c r="M218" i="13"/>
  <c r="L218" i="13"/>
  <c r="K218" i="13"/>
  <c r="G218" i="13"/>
  <c r="F218" i="13"/>
  <c r="E218" i="13"/>
  <c r="D218" i="13"/>
  <c r="C218" i="13"/>
  <c r="B218" i="13"/>
  <c r="A218" i="13"/>
  <c r="S217" i="13"/>
  <c r="R217" i="13"/>
  <c r="Q217" i="13"/>
  <c r="P217" i="13"/>
  <c r="O217" i="13"/>
  <c r="N217" i="13"/>
  <c r="M217" i="13"/>
  <c r="L217" i="13"/>
  <c r="K217" i="13"/>
  <c r="G217" i="13"/>
  <c r="F217" i="13"/>
  <c r="E217" i="13"/>
  <c r="D217" i="13"/>
  <c r="C217" i="13"/>
  <c r="B217" i="13"/>
  <c r="A217" i="13"/>
  <c r="S216" i="13"/>
  <c r="R216" i="13"/>
  <c r="Q216" i="13"/>
  <c r="P216" i="13"/>
  <c r="O216" i="13"/>
  <c r="N216" i="13"/>
  <c r="M216" i="13"/>
  <c r="L216" i="13"/>
  <c r="K216" i="13"/>
  <c r="G216" i="13"/>
  <c r="F216" i="13"/>
  <c r="E216" i="13"/>
  <c r="D216" i="13"/>
  <c r="C216" i="13"/>
  <c r="B216" i="13"/>
  <c r="A216" i="13"/>
  <c r="S215" i="13"/>
  <c r="R215" i="13"/>
  <c r="Q215" i="13"/>
  <c r="P215" i="13"/>
  <c r="O215" i="13"/>
  <c r="N215" i="13"/>
  <c r="M215" i="13"/>
  <c r="L215" i="13"/>
  <c r="K215" i="13"/>
  <c r="G215" i="13"/>
  <c r="F215" i="13"/>
  <c r="E215" i="13"/>
  <c r="D215" i="13"/>
  <c r="C215" i="13"/>
  <c r="B215" i="13"/>
  <c r="A215" i="13"/>
  <c r="S214" i="13"/>
  <c r="R214" i="13"/>
  <c r="Q214" i="13"/>
  <c r="P214" i="13"/>
  <c r="O214" i="13"/>
  <c r="N214" i="13"/>
  <c r="M214" i="13"/>
  <c r="L214" i="13"/>
  <c r="K214" i="13"/>
  <c r="G214" i="13"/>
  <c r="F214" i="13"/>
  <c r="E214" i="13"/>
  <c r="D214" i="13"/>
  <c r="C214" i="13"/>
  <c r="B214" i="13"/>
  <c r="A214" i="13"/>
  <c r="S213" i="13"/>
  <c r="R213" i="13"/>
  <c r="Q213" i="13"/>
  <c r="P213" i="13"/>
  <c r="O213" i="13"/>
  <c r="N213" i="13"/>
  <c r="M213" i="13"/>
  <c r="L213" i="13"/>
  <c r="K213" i="13"/>
  <c r="G213" i="13"/>
  <c r="F213" i="13"/>
  <c r="E213" i="13"/>
  <c r="D213" i="13"/>
  <c r="C213" i="13"/>
  <c r="B213" i="13"/>
  <c r="A213" i="13"/>
  <c r="S212" i="13"/>
  <c r="R212" i="13"/>
  <c r="Q212" i="13"/>
  <c r="P212" i="13"/>
  <c r="O212" i="13"/>
  <c r="N212" i="13"/>
  <c r="M212" i="13"/>
  <c r="L212" i="13"/>
  <c r="K212" i="13"/>
  <c r="G212" i="13"/>
  <c r="F212" i="13"/>
  <c r="E212" i="13"/>
  <c r="D212" i="13"/>
  <c r="C212" i="13"/>
  <c r="B212" i="13"/>
  <c r="A212" i="13"/>
  <c r="S211" i="13"/>
  <c r="R211" i="13"/>
  <c r="Q211" i="13"/>
  <c r="P211" i="13"/>
  <c r="O211" i="13"/>
  <c r="N211" i="13"/>
  <c r="M211" i="13"/>
  <c r="L211" i="13"/>
  <c r="K211" i="13"/>
  <c r="G211" i="13"/>
  <c r="F211" i="13"/>
  <c r="E211" i="13"/>
  <c r="D211" i="13"/>
  <c r="C211" i="13"/>
  <c r="B211" i="13"/>
  <c r="A211" i="13"/>
  <c r="S210" i="13"/>
  <c r="R210" i="13"/>
  <c r="Q210" i="13"/>
  <c r="P210" i="13"/>
  <c r="O210" i="13"/>
  <c r="N210" i="13"/>
  <c r="M210" i="13"/>
  <c r="L210" i="13"/>
  <c r="K210" i="13"/>
  <c r="G210" i="13"/>
  <c r="F210" i="13"/>
  <c r="E210" i="13"/>
  <c r="D210" i="13"/>
  <c r="C210" i="13"/>
  <c r="B210" i="13"/>
  <c r="A210" i="13"/>
  <c r="S209" i="13"/>
  <c r="R209" i="13"/>
  <c r="Q209" i="13"/>
  <c r="P209" i="13"/>
  <c r="O209" i="13"/>
  <c r="N209" i="13"/>
  <c r="M209" i="13"/>
  <c r="L209" i="13"/>
  <c r="K209" i="13"/>
  <c r="G209" i="13"/>
  <c r="F209" i="13"/>
  <c r="E209" i="13"/>
  <c r="D209" i="13"/>
  <c r="C209" i="13"/>
  <c r="B209" i="13"/>
  <c r="A209" i="13"/>
  <c r="S208" i="13"/>
  <c r="R208" i="13"/>
  <c r="Q208" i="13"/>
  <c r="P208" i="13"/>
  <c r="O208" i="13"/>
  <c r="N208" i="13"/>
  <c r="M208" i="13"/>
  <c r="L208" i="13"/>
  <c r="K208" i="13"/>
  <c r="G208" i="13"/>
  <c r="F208" i="13"/>
  <c r="E208" i="13"/>
  <c r="D208" i="13"/>
  <c r="C208" i="13"/>
  <c r="B208" i="13"/>
  <c r="A208" i="13"/>
  <c r="S207" i="13"/>
  <c r="R207" i="13"/>
  <c r="Q207" i="13"/>
  <c r="P207" i="13"/>
  <c r="O207" i="13"/>
  <c r="N207" i="13"/>
  <c r="M207" i="13"/>
  <c r="L207" i="13"/>
  <c r="K207" i="13"/>
  <c r="G207" i="13"/>
  <c r="F207" i="13"/>
  <c r="E207" i="13"/>
  <c r="D207" i="13"/>
  <c r="C207" i="13"/>
  <c r="B207" i="13"/>
  <c r="A207" i="13"/>
  <c r="S206" i="13"/>
  <c r="R206" i="13"/>
  <c r="Q206" i="13"/>
  <c r="P206" i="13"/>
  <c r="O206" i="13"/>
  <c r="N206" i="13"/>
  <c r="M206" i="13"/>
  <c r="L206" i="13"/>
  <c r="K206" i="13"/>
  <c r="G206" i="13"/>
  <c r="F206" i="13"/>
  <c r="E206" i="13"/>
  <c r="D206" i="13"/>
  <c r="C206" i="13"/>
  <c r="B206" i="13"/>
  <c r="A206" i="13"/>
  <c r="S205" i="13"/>
  <c r="R205" i="13"/>
  <c r="Q205" i="13"/>
  <c r="P205" i="13"/>
  <c r="O205" i="13"/>
  <c r="N205" i="13"/>
  <c r="M205" i="13"/>
  <c r="L205" i="13"/>
  <c r="K205" i="13"/>
  <c r="G205" i="13"/>
  <c r="F205" i="13"/>
  <c r="E205" i="13"/>
  <c r="D205" i="13"/>
  <c r="C205" i="13"/>
  <c r="B205" i="13"/>
  <c r="A205" i="13"/>
  <c r="S204" i="13"/>
  <c r="R204" i="13"/>
  <c r="Q204" i="13"/>
  <c r="P204" i="13"/>
  <c r="O204" i="13"/>
  <c r="N204" i="13"/>
  <c r="M204" i="13"/>
  <c r="L204" i="13"/>
  <c r="K204" i="13"/>
  <c r="G204" i="13"/>
  <c r="F204" i="13"/>
  <c r="E204" i="13"/>
  <c r="D204" i="13"/>
  <c r="C204" i="13"/>
  <c r="B204" i="13"/>
  <c r="A204" i="13"/>
  <c r="S203" i="13"/>
  <c r="R203" i="13"/>
  <c r="Q203" i="13"/>
  <c r="P203" i="13"/>
  <c r="O203" i="13"/>
  <c r="N203" i="13"/>
  <c r="M203" i="13"/>
  <c r="L203" i="13"/>
  <c r="K203" i="13"/>
  <c r="G203" i="13"/>
  <c r="F203" i="13"/>
  <c r="E203" i="13"/>
  <c r="D203" i="13"/>
  <c r="C203" i="13"/>
  <c r="B203" i="13"/>
  <c r="A203" i="13"/>
  <c r="S202" i="13"/>
  <c r="R202" i="13"/>
  <c r="Q202" i="13"/>
  <c r="P202" i="13"/>
  <c r="O202" i="13"/>
  <c r="N202" i="13"/>
  <c r="M202" i="13"/>
  <c r="L202" i="13"/>
  <c r="K202" i="13"/>
  <c r="G202" i="13"/>
  <c r="F202" i="13"/>
  <c r="E202" i="13"/>
  <c r="D202" i="13"/>
  <c r="C202" i="13"/>
  <c r="B202" i="13"/>
  <c r="A202" i="13"/>
  <c r="S201" i="13"/>
  <c r="R201" i="13"/>
  <c r="Q201" i="13"/>
  <c r="P201" i="13"/>
  <c r="O201" i="13"/>
  <c r="N201" i="13"/>
  <c r="M201" i="13"/>
  <c r="L201" i="13"/>
  <c r="K201" i="13"/>
  <c r="G201" i="13"/>
  <c r="F201" i="13"/>
  <c r="E201" i="13"/>
  <c r="D201" i="13"/>
  <c r="C201" i="13"/>
  <c r="B201" i="13"/>
  <c r="A201" i="13"/>
  <c r="S200" i="13"/>
  <c r="R200" i="13"/>
  <c r="Q200" i="13"/>
  <c r="P200" i="13"/>
  <c r="O200" i="13"/>
  <c r="N200" i="13"/>
  <c r="M200" i="13"/>
  <c r="L200" i="13"/>
  <c r="K200" i="13"/>
  <c r="G200" i="13"/>
  <c r="F200" i="13"/>
  <c r="E200" i="13"/>
  <c r="D200" i="13"/>
  <c r="C200" i="13"/>
  <c r="B200" i="13"/>
  <c r="A200" i="13"/>
  <c r="S199" i="13"/>
  <c r="R199" i="13"/>
  <c r="Q199" i="13"/>
  <c r="P199" i="13"/>
  <c r="O199" i="13"/>
  <c r="N199" i="13"/>
  <c r="M199" i="13"/>
  <c r="L199" i="13"/>
  <c r="K199" i="13"/>
  <c r="G199" i="13"/>
  <c r="F199" i="13"/>
  <c r="E199" i="13"/>
  <c r="D199" i="13"/>
  <c r="C199" i="13"/>
  <c r="B199" i="13"/>
  <c r="A199" i="13"/>
  <c r="S198" i="13"/>
  <c r="R198" i="13"/>
  <c r="Q198" i="13"/>
  <c r="P198" i="13"/>
  <c r="O198" i="13"/>
  <c r="N198" i="13"/>
  <c r="M198" i="13"/>
  <c r="L198" i="13"/>
  <c r="K198" i="13"/>
  <c r="G198" i="13"/>
  <c r="F198" i="13"/>
  <c r="E198" i="13"/>
  <c r="D198" i="13"/>
  <c r="C198" i="13"/>
  <c r="B198" i="13"/>
  <c r="A198" i="13"/>
  <c r="S197" i="13"/>
  <c r="R197" i="13"/>
  <c r="Q197" i="13"/>
  <c r="P197" i="13"/>
  <c r="O197" i="13"/>
  <c r="N197" i="13"/>
  <c r="M197" i="13"/>
  <c r="L197" i="13"/>
  <c r="K197" i="13"/>
  <c r="G197" i="13"/>
  <c r="F197" i="13"/>
  <c r="E197" i="13"/>
  <c r="D197" i="13"/>
  <c r="C197" i="13"/>
  <c r="B197" i="13"/>
  <c r="A197" i="13"/>
  <c r="S196" i="13"/>
  <c r="R196" i="13"/>
  <c r="Q196" i="13"/>
  <c r="P196" i="13"/>
  <c r="O196" i="13"/>
  <c r="N196" i="13"/>
  <c r="M196" i="13"/>
  <c r="L196" i="13"/>
  <c r="K196" i="13"/>
  <c r="G196" i="13"/>
  <c r="F196" i="13"/>
  <c r="E196" i="13"/>
  <c r="D196" i="13"/>
  <c r="C196" i="13"/>
  <c r="B196" i="13"/>
  <c r="A196" i="13"/>
  <c r="S195" i="13"/>
  <c r="R195" i="13"/>
  <c r="Q195" i="13"/>
  <c r="P195" i="13"/>
  <c r="O195" i="13"/>
  <c r="N195" i="13"/>
  <c r="M195" i="13"/>
  <c r="L195" i="13"/>
  <c r="K195" i="13"/>
  <c r="G195" i="13"/>
  <c r="F195" i="13"/>
  <c r="E195" i="13"/>
  <c r="D195" i="13"/>
  <c r="C195" i="13"/>
  <c r="B195" i="13"/>
  <c r="A195" i="13"/>
  <c r="S194" i="13"/>
  <c r="R194" i="13"/>
  <c r="Q194" i="13"/>
  <c r="P194" i="13"/>
  <c r="O194" i="13"/>
  <c r="N194" i="13"/>
  <c r="M194" i="13"/>
  <c r="L194" i="13"/>
  <c r="K194" i="13"/>
  <c r="G194" i="13"/>
  <c r="F194" i="13"/>
  <c r="E194" i="13"/>
  <c r="D194" i="13"/>
  <c r="C194" i="13"/>
  <c r="B194" i="13"/>
  <c r="A194" i="13"/>
  <c r="S193" i="13"/>
  <c r="R193" i="13"/>
  <c r="Q193" i="13"/>
  <c r="P193" i="13"/>
  <c r="O193" i="13"/>
  <c r="N193" i="13"/>
  <c r="M193" i="13"/>
  <c r="L193" i="13"/>
  <c r="K193" i="13"/>
  <c r="G193" i="13"/>
  <c r="F193" i="13"/>
  <c r="E193" i="13"/>
  <c r="D193" i="13"/>
  <c r="C193" i="13"/>
  <c r="B193" i="13"/>
  <c r="A193" i="13"/>
  <c r="S192" i="13"/>
  <c r="R192" i="13"/>
  <c r="Q192" i="13"/>
  <c r="P192" i="13"/>
  <c r="O192" i="13"/>
  <c r="N192" i="13"/>
  <c r="M192" i="13"/>
  <c r="L192" i="13"/>
  <c r="K192" i="13"/>
  <c r="G192" i="13"/>
  <c r="F192" i="13"/>
  <c r="E192" i="13"/>
  <c r="D192" i="13"/>
  <c r="C192" i="13"/>
  <c r="B192" i="13"/>
  <c r="A192" i="13"/>
  <c r="S191" i="13"/>
  <c r="R191" i="13"/>
  <c r="Q191" i="13"/>
  <c r="P191" i="13"/>
  <c r="O191" i="13"/>
  <c r="N191" i="13"/>
  <c r="M191" i="13"/>
  <c r="L191" i="13"/>
  <c r="K191" i="13"/>
  <c r="G191" i="13"/>
  <c r="F191" i="13"/>
  <c r="E191" i="13"/>
  <c r="D191" i="13"/>
  <c r="C191" i="13"/>
  <c r="B191" i="13"/>
  <c r="A191" i="13"/>
  <c r="S190" i="13"/>
  <c r="R190" i="13"/>
  <c r="Q190" i="13"/>
  <c r="P190" i="13"/>
  <c r="O190" i="13"/>
  <c r="N190" i="13"/>
  <c r="M190" i="13"/>
  <c r="L190" i="13"/>
  <c r="K190" i="13"/>
  <c r="G190" i="13"/>
  <c r="F190" i="13"/>
  <c r="E190" i="13"/>
  <c r="D190" i="13"/>
  <c r="C190" i="13"/>
  <c r="B190" i="13"/>
  <c r="A190" i="13"/>
  <c r="S189" i="13"/>
  <c r="R189" i="13"/>
  <c r="Q189" i="13"/>
  <c r="P189" i="13"/>
  <c r="O189" i="13"/>
  <c r="N189" i="13"/>
  <c r="M189" i="13"/>
  <c r="L189" i="13"/>
  <c r="K189" i="13"/>
  <c r="G189" i="13"/>
  <c r="F189" i="13"/>
  <c r="E189" i="13"/>
  <c r="D189" i="13"/>
  <c r="C189" i="13"/>
  <c r="B189" i="13"/>
  <c r="A189" i="13"/>
  <c r="S188" i="13"/>
  <c r="R188" i="13"/>
  <c r="Q188" i="13"/>
  <c r="P188" i="13"/>
  <c r="O188" i="13"/>
  <c r="N188" i="13"/>
  <c r="M188" i="13"/>
  <c r="L188" i="13"/>
  <c r="K188" i="13"/>
  <c r="G188" i="13"/>
  <c r="F188" i="13"/>
  <c r="E188" i="13"/>
  <c r="D188" i="13"/>
  <c r="C188" i="13"/>
  <c r="B188" i="13"/>
  <c r="A188" i="13"/>
  <c r="S187" i="13"/>
  <c r="R187" i="13"/>
  <c r="Q187" i="13"/>
  <c r="P187" i="13"/>
  <c r="O187" i="13"/>
  <c r="N187" i="13"/>
  <c r="M187" i="13"/>
  <c r="L187" i="13"/>
  <c r="K187" i="13"/>
  <c r="G187" i="13"/>
  <c r="F187" i="13"/>
  <c r="E187" i="13"/>
  <c r="D187" i="13"/>
  <c r="C187" i="13"/>
  <c r="B187" i="13"/>
  <c r="A187" i="13"/>
  <c r="S186" i="13"/>
  <c r="R186" i="13"/>
  <c r="Q186" i="13"/>
  <c r="P186" i="13"/>
  <c r="O186" i="13"/>
  <c r="N186" i="13"/>
  <c r="M186" i="13"/>
  <c r="L186" i="13"/>
  <c r="K186" i="13"/>
  <c r="G186" i="13"/>
  <c r="F186" i="13"/>
  <c r="E186" i="13"/>
  <c r="D186" i="13"/>
  <c r="C186" i="13"/>
  <c r="B186" i="13"/>
  <c r="A186" i="13"/>
  <c r="S185" i="13"/>
  <c r="R185" i="13"/>
  <c r="Q185" i="13"/>
  <c r="P185" i="13"/>
  <c r="O185" i="13"/>
  <c r="N185" i="13"/>
  <c r="M185" i="13"/>
  <c r="L185" i="13"/>
  <c r="K185" i="13"/>
  <c r="G185" i="13"/>
  <c r="F185" i="13"/>
  <c r="E185" i="13"/>
  <c r="D185" i="13"/>
  <c r="C185" i="13"/>
  <c r="B185" i="13"/>
  <c r="A185" i="13"/>
  <c r="S184" i="13"/>
  <c r="R184" i="13"/>
  <c r="Q184" i="13"/>
  <c r="P184" i="13"/>
  <c r="O184" i="13"/>
  <c r="N184" i="13"/>
  <c r="M184" i="13"/>
  <c r="L184" i="13"/>
  <c r="K184" i="13"/>
  <c r="G184" i="13"/>
  <c r="F184" i="13"/>
  <c r="E184" i="13"/>
  <c r="D184" i="13"/>
  <c r="C184" i="13"/>
  <c r="B184" i="13"/>
  <c r="A184" i="13"/>
  <c r="S183" i="13"/>
  <c r="R183" i="13"/>
  <c r="Q183" i="13"/>
  <c r="P183" i="13"/>
  <c r="O183" i="13"/>
  <c r="N183" i="13"/>
  <c r="M183" i="13"/>
  <c r="L183" i="13"/>
  <c r="K183" i="13"/>
  <c r="G183" i="13"/>
  <c r="F183" i="13"/>
  <c r="E183" i="13"/>
  <c r="D183" i="13"/>
  <c r="C183" i="13"/>
  <c r="B183" i="13"/>
  <c r="A183" i="13"/>
  <c r="S182" i="13"/>
  <c r="R182" i="13"/>
  <c r="Q182" i="13"/>
  <c r="P182" i="13"/>
  <c r="O182" i="13"/>
  <c r="N182" i="13"/>
  <c r="M182" i="13"/>
  <c r="L182" i="13"/>
  <c r="K182" i="13"/>
  <c r="G182" i="13"/>
  <c r="F182" i="13"/>
  <c r="E182" i="13"/>
  <c r="D182" i="13"/>
  <c r="C182" i="13"/>
  <c r="B182" i="13"/>
  <c r="A182" i="13"/>
  <c r="S181" i="13"/>
  <c r="R181" i="13"/>
  <c r="Q181" i="13"/>
  <c r="P181" i="13"/>
  <c r="O181" i="13"/>
  <c r="N181" i="13"/>
  <c r="M181" i="13"/>
  <c r="L181" i="13"/>
  <c r="K181" i="13"/>
  <c r="G181" i="13"/>
  <c r="F181" i="13"/>
  <c r="E181" i="13"/>
  <c r="D181" i="13"/>
  <c r="C181" i="13"/>
  <c r="B181" i="13"/>
  <c r="A181" i="13"/>
  <c r="S180" i="13"/>
  <c r="R180" i="13"/>
  <c r="Q180" i="13"/>
  <c r="P180" i="13"/>
  <c r="O180" i="13"/>
  <c r="N180" i="13"/>
  <c r="M180" i="13"/>
  <c r="L180" i="13"/>
  <c r="K180" i="13"/>
  <c r="G180" i="13"/>
  <c r="F180" i="13"/>
  <c r="E180" i="13"/>
  <c r="D180" i="13"/>
  <c r="C180" i="13"/>
  <c r="B180" i="13"/>
  <c r="A180" i="13"/>
  <c r="S179" i="13"/>
  <c r="R179" i="13"/>
  <c r="Q179" i="13"/>
  <c r="P179" i="13"/>
  <c r="O179" i="13"/>
  <c r="N179" i="13"/>
  <c r="M179" i="13"/>
  <c r="L179" i="13"/>
  <c r="K179" i="13"/>
  <c r="G179" i="13"/>
  <c r="F179" i="13"/>
  <c r="E179" i="13"/>
  <c r="D179" i="13"/>
  <c r="C179" i="13"/>
  <c r="B179" i="13"/>
  <c r="A179" i="13"/>
  <c r="S178" i="13"/>
  <c r="R178" i="13"/>
  <c r="Q178" i="13"/>
  <c r="P178" i="13"/>
  <c r="O178" i="13"/>
  <c r="N178" i="13"/>
  <c r="M178" i="13"/>
  <c r="L178" i="13"/>
  <c r="K178" i="13"/>
  <c r="G178" i="13"/>
  <c r="F178" i="13"/>
  <c r="E178" i="13"/>
  <c r="D178" i="13"/>
  <c r="C178" i="13"/>
  <c r="B178" i="13"/>
  <c r="A178" i="13"/>
  <c r="S177" i="13"/>
  <c r="R177" i="13"/>
  <c r="Q177" i="13"/>
  <c r="P177" i="13"/>
  <c r="O177" i="13"/>
  <c r="N177" i="13"/>
  <c r="M177" i="13"/>
  <c r="L177" i="13"/>
  <c r="K177" i="13"/>
  <c r="G177" i="13"/>
  <c r="F177" i="13"/>
  <c r="E177" i="13"/>
  <c r="D177" i="13"/>
  <c r="C177" i="13"/>
  <c r="B177" i="13"/>
  <c r="A177" i="13"/>
  <c r="S176" i="13"/>
  <c r="R176" i="13"/>
  <c r="Q176" i="13"/>
  <c r="P176" i="13"/>
  <c r="O176" i="13"/>
  <c r="N176" i="13"/>
  <c r="M176" i="13"/>
  <c r="L176" i="13"/>
  <c r="K176" i="13"/>
  <c r="G176" i="13"/>
  <c r="F176" i="13"/>
  <c r="E176" i="13"/>
  <c r="D176" i="13"/>
  <c r="C176" i="13"/>
  <c r="B176" i="13"/>
  <c r="A176" i="13"/>
  <c r="S175" i="13"/>
  <c r="R175" i="13"/>
  <c r="Q175" i="13"/>
  <c r="P175" i="13"/>
  <c r="O175" i="13"/>
  <c r="N175" i="13"/>
  <c r="M175" i="13"/>
  <c r="L175" i="13"/>
  <c r="K175" i="13"/>
  <c r="G175" i="13"/>
  <c r="F175" i="13"/>
  <c r="E175" i="13"/>
  <c r="D175" i="13"/>
  <c r="C175" i="13"/>
  <c r="B175" i="13"/>
  <c r="A175" i="13"/>
  <c r="S174" i="13"/>
  <c r="R174" i="13"/>
  <c r="Q174" i="13"/>
  <c r="P174" i="13"/>
  <c r="O174" i="13"/>
  <c r="N174" i="13"/>
  <c r="M174" i="13"/>
  <c r="L174" i="13"/>
  <c r="K174" i="13"/>
  <c r="G174" i="13"/>
  <c r="F174" i="13"/>
  <c r="E174" i="13"/>
  <c r="D174" i="13"/>
  <c r="C174" i="13"/>
  <c r="B174" i="13"/>
  <c r="A174" i="13"/>
  <c r="S173" i="13"/>
  <c r="R173" i="13"/>
  <c r="Q173" i="13"/>
  <c r="P173" i="13"/>
  <c r="O173" i="13"/>
  <c r="N173" i="13"/>
  <c r="M173" i="13"/>
  <c r="L173" i="13"/>
  <c r="K173" i="13"/>
  <c r="G173" i="13"/>
  <c r="F173" i="13"/>
  <c r="E173" i="13"/>
  <c r="D173" i="13"/>
  <c r="C173" i="13"/>
  <c r="B173" i="13"/>
  <c r="A173" i="13"/>
  <c r="S172" i="13"/>
  <c r="R172" i="13"/>
  <c r="Q172" i="13"/>
  <c r="P172" i="13"/>
  <c r="O172" i="13"/>
  <c r="N172" i="13"/>
  <c r="M172" i="13"/>
  <c r="L172" i="13"/>
  <c r="K172" i="13"/>
  <c r="G172" i="13"/>
  <c r="F172" i="13"/>
  <c r="E172" i="13"/>
  <c r="D172" i="13"/>
  <c r="C172" i="13"/>
  <c r="B172" i="13"/>
  <c r="A172" i="13"/>
  <c r="S171" i="13"/>
  <c r="R171" i="13"/>
  <c r="Q171" i="13"/>
  <c r="P171" i="13"/>
  <c r="O171" i="13"/>
  <c r="N171" i="13"/>
  <c r="M171" i="13"/>
  <c r="L171" i="13"/>
  <c r="K171" i="13"/>
  <c r="G171" i="13"/>
  <c r="F171" i="13"/>
  <c r="E171" i="13"/>
  <c r="D171" i="13"/>
  <c r="C171" i="13"/>
  <c r="B171" i="13"/>
  <c r="A171" i="13"/>
  <c r="S170" i="13"/>
  <c r="R170" i="13"/>
  <c r="Q170" i="13"/>
  <c r="P170" i="13"/>
  <c r="O170" i="13"/>
  <c r="N170" i="13"/>
  <c r="M170" i="13"/>
  <c r="L170" i="13"/>
  <c r="K170" i="13"/>
  <c r="G170" i="13"/>
  <c r="F170" i="13"/>
  <c r="E170" i="13"/>
  <c r="D170" i="13"/>
  <c r="C170" i="13"/>
  <c r="B170" i="13"/>
  <c r="A170" i="13"/>
  <c r="S169" i="13"/>
  <c r="R169" i="13"/>
  <c r="Q169" i="13"/>
  <c r="P169" i="13"/>
  <c r="O169" i="13"/>
  <c r="N169" i="13"/>
  <c r="M169" i="13"/>
  <c r="L169" i="13"/>
  <c r="K169" i="13"/>
  <c r="G169" i="13"/>
  <c r="F169" i="13"/>
  <c r="E169" i="13"/>
  <c r="D169" i="13"/>
  <c r="C169" i="13"/>
  <c r="B169" i="13"/>
  <c r="A169" i="13"/>
  <c r="S168" i="13"/>
  <c r="R168" i="13"/>
  <c r="Q168" i="13"/>
  <c r="P168" i="13"/>
  <c r="O168" i="13"/>
  <c r="N168" i="13"/>
  <c r="M168" i="13"/>
  <c r="L168" i="13"/>
  <c r="K168" i="13"/>
  <c r="G168" i="13"/>
  <c r="F168" i="13"/>
  <c r="E168" i="13"/>
  <c r="D168" i="13"/>
  <c r="C168" i="13"/>
  <c r="B168" i="13"/>
  <c r="A168" i="13"/>
  <c r="S167" i="13"/>
  <c r="R167" i="13"/>
  <c r="Q167" i="13"/>
  <c r="P167" i="13"/>
  <c r="O167" i="13"/>
  <c r="N167" i="13"/>
  <c r="M167" i="13"/>
  <c r="L167" i="13"/>
  <c r="K167" i="13"/>
  <c r="G167" i="13"/>
  <c r="F167" i="13"/>
  <c r="E167" i="13"/>
  <c r="D167" i="13"/>
  <c r="C167" i="13"/>
  <c r="B167" i="13"/>
  <c r="A167" i="13"/>
  <c r="S33" i="13"/>
  <c r="R33" i="13"/>
  <c r="Q33" i="13"/>
  <c r="P33" i="13"/>
  <c r="O33" i="13"/>
  <c r="N33" i="13"/>
  <c r="M33" i="13"/>
  <c r="L33" i="13"/>
  <c r="A33" i="13"/>
  <c r="S30" i="13"/>
  <c r="R30" i="13"/>
  <c r="Q30" i="13"/>
  <c r="P30" i="13"/>
  <c r="O30" i="13"/>
  <c r="N30" i="13"/>
  <c r="M30" i="13"/>
  <c r="L30" i="13"/>
  <c r="A30" i="13"/>
  <c r="S32" i="13"/>
  <c r="R32" i="13"/>
  <c r="Q32" i="13"/>
  <c r="P32" i="13"/>
  <c r="O32" i="13"/>
  <c r="N32" i="13"/>
  <c r="M32" i="13"/>
  <c r="L32" i="13"/>
  <c r="A32" i="13"/>
  <c r="S31" i="13"/>
  <c r="R31" i="13"/>
  <c r="Q31" i="13"/>
  <c r="P31" i="13"/>
  <c r="O31" i="13"/>
  <c r="N31" i="13"/>
  <c r="M31" i="13"/>
  <c r="L31" i="13"/>
  <c r="A31" i="13"/>
  <c r="S132" i="13"/>
  <c r="R132" i="13"/>
  <c r="Q132" i="13"/>
  <c r="P132" i="13"/>
  <c r="O132" i="13"/>
  <c r="N132" i="13"/>
  <c r="M132" i="13"/>
  <c r="L132" i="13"/>
  <c r="A132" i="13"/>
  <c r="S111" i="13"/>
  <c r="R111" i="13"/>
  <c r="Q111" i="13"/>
  <c r="P111" i="13"/>
  <c r="O111" i="13"/>
  <c r="N111" i="13"/>
  <c r="M111" i="13"/>
  <c r="L111" i="13"/>
  <c r="A111" i="13"/>
  <c r="S14" i="13"/>
  <c r="R14" i="13"/>
  <c r="Q14" i="13"/>
  <c r="P14" i="13"/>
  <c r="O14" i="13"/>
  <c r="N14" i="13"/>
  <c r="M14" i="13"/>
  <c r="L14" i="13"/>
  <c r="A14" i="13"/>
  <c r="S8" i="13"/>
  <c r="R8" i="13"/>
  <c r="Q8" i="13"/>
  <c r="P8" i="13"/>
  <c r="O8" i="13"/>
  <c r="N8" i="13"/>
  <c r="M8" i="13"/>
  <c r="L8" i="13"/>
  <c r="A8" i="13"/>
  <c r="S20" i="13"/>
  <c r="R20" i="13"/>
  <c r="Q20" i="13"/>
  <c r="P20" i="13"/>
  <c r="O20" i="13"/>
  <c r="N20" i="13"/>
  <c r="M20" i="13"/>
  <c r="L20" i="13"/>
  <c r="A20" i="13"/>
  <c r="S2" i="13"/>
  <c r="R2" i="13"/>
  <c r="Q2" i="13"/>
  <c r="P2" i="13"/>
  <c r="O2" i="13"/>
  <c r="N2" i="13"/>
  <c r="M2" i="13"/>
  <c r="L2" i="13"/>
  <c r="A2" i="13"/>
  <c r="S63" i="13"/>
  <c r="R63" i="13"/>
  <c r="Q63" i="13"/>
  <c r="P63" i="13"/>
  <c r="O63" i="13"/>
  <c r="N63" i="13"/>
  <c r="M63" i="13"/>
  <c r="L63" i="13"/>
  <c r="A63" i="13"/>
  <c r="S143" i="13"/>
  <c r="R143" i="13"/>
  <c r="Q143" i="13"/>
  <c r="P143" i="13"/>
  <c r="O143" i="13"/>
  <c r="N143" i="13"/>
  <c r="M143" i="13"/>
  <c r="L143" i="13"/>
  <c r="A143" i="13"/>
  <c r="S157" i="13"/>
  <c r="R157" i="13"/>
  <c r="Q157" i="13"/>
  <c r="P157" i="13"/>
  <c r="O157" i="13"/>
  <c r="N157" i="13"/>
  <c r="M157" i="13"/>
  <c r="L157" i="13"/>
  <c r="A157" i="13"/>
  <c r="S160" i="13"/>
  <c r="R160" i="13"/>
  <c r="Q160" i="13"/>
  <c r="P160" i="13"/>
  <c r="O160" i="13"/>
  <c r="N160" i="13"/>
  <c r="M160" i="13"/>
  <c r="L160" i="13"/>
  <c r="A160" i="13"/>
  <c r="S62" i="13"/>
  <c r="R62" i="13"/>
  <c r="Q62" i="13"/>
  <c r="P62" i="13"/>
  <c r="O62" i="13"/>
  <c r="N62" i="13"/>
  <c r="M62" i="13"/>
  <c r="L62" i="13"/>
  <c r="A62" i="13"/>
  <c r="S142" i="13"/>
  <c r="R142" i="13"/>
  <c r="Q142" i="13"/>
  <c r="P142" i="13"/>
  <c r="O142" i="13"/>
  <c r="N142" i="13"/>
  <c r="M142" i="13"/>
  <c r="L142" i="13"/>
  <c r="A142" i="13"/>
  <c r="S129" i="13"/>
  <c r="R129" i="13"/>
  <c r="Q129" i="13"/>
  <c r="P129" i="13"/>
  <c r="O129" i="13"/>
  <c r="N129" i="13"/>
  <c r="M129" i="13"/>
  <c r="L129" i="13"/>
  <c r="A129" i="13"/>
  <c r="S49" i="13"/>
  <c r="R49" i="13"/>
  <c r="Q49" i="13"/>
  <c r="P49" i="13"/>
  <c r="O49" i="13"/>
  <c r="N49" i="13"/>
  <c r="M49" i="13"/>
  <c r="L49" i="13"/>
  <c r="A49" i="13"/>
  <c r="S77" i="13"/>
  <c r="R77" i="13"/>
  <c r="Q77" i="13"/>
  <c r="P77" i="13"/>
  <c r="O77" i="13"/>
  <c r="N77" i="13"/>
  <c r="M77" i="13"/>
  <c r="L77" i="13"/>
  <c r="A77" i="13"/>
  <c r="S123" i="13"/>
  <c r="R123" i="13"/>
  <c r="Q123" i="13"/>
  <c r="P123" i="13"/>
  <c r="O123" i="13"/>
  <c r="N123" i="13"/>
  <c r="M123" i="13"/>
  <c r="L123" i="13"/>
  <c r="A123" i="13"/>
  <c r="S91" i="13"/>
  <c r="R91" i="13"/>
  <c r="Q91" i="13"/>
  <c r="P91" i="13"/>
  <c r="O91" i="13"/>
  <c r="N91" i="13"/>
  <c r="M91" i="13"/>
  <c r="L91" i="13"/>
  <c r="A91" i="13"/>
  <c r="S48" i="13"/>
  <c r="R48" i="13"/>
  <c r="Q48" i="13"/>
  <c r="P48" i="13"/>
  <c r="O48" i="13"/>
  <c r="N48" i="13"/>
  <c r="M48" i="13"/>
  <c r="L48" i="13"/>
  <c r="A48" i="13"/>
  <c r="S76" i="13"/>
  <c r="R76" i="13"/>
  <c r="Q76" i="13"/>
  <c r="P76" i="13"/>
  <c r="O76" i="13"/>
  <c r="N76" i="13"/>
  <c r="M76" i="13"/>
  <c r="L76" i="13"/>
  <c r="A76" i="13"/>
  <c r="S61" i="13"/>
  <c r="R61" i="13"/>
  <c r="Q61" i="13"/>
  <c r="P61" i="13"/>
  <c r="O61" i="13"/>
  <c r="N61" i="13"/>
  <c r="M61" i="13"/>
  <c r="L61" i="13"/>
  <c r="A61" i="13"/>
  <c r="S90" i="13"/>
  <c r="R90" i="13"/>
  <c r="Q90" i="13"/>
  <c r="P90" i="13"/>
  <c r="O90" i="13"/>
  <c r="N90" i="13"/>
  <c r="M90" i="13"/>
  <c r="L90" i="13"/>
  <c r="A90" i="13"/>
  <c r="S47" i="13"/>
  <c r="R47" i="13"/>
  <c r="Q47" i="13"/>
  <c r="P47" i="13"/>
  <c r="O47" i="13"/>
  <c r="N47" i="13"/>
  <c r="M47" i="13"/>
  <c r="L47" i="13"/>
  <c r="A47" i="13"/>
  <c r="S75" i="13"/>
  <c r="R75" i="13"/>
  <c r="Q75" i="13"/>
  <c r="P75" i="13"/>
  <c r="O75" i="13"/>
  <c r="N75" i="13"/>
  <c r="M75" i="13"/>
  <c r="L75" i="13"/>
  <c r="A75" i="13"/>
  <c r="S135" i="13"/>
  <c r="R135" i="13"/>
  <c r="Q135" i="13"/>
  <c r="P135" i="13"/>
  <c r="O135" i="13"/>
  <c r="N135" i="13"/>
  <c r="M135" i="13"/>
  <c r="L135" i="13"/>
  <c r="A135" i="13"/>
  <c r="S116" i="13"/>
  <c r="R116" i="13"/>
  <c r="Q116" i="13"/>
  <c r="P116" i="13"/>
  <c r="O116" i="13"/>
  <c r="N116" i="13"/>
  <c r="M116" i="13"/>
  <c r="L116" i="13"/>
  <c r="A116" i="13"/>
  <c r="S7" i="13"/>
  <c r="R7" i="13"/>
  <c r="Q7" i="13"/>
  <c r="P7" i="13"/>
  <c r="O7" i="13"/>
  <c r="N7" i="13"/>
  <c r="M7" i="13"/>
  <c r="L7" i="13"/>
  <c r="A7" i="13"/>
  <c r="S19" i="13"/>
  <c r="R19" i="13"/>
  <c r="Q19" i="13"/>
  <c r="P19" i="13"/>
  <c r="O19" i="13"/>
  <c r="N19" i="13"/>
  <c r="M19" i="13"/>
  <c r="L19" i="13"/>
  <c r="A19" i="13"/>
  <c r="S13" i="13"/>
  <c r="R13" i="13"/>
  <c r="Q13" i="13"/>
  <c r="P13" i="13"/>
  <c r="O13" i="13"/>
  <c r="N13" i="13"/>
  <c r="M13" i="13"/>
  <c r="L13" i="13"/>
  <c r="A13" i="13"/>
  <c r="S25" i="13"/>
  <c r="R25" i="13"/>
  <c r="Q25" i="13"/>
  <c r="P25" i="13"/>
  <c r="O25" i="13"/>
  <c r="N25" i="13"/>
  <c r="M25" i="13"/>
  <c r="L25" i="13"/>
  <c r="A25" i="13"/>
  <c r="S46" i="13"/>
  <c r="R46" i="13"/>
  <c r="Q46" i="13"/>
  <c r="P46" i="13"/>
  <c r="O46" i="13"/>
  <c r="N46" i="13"/>
  <c r="M46" i="13"/>
  <c r="L46" i="13"/>
  <c r="A46" i="13"/>
  <c r="S149" i="13"/>
  <c r="R149" i="13"/>
  <c r="Q149" i="13"/>
  <c r="P149" i="13"/>
  <c r="O149" i="13"/>
  <c r="N149" i="13"/>
  <c r="M149" i="13"/>
  <c r="L149" i="13"/>
  <c r="A149" i="13"/>
  <c r="S155" i="13"/>
  <c r="R155" i="13"/>
  <c r="Q155" i="13"/>
  <c r="P155" i="13"/>
  <c r="O155" i="13"/>
  <c r="N155" i="13"/>
  <c r="M155" i="13"/>
  <c r="L155" i="13"/>
  <c r="A155" i="13"/>
  <c r="S165" i="13"/>
  <c r="R165" i="13"/>
  <c r="Q165" i="13"/>
  <c r="P165" i="13"/>
  <c r="O165" i="13"/>
  <c r="N165" i="13"/>
  <c r="M165" i="13"/>
  <c r="L165" i="13"/>
  <c r="A165" i="13"/>
  <c r="S45" i="13"/>
  <c r="R45" i="13"/>
  <c r="Q45" i="13"/>
  <c r="P45" i="13"/>
  <c r="O45" i="13"/>
  <c r="N45" i="13"/>
  <c r="M45" i="13"/>
  <c r="L45" i="13"/>
  <c r="A45" i="13"/>
  <c r="S148" i="13"/>
  <c r="R148" i="13"/>
  <c r="Q148" i="13"/>
  <c r="P148" i="13"/>
  <c r="O148" i="13"/>
  <c r="N148" i="13"/>
  <c r="M148" i="13"/>
  <c r="L148" i="13"/>
  <c r="A148" i="13"/>
  <c r="S122" i="13"/>
  <c r="R122" i="13"/>
  <c r="Q122" i="13"/>
  <c r="P122" i="13"/>
  <c r="O122" i="13"/>
  <c r="N122" i="13"/>
  <c r="M122" i="13"/>
  <c r="L122" i="13"/>
  <c r="A122" i="13"/>
  <c r="S89" i="13"/>
  <c r="R89" i="13"/>
  <c r="Q89" i="13"/>
  <c r="P89" i="13"/>
  <c r="O89" i="13"/>
  <c r="N89" i="13"/>
  <c r="M89" i="13"/>
  <c r="L89" i="13"/>
  <c r="A89" i="13"/>
  <c r="S44" i="13"/>
  <c r="R44" i="13"/>
  <c r="Q44" i="13"/>
  <c r="P44" i="13"/>
  <c r="O44" i="13"/>
  <c r="N44" i="13"/>
  <c r="M44" i="13"/>
  <c r="L44" i="13"/>
  <c r="A44" i="13"/>
  <c r="S126" i="13"/>
  <c r="R126" i="13"/>
  <c r="Q126" i="13"/>
  <c r="P126" i="13"/>
  <c r="O126" i="13"/>
  <c r="N126" i="13"/>
  <c r="M126" i="13"/>
  <c r="L126" i="13"/>
  <c r="A126" i="13"/>
  <c r="S60" i="13"/>
  <c r="R60" i="13"/>
  <c r="Q60" i="13"/>
  <c r="P60" i="13"/>
  <c r="O60" i="13"/>
  <c r="N60" i="13"/>
  <c r="M60" i="13"/>
  <c r="L60" i="13"/>
  <c r="A60" i="13"/>
  <c r="S88" i="13"/>
  <c r="R88" i="13"/>
  <c r="Q88" i="13"/>
  <c r="P88" i="13"/>
  <c r="O88" i="13"/>
  <c r="N88" i="13"/>
  <c r="M88" i="13"/>
  <c r="L88" i="13"/>
  <c r="A88" i="13"/>
  <c r="S43" i="13"/>
  <c r="R43" i="13"/>
  <c r="Q43" i="13"/>
  <c r="P43" i="13"/>
  <c r="O43" i="13"/>
  <c r="N43" i="13"/>
  <c r="M43" i="13"/>
  <c r="L43" i="13"/>
  <c r="A43" i="13"/>
  <c r="S74" i="13"/>
  <c r="R74" i="13"/>
  <c r="Q74" i="13"/>
  <c r="P74" i="13"/>
  <c r="O74" i="13"/>
  <c r="N74" i="13"/>
  <c r="M74" i="13"/>
  <c r="L74" i="13"/>
  <c r="A74" i="13"/>
  <c r="S59" i="13"/>
  <c r="R59" i="13"/>
  <c r="Q59" i="13"/>
  <c r="P59" i="13"/>
  <c r="O59" i="13"/>
  <c r="N59" i="13"/>
  <c r="M59" i="13"/>
  <c r="L59" i="13"/>
  <c r="A59" i="13"/>
  <c r="S87" i="13"/>
  <c r="R87" i="13"/>
  <c r="Q87" i="13"/>
  <c r="P87" i="13"/>
  <c r="O87" i="13"/>
  <c r="N87" i="13"/>
  <c r="M87" i="13"/>
  <c r="L87" i="13"/>
  <c r="A87" i="13"/>
  <c r="S42" i="13"/>
  <c r="R42" i="13"/>
  <c r="Q42" i="13"/>
  <c r="P42" i="13"/>
  <c r="O42" i="13"/>
  <c r="N42" i="13"/>
  <c r="M42" i="13"/>
  <c r="L42" i="13"/>
  <c r="A42" i="13"/>
  <c r="S136" i="13"/>
  <c r="R136" i="13"/>
  <c r="Q136" i="13"/>
  <c r="P136" i="13"/>
  <c r="O136" i="13"/>
  <c r="N136" i="13"/>
  <c r="M136" i="13"/>
  <c r="L136" i="13"/>
  <c r="A136" i="13"/>
  <c r="S113" i="13"/>
  <c r="R113" i="13"/>
  <c r="Q113" i="13"/>
  <c r="P113" i="13"/>
  <c r="O113" i="13"/>
  <c r="N113" i="13"/>
  <c r="M113" i="13"/>
  <c r="L113" i="13"/>
  <c r="A113" i="13"/>
  <c r="S24" i="13"/>
  <c r="R24" i="13"/>
  <c r="Q24" i="13"/>
  <c r="P24" i="13"/>
  <c r="O24" i="13"/>
  <c r="N24" i="13"/>
  <c r="M24" i="13"/>
  <c r="L24" i="13"/>
  <c r="A24" i="13"/>
  <c r="S6" i="13"/>
  <c r="R6" i="13"/>
  <c r="Q6" i="13"/>
  <c r="P6" i="13"/>
  <c r="O6" i="13"/>
  <c r="N6" i="13"/>
  <c r="M6" i="13"/>
  <c r="L6" i="13"/>
  <c r="A6" i="13"/>
  <c r="S18" i="13"/>
  <c r="R18" i="13"/>
  <c r="Q18" i="13"/>
  <c r="P18" i="13"/>
  <c r="O18" i="13"/>
  <c r="N18" i="13"/>
  <c r="M18" i="13"/>
  <c r="L18" i="13"/>
  <c r="A18" i="13"/>
  <c r="S12" i="13"/>
  <c r="R12" i="13"/>
  <c r="Q12" i="13"/>
  <c r="P12" i="13"/>
  <c r="O12" i="13"/>
  <c r="N12" i="13"/>
  <c r="M12" i="13"/>
  <c r="L12" i="13"/>
  <c r="A12" i="13"/>
  <c r="S86" i="13"/>
  <c r="R86" i="13"/>
  <c r="Q86" i="13"/>
  <c r="P86" i="13"/>
  <c r="O86" i="13"/>
  <c r="N86" i="13"/>
  <c r="M86" i="13"/>
  <c r="L86" i="13"/>
  <c r="A86" i="13"/>
  <c r="S141" i="13"/>
  <c r="R141" i="13"/>
  <c r="Q141" i="13"/>
  <c r="P141" i="13"/>
  <c r="O141" i="13"/>
  <c r="N141" i="13"/>
  <c r="M141" i="13"/>
  <c r="L141" i="13"/>
  <c r="A141" i="13"/>
  <c r="S156" i="13"/>
  <c r="R156" i="13"/>
  <c r="Q156" i="13"/>
  <c r="P156" i="13"/>
  <c r="O156" i="13"/>
  <c r="N156" i="13"/>
  <c r="M156" i="13"/>
  <c r="L156" i="13"/>
  <c r="A156" i="13"/>
  <c r="S162" i="13"/>
  <c r="R162" i="13"/>
  <c r="Q162" i="13"/>
  <c r="P162" i="13"/>
  <c r="O162" i="13"/>
  <c r="N162" i="13"/>
  <c r="M162" i="13"/>
  <c r="L162" i="13"/>
  <c r="A162" i="13"/>
  <c r="S85" i="13"/>
  <c r="R85" i="13"/>
  <c r="Q85" i="13"/>
  <c r="P85" i="13"/>
  <c r="O85" i="13"/>
  <c r="N85" i="13"/>
  <c r="M85" i="13"/>
  <c r="L85" i="13"/>
  <c r="A85" i="13"/>
  <c r="S140" i="13"/>
  <c r="R140" i="13"/>
  <c r="Q140" i="13"/>
  <c r="P140" i="13"/>
  <c r="O140" i="13"/>
  <c r="N140" i="13"/>
  <c r="M140" i="13"/>
  <c r="L140" i="13"/>
  <c r="A140" i="13"/>
  <c r="S125" i="13"/>
  <c r="R125" i="13"/>
  <c r="Q125" i="13"/>
  <c r="P125" i="13"/>
  <c r="O125" i="13"/>
  <c r="N125" i="13"/>
  <c r="M125" i="13"/>
  <c r="L125" i="13"/>
  <c r="A125" i="13"/>
  <c r="S58" i="13"/>
  <c r="R58" i="13"/>
  <c r="Q58" i="13"/>
  <c r="P58" i="13"/>
  <c r="O58" i="13"/>
  <c r="N58" i="13"/>
  <c r="M58" i="13"/>
  <c r="L58" i="13"/>
  <c r="A58" i="13"/>
  <c r="S84" i="13"/>
  <c r="R84" i="13"/>
  <c r="Q84" i="13"/>
  <c r="P84" i="13"/>
  <c r="O84" i="13"/>
  <c r="N84" i="13"/>
  <c r="M84" i="13"/>
  <c r="L84" i="13"/>
  <c r="A84" i="13"/>
  <c r="S119" i="13"/>
  <c r="R119" i="13"/>
  <c r="Q119" i="13"/>
  <c r="P119" i="13"/>
  <c r="O119" i="13"/>
  <c r="N119" i="13"/>
  <c r="M119" i="13"/>
  <c r="L119" i="13"/>
  <c r="A119" i="13"/>
  <c r="S73" i="13"/>
  <c r="R73" i="13"/>
  <c r="Q73" i="13"/>
  <c r="P73" i="13"/>
  <c r="O73" i="13"/>
  <c r="N73" i="13"/>
  <c r="M73" i="13"/>
  <c r="L73" i="13"/>
  <c r="A73" i="13"/>
  <c r="S57" i="13"/>
  <c r="R57" i="13"/>
  <c r="Q57" i="13"/>
  <c r="P57" i="13"/>
  <c r="O57" i="13"/>
  <c r="N57" i="13"/>
  <c r="M57" i="13"/>
  <c r="L57" i="13"/>
  <c r="A57" i="13"/>
  <c r="S83" i="13"/>
  <c r="R83" i="13"/>
  <c r="Q83" i="13"/>
  <c r="P83" i="13"/>
  <c r="O83" i="13"/>
  <c r="N83" i="13"/>
  <c r="M83" i="13"/>
  <c r="L83" i="13"/>
  <c r="A83" i="13"/>
  <c r="S41" i="13"/>
  <c r="R41" i="13"/>
  <c r="Q41" i="13"/>
  <c r="P41" i="13"/>
  <c r="O41" i="13"/>
  <c r="N41" i="13"/>
  <c r="M41" i="13"/>
  <c r="L41" i="13"/>
  <c r="A41" i="13"/>
  <c r="S72" i="13"/>
  <c r="R72" i="13"/>
  <c r="Q72" i="13"/>
  <c r="P72" i="13"/>
  <c r="O72" i="13"/>
  <c r="N72" i="13"/>
  <c r="M72" i="13"/>
  <c r="L72" i="13"/>
  <c r="A72" i="13"/>
  <c r="S56" i="13"/>
  <c r="R56" i="13"/>
  <c r="Q56" i="13"/>
  <c r="P56" i="13"/>
  <c r="O56" i="13"/>
  <c r="N56" i="13"/>
  <c r="M56" i="13"/>
  <c r="L56" i="13"/>
  <c r="A56" i="13"/>
  <c r="S82" i="13"/>
  <c r="R82" i="13"/>
  <c r="Q82" i="13"/>
  <c r="P82" i="13"/>
  <c r="O82" i="13"/>
  <c r="N82" i="13"/>
  <c r="M82" i="13"/>
  <c r="L82" i="13"/>
  <c r="A82" i="13"/>
  <c r="S133" i="13"/>
  <c r="R133" i="13"/>
  <c r="Q133" i="13"/>
  <c r="P133" i="13"/>
  <c r="O133" i="13"/>
  <c r="N133" i="13"/>
  <c r="M133" i="13"/>
  <c r="L133" i="13"/>
  <c r="A133" i="13"/>
  <c r="S114" i="13"/>
  <c r="R114" i="13"/>
  <c r="Q114" i="13"/>
  <c r="P114" i="13"/>
  <c r="O114" i="13"/>
  <c r="N114" i="13"/>
  <c r="M114" i="13"/>
  <c r="L114" i="13"/>
  <c r="A114" i="13"/>
  <c r="S11" i="13"/>
  <c r="R11" i="13"/>
  <c r="Q11" i="13"/>
  <c r="P11" i="13"/>
  <c r="O11" i="13"/>
  <c r="N11" i="13"/>
  <c r="M11" i="13"/>
  <c r="L11" i="13"/>
  <c r="A11" i="13"/>
  <c r="S23" i="13"/>
  <c r="R23" i="13"/>
  <c r="Q23" i="13"/>
  <c r="P23" i="13"/>
  <c r="O23" i="13"/>
  <c r="N23" i="13"/>
  <c r="M23" i="13"/>
  <c r="L23" i="13"/>
  <c r="A23" i="13"/>
  <c r="S5" i="13"/>
  <c r="R5" i="13"/>
  <c r="Q5" i="13"/>
  <c r="P5" i="13"/>
  <c r="O5" i="13"/>
  <c r="N5" i="13"/>
  <c r="M5" i="13"/>
  <c r="L5" i="13"/>
  <c r="A5" i="13"/>
  <c r="S17" i="13"/>
  <c r="R17" i="13"/>
  <c r="Q17" i="13"/>
  <c r="P17" i="13"/>
  <c r="O17" i="13"/>
  <c r="N17" i="13"/>
  <c r="M17" i="13"/>
  <c r="L17" i="13"/>
  <c r="A17" i="13"/>
  <c r="S55" i="13"/>
  <c r="R55" i="13"/>
  <c r="Q55" i="13"/>
  <c r="P55" i="13"/>
  <c r="O55" i="13"/>
  <c r="N55" i="13"/>
  <c r="M55" i="13"/>
  <c r="L55" i="13"/>
  <c r="A55" i="13"/>
  <c r="S151" i="13"/>
  <c r="R151" i="13"/>
  <c r="Q151" i="13"/>
  <c r="P151" i="13"/>
  <c r="O151" i="13"/>
  <c r="N151" i="13"/>
  <c r="M151" i="13"/>
  <c r="L151" i="13"/>
  <c r="A151" i="13"/>
  <c r="S153" i="13"/>
  <c r="R153" i="13"/>
  <c r="Q153" i="13"/>
  <c r="P153" i="13"/>
  <c r="O153" i="13"/>
  <c r="N153" i="13"/>
  <c r="M153" i="13"/>
  <c r="L153" i="13"/>
  <c r="A153" i="13"/>
  <c r="S163" i="13"/>
  <c r="R163" i="13"/>
  <c r="Q163" i="13"/>
  <c r="P163" i="13"/>
  <c r="O163" i="13"/>
  <c r="N163" i="13"/>
  <c r="M163" i="13"/>
  <c r="L163" i="13"/>
  <c r="A163" i="13"/>
  <c r="S54" i="13"/>
  <c r="R54" i="13"/>
  <c r="Q54" i="13"/>
  <c r="P54" i="13"/>
  <c r="O54" i="13"/>
  <c r="N54" i="13"/>
  <c r="M54" i="13"/>
  <c r="L54" i="13"/>
  <c r="A54" i="13"/>
  <c r="S150" i="13"/>
  <c r="R150" i="13"/>
  <c r="Q150" i="13"/>
  <c r="P150" i="13"/>
  <c r="O150" i="13"/>
  <c r="N150" i="13"/>
  <c r="M150" i="13"/>
  <c r="L150" i="13"/>
  <c r="A150" i="13"/>
  <c r="S118" i="13"/>
  <c r="R118" i="13"/>
  <c r="Q118" i="13"/>
  <c r="P118" i="13"/>
  <c r="O118" i="13"/>
  <c r="N118" i="13"/>
  <c r="M118" i="13"/>
  <c r="L118" i="13"/>
  <c r="A118" i="13"/>
  <c r="S71" i="13"/>
  <c r="R71" i="13"/>
  <c r="Q71" i="13"/>
  <c r="P71" i="13"/>
  <c r="O71" i="13"/>
  <c r="N71" i="13"/>
  <c r="M71" i="13"/>
  <c r="L71" i="13"/>
  <c r="A71" i="13"/>
  <c r="S53" i="13"/>
  <c r="R53" i="13"/>
  <c r="Q53" i="13"/>
  <c r="P53" i="13"/>
  <c r="O53" i="13"/>
  <c r="N53" i="13"/>
  <c r="M53" i="13"/>
  <c r="L53" i="13"/>
  <c r="A53" i="13"/>
  <c r="S128" i="13"/>
  <c r="R128" i="13"/>
  <c r="Q128" i="13"/>
  <c r="P128" i="13"/>
  <c r="O128" i="13"/>
  <c r="N128" i="13"/>
  <c r="M128" i="13"/>
  <c r="L128" i="13"/>
  <c r="A128" i="13"/>
  <c r="S40" i="13"/>
  <c r="R40" i="13"/>
  <c r="Q40" i="13"/>
  <c r="P40" i="13"/>
  <c r="O40" i="13"/>
  <c r="N40" i="13"/>
  <c r="M40" i="13"/>
  <c r="L40" i="13"/>
  <c r="A40" i="13"/>
  <c r="S70" i="13"/>
  <c r="R70" i="13"/>
  <c r="Q70" i="13"/>
  <c r="P70" i="13"/>
  <c r="O70" i="13"/>
  <c r="N70" i="13"/>
  <c r="M70" i="13"/>
  <c r="L70" i="13"/>
  <c r="A70" i="13"/>
  <c r="S52" i="13"/>
  <c r="R52" i="13"/>
  <c r="Q52" i="13"/>
  <c r="P52" i="13"/>
  <c r="O52" i="13"/>
  <c r="N52" i="13"/>
  <c r="M52" i="13"/>
  <c r="L52" i="13"/>
  <c r="A52" i="13"/>
  <c r="S81" i="13"/>
  <c r="R81" i="13"/>
  <c r="Q81" i="13"/>
  <c r="P81" i="13"/>
  <c r="O81" i="13"/>
  <c r="N81" i="13"/>
  <c r="M81" i="13"/>
  <c r="L81" i="13"/>
  <c r="A81" i="13"/>
  <c r="S39" i="13"/>
  <c r="R39" i="13"/>
  <c r="Q39" i="13"/>
  <c r="P39" i="13"/>
  <c r="O39" i="13"/>
  <c r="N39" i="13"/>
  <c r="M39" i="13"/>
  <c r="L39" i="13"/>
  <c r="A39" i="13"/>
  <c r="S69" i="13"/>
  <c r="R69" i="13"/>
  <c r="Q69" i="13"/>
  <c r="P69" i="13"/>
  <c r="O69" i="13"/>
  <c r="N69" i="13"/>
  <c r="M69" i="13"/>
  <c r="L69" i="13"/>
  <c r="A69" i="13"/>
  <c r="S51" i="13"/>
  <c r="R51" i="13"/>
  <c r="Q51" i="13"/>
  <c r="P51" i="13"/>
  <c r="O51" i="13"/>
  <c r="N51" i="13"/>
  <c r="L51" i="13"/>
  <c r="A51" i="13"/>
  <c r="S137" i="13"/>
  <c r="R137" i="13"/>
  <c r="Q137" i="13"/>
  <c r="P137" i="13"/>
  <c r="O137" i="13"/>
  <c r="N137" i="13"/>
  <c r="L137" i="13"/>
  <c r="A137" i="13"/>
  <c r="S112" i="13"/>
  <c r="R112" i="13"/>
  <c r="Q112" i="13"/>
  <c r="P112" i="13"/>
  <c r="O112" i="13"/>
  <c r="N112" i="13"/>
  <c r="L112" i="13"/>
  <c r="A112" i="13"/>
  <c r="S16" i="13"/>
  <c r="R16" i="13"/>
  <c r="Q16" i="13"/>
  <c r="P16" i="13"/>
  <c r="O16" i="13"/>
  <c r="N16" i="13"/>
  <c r="L16" i="13"/>
  <c r="A16" i="13"/>
  <c r="S10" i="13"/>
  <c r="R10" i="13"/>
  <c r="Q10" i="13"/>
  <c r="P10" i="13"/>
  <c r="O10" i="13"/>
  <c r="N10" i="13"/>
  <c r="L10" i="13"/>
  <c r="A10" i="13"/>
  <c r="S22" i="13"/>
  <c r="R22" i="13"/>
  <c r="Q22" i="13"/>
  <c r="P22" i="13"/>
  <c r="O22" i="13"/>
  <c r="N22" i="13"/>
  <c r="L22" i="13"/>
  <c r="A22" i="13"/>
  <c r="S4" i="13"/>
  <c r="R4" i="13"/>
  <c r="Q4" i="13"/>
  <c r="P4" i="13"/>
  <c r="O4" i="13"/>
  <c r="N4" i="13"/>
  <c r="L4" i="13"/>
  <c r="A4" i="13"/>
  <c r="S68" i="13"/>
  <c r="R68" i="13"/>
  <c r="Q68" i="13"/>
  <c r="P68" i="13"/>
  <c r="O68" i="13"/>
  <c r="N68" i="13"/>
  <c r="L68" i="13"/>
  <c r="A68" i="13"/>
  <c r="S145" i="13"/>
  <c r="R145" i="13"/>
  <c r="Q145" i="13"/>
  <c r="P145" i="13"/>
  <c r="O145" i="13"/>
  <c r="N145" i="13"/>
  <c r="L145" i="13"/>
  <c r="A145" i="13"/>
  <c r="S158" i="13"/>
  <c r="R158" i="13"/>
  <c r="Q158" i="13"/>
  <c r="P158" i="13"/>
  <c r="O158" i="13"/>
  <c r="N158" i="13"/>
  <c r="L158" i="13"/>
  <c r="A158" i="13"/>
  <c r="S161" i="13"/>
  <c r="R161" i="13"/>
  <c r="Q161" i="13"/>
  <c r="P161" i="13"/>
  <c r="O161" i="13"/>
  <c r="N161" i="13"/>
  <c r="L161" i="13"/>
  <c r="A161" i="13"/>
  <c r="S67" i="13"/>
  <c r="R67" i="13"/>
  <c r="Q67" i="13"/>
  <c r="P67" i="13"/>
  <c r="O67" i="13"/>
  <c r="N67" i="13"/>
  <c r="L67" i="13"/>
  <c r="A67" i="13"/>
  <c r="S144" i="13"/>
  <c r="R144" i="13"/>
  <c r="Q144" i="13"/>
  <c r="P144" i="13"/>
  <c r="O144" i="13"/>
  <c r="N144" i="13"/>
  <c r="L144" i="13"/>
  <c r="A144" i="13"/>
  <c r="S127" i="13"/>
  <c r="R127" i="13"/>
  <c r="Q127" i="13"/>
  <c r="P127" i="13"/>
  <c r="O127" i="13"/>
  <c r="N127" i="13"/>
  <c r="L127" i="13"/>
  <c r="A127" i="13"/>
  <c r="S38" i="13"/>
  <c r="R38" i="13"/>
  <c r="Q38" i="13"/>
  <c r="P38" i="13"/>
  <c r="O38" i="13"/>
  <c r="N38" i="13"/>
  <c r="L38" i="13"/>
  <c r="A38" i="13"/>
  <c r="S66" i="13"/>
  <c r="R66" i="13"/>
  <c r="Q66" i="13"/>
  <c r="P66" i="13"/>
  <c r="O66" i="13"/>
  <c r="N66" i="13"/>
  <c r="L66" i="13"/>
  <c r="A66" i="13"/>
  <c r="S121" i="13"/>
  <c r="R121" i="13"/>
  <c r="Q121" i="13"/>
  <c r="P121" i="13"/>
  <c r="O121" i="13"/>
  <c r="N121" i="13"/>
  <c r="L121" i="13"/>
  <c r="A121" i="13"/>
  <c r="S80" i="13"/>
  <c r="R80" i="13"/>
  <c r="Q80" i="13"/>
  <c r="P80" i="13"/>
  <c r="O80" i="13"/>
  <c r="N80" i="13"/>
  <c r="L80" i="13"/>
  <c r="A80" i="13"/>
  <c r="S37" i="13"/>
  <c r="R37" i="13"/>
  <c r="Q37" i="13"/>
  <c r="P37" i="13"/>
  <c r="O37" i="13"/>
  <c r="N37" i="13"/>
  <c r="L37" i="13"/>
  <c r="A37" i="13"/>
  <c r="S65" i="13"/>
  <c r="R65" i="13"/>
  <c r="Q65" i="13"/>
  <c r="P65" i="13"/>
  <c r="O65" i="13"/>
  <c r="N65" i="13"/>
  <c r="L65" i="13"/>
  <c r="A65" i="13"/>
  <c r="S50" i="13"/>
  <c r="R50" i="13"/>
  <c r="Q50" i="13"/>
  <c r="P50" i="13"/>
  <c r="O50" i="13"/>
  <c r="N50" i="13"/>
  <c r="L50" i="13"/>
  <c r="A50" i="13"/>
  <c r="S79" i="13"/>
  <c r="R79" i="13"/>
  <c r="Q79" i="13"/>
  <c r="P79" i="13"/>
  <c r="O79" i="13"/>
  <c r="N79" i="13"/>
  <c r="L79" i="13"/>
  <c r="A79" i="13"/>
  <c r="S36" i="13"/>
  <c r="R36" i="13"/>
  <c r="Q36" i="13"/>
  <c r="P36" i="13"/>
  <c r="O36" i="13"/>
  <c r="N36" i="13"/>
  <c r="L36" i="13"/>
  <c r="A36" i="13"/>
  <c r="S64" i="13"/>
  <c r="R64" i="13"/>
  <c r="Q64" i="13"/>
  <c r="P64" i="13"/>
  <c r="O64" i="13"/>
  <c r="N64" i="13"/>
  <c r="L64" i="13"/>
  <c r="A64" i="13"/>
  <c r="S134" i="13"/>
  <c r="R134" i="13"/>
  <c r="Q134" i="13"/>
  <c r="P134" i="13"/>
  <c r="O134" i="13"/>
  <c r="N134" i="13"/>
  <c r="L134" i="13"/>
  <c r="A134" i="13"/>
  <c r="S115" i="13"/>
  <c r="R115" i="13"/>
  <c r="Q115" i="13"/>
  <c r="P115" i="13"/>
  <c r="O115" i="13"/>
  <c r="N115" i="13"/>
  <c r="L115" i="13"/>
  <c r="A115" i="13"/>
  <c r="S3" i="13"/>
  <c r="R3" i="13"/>
  <c r="Q3" i="13"/>
  <c r="P3" i="13"/>
  <c r="O3" i="13"/>
  <c r="N3" i="13"/>
  <c r="L3" i="13"/>
  <c r="A3" i="13"/>
  <c r="S15" i="13"/>
  <c r="R15" i="13"/>
  <c r="Q15" i="13"/>
  <c r="P15" i="13"/>
  <c r="O15" i="13"/>
  <c r="N15" i="13"/>
  <c r="L15" i="13"/>
  <c r="A15" i="13"/>
  <c r="S9" i="13"/>
  <c r="R9" i="13"/>
  <c r="Q9" i="13"/>
  <c r="P9" i="13"/>
  <c r="O9" i="13"/>
  <c r="N9" i="13"/>
  <c r="L9" i="13"/>
  <c r="A9" i="13"/>
  <c r="S21" i="13"/>
  <c r="R21" i="13"/>
  <c r="Q21" i="13"/>
  <c r="P21" i="13"/>
  <c r="O21" i="13"/>
  <c r="N21" i="13"/>
  <c r="L21" i="13"/>
  <c r="A21" i="13"/>
  <c r="S35" i="13"/>
  <c r="R35" i="13"/>
  <c r="Q35" i="13"/>
  <c r="P35" i="13"/>
  <c r="O35" i="13"/>
  <c r="N35" i="13"/>
  <c r="L35" i="13"/>
  <c r="A35" i="13"/>
  <c r="S147" i="13"/>
  <c r="R147" i="13"/>
  <c r="Q147" i="13"/>
  <c r="P147" i="13"/>
  <c r="O147" i="13"/>
  <c r="N147" i="13"/>
  <c r="L147" i="13"/>
  <c r="A147" i="13"/>
  <c r="S154" i="13"/>
  <c r="R154" i="13"/>
  <c r="Q154" i="13"/>
  <c r="P154" i="13"/>
  <c r="O154" i="13"/>
  <c r="N154" i="13"/>
  <c r="L154" i="13"/>
  <c r="A154" i="13"/>
  <c r="S164" i="13"/>
  <c r="R164" i="13"/>
  <c r="Q164" i="13"/>
  <c r="P164" i="13"/>
  <c r="O164" i="13"/>
  <c r="N164" i="13"/>
  <c r="L164" i="13"/>
  <c r="A164" i="13"/>
  <c r="S34" i="13"/>
  <c r="R34" i="13"/>
  <c r="Q34" i="13"/>
  <c r="P34" i="13"/>
  <c r="O34" i="13"/>
  <c r="N34" i="13"/>
  <c r="L34" i="13"/>
  <c r="A34" i="13"/>
  <c r="S146" i="13"/>
  <c r="R146" i="13"/>
  <c r="Q146" i="13"/>
  <c r="P146" i="13"/>
  <c r="O146" i="13"/>
  <c r="N146" i="13"/>
  <c r="L146" i="13"/>
  <c r="A146" i="13"/>
  <c r="S120" i="13"/>
  <c r="R120" i="13"/>
  <c r="Q120" i="13"/>
  <c r="P120" i="13"/>
  <c r="O120" i="13"/>
  <c r="N120" i="13"/>
  <c r="L120" i="13"/>
  <c r="A120" i="13"/>
  <c r="S100" i="13"/>
  <c r="R100" i="13"/>
  <c r="Q100" i="13"/>
  <c r="P100" i="13"/>
  <c r="O100" i="13"/>
  <c r="N100" i="13"/>
  <c r="L100" i="13"/>
  <c r="A100" i="13"/>
  <c r="S94" i="13"/>
  <c r="R94" i="13"/>
  <c r="Q94" i="13"/>
  <c r="P94" i="13"/>
  <c r="O94" i="13"/>
  <c r="N94" i="13"/>
  <c r="L94" i="13"/>
  <c r="A94" i="13"/>
  <c r="S130" i="13"/>
  <c r="R130" i="13"/>
  <c r="Q130" i="13"/>
  <c r="P130" i="13"/>
  <c r="O130" i="13"/>
  <c r="N130" i="13"/>
  <c r="L130" i="13"/>
  <c r="A130" i="13"/>
  <c r="S96" i="13"/>
  <c r="R96" i="13"/>
  <c r="Q96" i="13"/>
  <c r="P96" i="13"/>
  <c r="O96" i="13"/>
  <c r="N96" i="13"/>
  <c r="L96" i="13"/>
  <c r="A96" i="13"/>
  <c r="S99" i="13"/>
  <c r="R99" i="13"/>
  <c r="Q99" i="13"/>
  <c r="P99" i="13"/>
  <c r="O99" i="13"/>
  <c r="N99" i="13"/>
  <c r="L99" i="13"/>
  <c r="D99" i="13"/>
  <c r="A99" i="13"/>
  <c r="S93" i="13"/>
  <c r="R93" i="13"/>
  <c r="Q93" i="13"/>
  <c r="P93" i="13"/>
  <c r="O93" i="13"/>
  <c r="N93" i="13"/>
  <c r="L93" i="13"/>
  <c r="D93" i="13"/>
  <c r="A93" i="13"/>
  <c r="S97" i="13"/>
  <c r="R97" i="13"/>
  <c r="Q97" i="13"/>
  <c r="P97" i="13"/>
  <c r="O97" i="13"/>
  <c r="N97" i="13"/>
  <c r="L97" i="13"/>
  <c r="D97" i="13"/>
  <c r="A97" i="13"/>
  <c r="S95" i="13"/>
  <c r="R95" i="13"/>
  <c r="Q95" i="13"/>
  <c r="P95" i="13"/>
  <c r="O95" i="13"/>
  <c r="N95" i="13"/>
  <c r="L95" i="13"/>
  <c r="D95" i="13"/>
  <c r="A95" i="13"/>
  <c r="S98" i="13"/>
  <c r="R98" i="13"/>
  <c r="Q98" i="13"/>
  <c r="P98" i="13"/>
  <c r="O98" i="13"/>
  <c r="N98" i="13"/>
  <c r="L98" i="13"/>
  <c r="D98" i="13"/>
  <c r="A98" i="13"/>
  <c r="S92" i="13"/>
  <c r="R92" i="13"/>
  <c r="Q92" i="13"/>
  <c r="P92" i="13"/>
  <c r="O92" i="13"/>
  <c r="N92" i="13"/>
  <c r="L92" i="13"/>
  <c r="A92" i="13"/>
  <c r="S138" i="13"/>
  <c r="R138" i="13"/>
  <c r="Q138" i="13"/>
  <c r="P138" i="13"/>
  <c r="O138" i="13"/>
  <c r="N138" i="13"/>
  <c r="L138" i="13"/>
  <c r="A138" i="13"/>
  <c r="S117" i="13"/>
  <c r="R117" i="13"/>
  <c r="Q117" i="13"/>
  <c r="P117" i="13"/>
  <c r="O117" i="13"/>
  <c r="N117" i="13"/>
  <c r="L117" i="13"/>
  <c r="A117" i="13"/>
  <c r="S28" i="13"/>
  <c r="R28" i="13"/>
  <c r="Q28" i="13"/>
  <c r="P28" i="13"/>
  <c r="O28" i="13"/>
  <c r="N28" i="13"/>
  <c r="L28" i="13"/>
  <c r="A28" i="13"/>
  <c r="S26" i="13"/>
  <c r="R26" i="13"/>
  <c r="Q26" i="13"/>
  <c r="P26" i="13"/>
  <c r="O26" i="13"/>
  <c r="N26" i="13"/>
  <c r="L26" i="13"/>
  <c r="A26" i="13"/>
  <c r="S27" i="13"/>
  <c r="R27" i="13"/>
  <c r="Q27" i="13"/>
  <c r="P27" i="13"/>
  <c r="O27" i="13"/>
  <c r="N27" i="13"/>
  <c r="L27" i="13"/>
  <c r="A27" i="13"/>
  <c r="S29" i="13"/>
  <c r="R29" i="13"/>
  <c r="Q29" i="13"/>
  <c r="P29" i="13"/>
  <c r="O29" i="13"/>
  <c r="N29" i="13"/>
  <c r="L29" i="13"/>
  <c r="A29" i="13"/>
  <c r="S109" i="13"/>
  <c r="R109" i="13"/>
  <c r="Q109" i="13"/>
  <c r="P109" i="13"/>
  <c r="O109" i="13"/>
  <c r="N109" i="13"/>
  <c r="L109" i="13"/>
  <c r="A109" i="13"/>
  <c r="S139" i="13"/>
  <c r="R139" i="13"/>
  <c r="Q139" i="13"/>
  <c r="P139" i="13"/>
  <c r="O139" i="13"/>
  <c r="N139" i="13"/>
  <c r="L139" i="13"/>
  <c r="A139" i="13"/>
  <c r="S159" i="13"/>
  <c r="R159" i="13"/>
  <c r="Q159" i="13"/>
  <c r="P159" i="13"/>
  <c r="O159" i="13"/>
  <c r="N159" i="13"/>
  <c r="L159" i="13"/>
  <c r="A159" i="13"/>
  <c r="S166" i="13"/>
  <c r="R166" i="13"/>
  <c r="Q166" i="13"/>
  <c r="P166" i="13"/>
  <c r="O166" i="13"/>
  <c r="N166" i="13"/>
  <c r="L166" i="13"/>
  <c r="A166" i="13"/>
  <c r="S108" i="13"/>
  <c r="R108" i="13"/>
  <c r="Q108" i="13"/>
  <c r="P108" i="13"/>
  <c r="O108" i="13"/>
  <c r="N108" i="13"/>
  <c r="L108" i="13"/>
  <c r="A108" i="13"/>
  <c r="S152" i="13"/>
  <c r="R152" i="13"/>
  <c r="Q152" i="13"/>
  <c r="P152" i="13"/>
  <c r="O152" i="13"/>
  <c r="N152" i="13"/>
  <c r="L152" i="13"/>
  <c r="A152" i="13"/>
  <c r="S124" i="13"/>
  <c r="R124" i="13"/>
  <c r="Q124" i="13"/>
  <c r="P124" i="13"/>
  <c r="O124" i="13"/>
  <c r="N124" i="13"/>
  <c r="L124" i="13"/>
  <c r="A124" i="13"/>
  <c r="S110" i="13"/>
  <c r="R110" i="13"/>
  <c r="Q110" i="13"/>
  <c r="P110" i="13"/>
  <c r="O110" i="13"/>
  <c r="N110" i="13"/>
  <c r="L110" i="13"/>
  <c r="A110" i="13"/>
  <c r="S78" i="13"/>
  <c r="R78" i="13"/>
  <c r="Q78" i="13"/>
  <c r="P78" i="13"/>
  <c r="O78" i="13"/>
  <c r="N78" i="13"/>
  <c r="L78" i="13"/>
  <c r="A78" i="13"/>
  <c r="S131" i="13"/>
  <c r="R131" i="13"/>
  <c r="Q131" i="13"/>
  <c r="P131" i="13"/>
  <c r="O131" i="13"/>
  <c r="N131" i="13"/>
  <c r="L131" i="13"/>
  <c r="A131" i="13"/>
  <c r="S106" i="13"/>
  <c r="R106" i="13"/>
  <c r="Q106" i="13"/>
  <c r="P106" i="13"/>
  <c r="O106" i="13"/>
  <c r="N106" i="13"/>
  <c r="L106" i="13"/>
  <c r="A106" i="13"/>
  <c r="S104" i="13"/>
  <c r="R104" i="13"/>
  <c r="Q104" i="13"/>
  <c r="P104" i="13"/>
  <c r="O104" i="13"/>
  <c r="N104" i="13"/>
  <c r="L104" i="13"/>
  <c r="A104" i="13"/>
  <c r="S107" i="13"/>
  <c r="R107" i="13"/>
  <c r="Q107" i="13"/>
  <c r="P107" i="13"/>
  <c r="O107" i="13"/>
  <c r="N107" i="13"/>
  <c r="L107" i="13"/>
  <c r="E107" i="13"/>
  <c r="A107" i="13"/>
  <c r="S102" i="13"/>
  <c r="R102" i="13"/>
  <c r="Q102" i="13"/>
  <c r="P102" i="13"/>
  <c r="O102" i="13"/>
  <c r="N102" i="13"/>
  <c r="L102" i="13"/>
  <c r="E102" i="13"/>
  <c r="A102" i="13"/>
  <c r="S105" i="13"/>
  <c r="R105" i="13"/>
  <c r="Q105" i="13"/>
  <c r="P105" i="13"/>
  <c r="O105" i="13"/>
  <c r="N105" i="13"/>
  <c r="L105" i="13"/>
  <c r="E105" i="13"/>
  <c r="A105" i="13"/>
  <c r="S103" i="13"/>
  <c r="R103" i="13"/>
  <c r="Q103" i="13"/>
  <c r="P103" i="13"/>
  <c r="O103" i="13"/>
  <c r="N103" i="13"/>
  <c r="L103" i="13"/>
  <c r="E103" i="13"/>
  <c r="A103" i="13"/>
  <c r="E101" i="13"/>
  <c r="L101" i="13"/>
  <c r="L31" i="12" a="1"/>
  <c r="L31" i="12" s="1"/>
  <c r="L30" i="12" a="1"/>
  <c r="L30" i="12" s="1"/>
  <c r="L29" i="12" a="1"/>
  <c r="L29" i="12" s="1"/>
  <c r="L28" i="12" a="1"/>
  <c r="L28" i="12" s="1"/>
  <c r="L27" i="12" a="1"/>
  <c r="L27" i="12" s="1"/>
  <c r="L26" i="12" a="1"/>
  <c r="L26" i="12" s="1"/>
  <c r="L25" i="12" a="1"/>
  <c r="L25" i="12" s="1"/>
  <c r="L24" i="12" a="1"/>
  <c r="L24" i="12" s="1"/>
  <c r="L23" i="12" a="1"/>
  <c r="L23" i="12" s="1"/>
  <c r="L22" i="12" a="1"/>
  <c r="L22" i="12" s="1"/>
  <c r="E104" i="13" l="1"/>
  <c r="E64" i="5"/>
  <c r="E64" i="4" s="1"/>
  <c r="E59" i="5"/>
  <c r="E59" i="4" s="1"/>
  <c r="E106" i="13" l="1"/>
  <c r="AG500" i="2"/>
  <c r="AE500" i="2"/>
  <c r="AC500" i="2" s="1"/>
  <c r="AH500" i="2" s="1"/>
  <c r="AD500" i="2"/>
  <c r="U500" i="2" a="1"/>
  <c r="U500" i="2" s="1"/>
  <c r="V500" i="2" s="1"/>
  <c r="T500" i="2" a="1"/>
  <c r="T500" i="2" s="1"/>
  <c r="AG499" i="2"/>
  <c r="AE499" i="2"/>
  <c r="AC499" i="2" s="1"/>
  <c r="AH499" i="2" s="1"/>
  <c r="AD499" i="2"/>
  <c r="U499" i="2" a="1"/>
  <c r="U499" i="2" s="1"/>
  <c r="V499" i="2" s="1"/>
  <c r="T499" i="2" a="1"/>
  <c r="T499" i="2" s="1"/>
  <c r="AG498" i="2"/>
  <c r="AE498" i="2"/>
  <c r="AC498" i="2" s="1"/>
  <c r="AH498" i="2" s="1"/>
  <c r="AD498" i="2"/>
  <c r="U498" i="2" a="1"/>
  <c r="U498" i="2" s="1"/>
  <c r="V498" i="2" s="1"/>
  <c r="T498" i="2" a="1"/>
  <c r="T498" i="2" s="1"/>
  <c r="AG497" i="2"/>
  <c r="AE497" i="2"/>
  <c r="AC497" i="2" s="1"/>
  <c r="AH497" i="2" s="1"/>
  <c r="AD497" i="2"/>
  <c r="U497" i="2" a="1"/>
  <c r="U497" i="2" s="1"/>
  <c r="V497" i="2" s="1"/>
  <c r="T497" i="2" a="1"/>
  <c r="T497" i="2" s="1"/>
  <c r="AG496" i="2"/>
  <c r="AE496" i="2"/>
  <c r="AC496" i="2" s="1"/>
  <c r="AH496" i="2" s="1"/>
  <c r="AD496" i="2"/>
  <c r="U496" i="2" a="1"/>
  <c r="U496" i="2" s="1"/>
  <c r="V496" i="2" s="1"/>
  <c r="T496" i="2" a="1"/>
  <c r="T496" i="2" s="1"/>
  <c r="AG495" i="2"/>
  <c r="AE495" i="2"/>
  <c r="AC495" i="2" s="1"/>
  <c r="AH495" i="2" s="1"/>
  <c r="AD495" i="2"/>
  <c r="U495" i="2" a="1"/>
  <c r="U495" i="2" s="1"/>
  <c r="V495" i="2" s="1"/>
  <c r="T495" i="2" a="1"/>
  <c r="T495" i="2" s="1"/>
  <c r="AG494" i="2"/>
  <c r="AE494" i="2"/>
  <c r="AC494" i="2" s="1"/>
  <c r="AH494" i="2" s="1"/>
  <c r="AD494" i="2"/>
  <c r="U494" i="2" a="1"/>
  <c r="U494" i="2" s="1"/>
  <c r="V494" i="2" s="1"/>
  <c r="T494" i="2" a="1"/>
  <c r="T494" i="2" s="1"/>
  <c r="AG493" i="2"/>
  <c r="AE493" i="2"/>
  <c r="AC493" i="2" s="1"/>
  <c r="AH493" i="2" s="1"/>
  <c r="AD493" i="2"/>
  <c r="U493" i="2" a="1"/>
  <c r="U493" i="2" s="1"/>
  <c r="V493" i="2" s="1"/>
  <c r="T493" i="2" a="1"/>
  <c r="T493" i="2" s="1"/>
  <c r="AG492" i="2"/>
  <c r="AE492" i="2"/>
  <c r="AC492" i="2" s="1"/>
  <c r="AH492" i="2" s="1"/>
  <c r="AD492" i="2"/>
  <c r="U492" i="2" a="1"/>
  <c r="U492" i="2" s="1"/>
  <c r="V492" i="2" s="1"/>
  <c r="T492" i="2" a="1"/>
  <c r="T492" i="2" s="1"/>
  <c r="AG491" i="2"/>
  <c r="AE491" i="2"/>
  <c r="AC491" i="2" s="1"/>
  <c r="AH491" i="2" s="1"/>
  <c r="AD491" i="2"/>
  <c r="U491" i="2" a="1"/>
  <c r="U491" i="2" s="1"/>
  <c r="V491" i="2" s="1"/>
  <c r="T491" i="2" a="1"/>
  <c r="T491" i="2" s="1"/>
  <c r="AG490" i="2"/>
  <c r="AE490" i="2"/>
  <c r="AC490" i="2" s="1"/>
  <c r="AH490" i="2" s="1"/>
  <c r="AD490" i="2"/>
  <c r="U490" i="2" a="1"/>
  <c r="U490" i="2" s="1"/>
  <c r="V490" i="2" s="1"/>
  <c r="T490" i="2" a="1"/>
  <c r="T490" i="2" s="1"/>
  <c r="AG489" i="2"/>
  <c r="AE489" i="2"/>
  <c r="AC489" i="2" s="1"/>
  <c r="AH489" i="2" s="1"/>
  <c r="AD489" i="2"/>
  <c r="U489" i="2" a="1"/>
  <c r="U489" i="2" s="1"/>
  <c r="V489" i="2" s="1"/>
  <c r="T489" i="2" a="1"/>
  <c r="T489" i="2" s="1"/>
  <c r="AG488" i="2"/>
  <c r="AE488" i="2"/>
  <c r="AC488" i="2" s="1"/>
  <c r="AH488" i="2" s="1"/>
  <c r="AD488" i="2"/>
  <c r="U488" i="2" a="1"/>
  <c r="U488" i="2" s="1"/>
  <c r="V488" i="2" s="1"/>
  <c r="T488" i="2" a="1"/>
  <c r="T488" i="2" s="1"/>
  <c r="AG487" i="2"/>
  <c r="AE487" i="2"/>
  <c r="AC487" i="2" s="1"/>
  <c r="AH487" i="2" s="1"/>
  <c r="AD487" i="2"/>
  <c r="U487" i="2" a="1"/>
  <c r="U487" i="2" s="1"/>
  <c r="V487" i="2" s="1"/>
  <c r="T487" i="2" a="1"/>
  <c r="T487" i="2" s="1"/>
  <c r="AG486" i="2"/>
  <c r="AE486" i="2"/>
  <c r="AC486" i="2" s="1"/>
  <c r="AH486" i="2" s="1"/>
  <c r="AD486" i="2"/>
  <c r="U486" i="2" a="1"/>
  <c r="U486" i="2" s="1"/>
  <c r="V486" i="2" s="1"/>
  <c r="T486" i="2" a="1"/>
  <c r="T486" i="2" s="1"/>
  <c r="AG485" i="2"/>
  <c r="AE485" i="2"/>
  <c r="AC485" i="2" s="1"/>
  <c r="AH485" i="2" s="1"/>
  <c r="AD485" i="2"/>
  <c r="U485" i="2" a="1"/>
  <c r="U485" i="2" s="1"/>
  <c r="V485" i="2" s="1"/>
  <c r="T485" i="2" a="1"/>
  <c r="T485" i="2" s="1"/>
  <c r="AG484" i="2"/>
  <c r="AE484" i="2"/>
  <c r="AC484" i="2" s="1"/>
  <c r="AH484" i="2" s="1"/>
  <c r="AD484" i="2"/>
  <c r="U484" i="2" a="1"/>
  <c r="U484" i="2" s="1"/>
  <c r="V484" i="2" s="1"/>
  <c r="T484" i="2" a="1"/>
  <c r="T484" i="2" s="1"/>
  <c r="AG483" i="2"/>
  <c r="AE483" i="2"/>
  <c r="AC483" i="2" s="1"/>
  <c r="AH483" i="2" s="1"/>
  <c r="AD483" i="2"/>
  <c r="U483" i="2" a="1"/>
  <c r="U483" i="2" s="1"/>
  <c r="V483" i="2" s="1"/>
  <c r="T483" i="2" a="1"/>
  <c r="T483" i="2" s="1"/>
  <c r="AG482" i="2"/>
  <c r="AE482" i="2"/>
  <c r="AC482" i="2" s="1"/>
  <c r="AH482" i="2" s="1"/>
  <c r="AD482" i="2"/>
  <c r="U482" i="2" a="1"/>
  <c r="U482" i="2" s="1"/>
  <c r="V482" i="2" s="1"/>
  <c r="T482" i="2" a="1"/>
  <c r="T482" i="2" s="1"/>
  <c r="AG481" i="2"/>
  <c r="AE481" i="2"/>
  <c r="AC481" i="2" s="1"/>
  <c r="AH481" i="2" s="1"/>
  <c r="AD481" i="2"/>
  <c r="U481" i="2" a="1"/>
  <c r="U481" i="2" s="1"/>
  <c r="V481" i="2" s="1"/>
  <c r="T481" i="2" a="1"/>
  <c r="T481" i="2" s="1"/>
  <c r="AG480" i="2"/>
  <c r="AE480" i="2"/>
  <c r="AC480" i="2" s="1"/>
  <c r="AH480" i="2" s="1"/>
  <c r="AD480" i="2"/>
  <c r="U480" i="2" a="1"/>
  <c r="U480" i="2" s="1"/>
  <c r="V480" i="2" s="1"/>
  <c r="T480" i="2" a="1"/>
  <c r="T480" i="2" s="1"/>
  <c r="AG479" i="2"/>
  <c r="AE479" i="2"/>
  <c r="AC479" i="2" s="1"/>
  <c r="AH479" i="2" s="1"/>
  <c r="AD479" i="2"/>
  <c r="U479" i="2" a="1"/>
  <c r="U479" i="2" s="1"/>
  <c r="V479" i="2" s="1"/>
  <c r="T479" i="2" a="1"/>
  <c r="T479" i="2" s="1"/>
  <c r="AG478" i="2"/>
  <c r="AE478" i="2"/>
  <c r="AC478" i="2" s="1"/>
  <c r="AH478" i="2" s="1"/>
  <c r="AD478" i="2"/>
  <c r="U478" i="2" a="1"/>
  <c r="U478" i="2" s="1"/>
  <c r="V478" i="2" s="1"/>
  <c r="T478" i="2" a="1"/>
  <c r="T478" i="2" s="1"/>
  <c r="AG477" i="2"/>
  <c r="AE477" i="2"/>
  <c r="AC477" i="2" s="1"/>
  <c r="AH477" i="2" s="1"/>
  <c r="AD477" i="2"/>
  <c r="U477" i="2" a="1"/>
  <c r="U477" i="2" s="1"/>
  <c r="V477" i="2" s="1"/>
  <c r="T477" i="2" a="1"/>
  <c r="T477" i="2" s="1"/>
  <c r="AG476" i="2"/>
  <c r="AE476" i="2"/>
  <c r="AC476" i="2" s="1"/>
  <c r="AH476" i="2" s="1"/>
  <c r="AD476" i="2"/>
  <c r="U476" i="2" a="1"/>
  <c r="U476" i="2" s="1"/>
  <c r="V476" i="2" s="1"/>
  <c r="T476" i="2" a="1"/>
  <c r="T476" i="2" s="1"/>
  <c r="AG475" i="2"/>
  <c r="AE475" i="2"/>
  <c r="AC475" i="2" s="1"/>
  <c r="AH475" i="2" s="1"/>
  <c r="AD475" i="2"/>
  <c r="U475" i="2" a="1"/>
  <c r="U475" i="2" s="1"/>
  <c r="V475" i="2" s="1"/>
  <c r="T475" i="2" a="1"/>
  <c r="T475" i="2" s="1"/>
  <c r="AG474" i="2"/>
  <c r="AE474" i="2"/>
  <c r="AC474" i="2" s="1"/>
  <c r="AH474" i="2" s="1"/>
  <c r="AD474" i="2"/>
  <c r="U474" i="2" a="1"/>
  <c r="U474" i="2" s="1"/>
  <c r="V474" i="2" s="1"/>
  <c r="T474" i="2" a="1"/>
  <c r="T474" i="2" s="1"/>
  <c r="AG473" i="2"/>
  <c r="AE473" i="2"/>
  <c r="AC473" i="2" s="1"/>
  <c r="AH473" i="2" s="1"/>
  <c r="AD473" i="2"/>
  <c r="U473" i="2" a="1"/>
  <c r="U473" i="2" s="1"/>
  <c r="V473" i="2" s="1"/>
  <c r="T473" i="2" a="1"/>
  <c r="T473" i="2" s="1"/>
  <c r="AG472" i="2"/>
  <c r="AE472" i="2"/>
  <c r="AC472" i="2" s="1"/>
  <c r="AH472" i="2" s="1"/>
  <c r="AD472" i="2"/>
  <c r="U472" i="2" a="1"/>
  <c r="U472" i="2" s="1"/>
  <c r="V472" i="2" s="1"/>
  <c r="T472" i="2" a="1"/>
  <c r="T472" i="2" s="1"/>
  <c r="AG471" i="2"/>
  <c r="AE471" i="2"/>
  <c r="AC471" i="2" s="1"/>
  <c r="AH471" i="2" s="1"/>
  <c r="AD471" i="2"/>
  <c r="U471" i="2" a="1"/>
  <c r="U471" i="2" s="1"/>
  <c r="V471" i="2" s="1"/>
  <c r="T471" i="2" a="1"/>
  <c r="T471" i="2" s="1"/>
  <c r="AG470" i="2"/>
  <c r="AE470" i="2"/>
  <c r="AC470" i="2" s="1"/>
  <c r="AH470" i="2" s="1"/>
  <c r="AD470" i="2"/>
  <c r="U470" i="2" a="1"/>
  <c r="U470" i="2" s="1"/>
  <c r="V470" i="2" s="1"/>
  <c r="T470" i="2" a="1"/>
  <c r="T470" i="2" s="1"/>
  <c r="AG469" i="2"/>
  <c r="AE469" i="2"/>
  <c r="AC469" i="2" s="1"/>
  <c r="AH469" i="2" s="1"/>
  <c r="AD469" i="2"/>
  <c r="U469" i="2" a="1"/>
  <c r="U469" i="2" s="1"/>
  <c r="V469" i="2" s="1"/>
  <c r="T469" i="2" a="1"/>
  <c r="T469" i="2" s="1"/>
  <c r="AG468" i="2"/>
  <c r="AE468" i="2"/>
  <c r="AC468" i="2" s="1"/>
  <c r="AH468" i="2" s="1"/>
  <c r="AD468" i="2"/>
  <c r="U468" i="2" a="1"/>
  <c r="U468" i="2" s="1"/>
  <c r="V468" i="2" s="1"/>
  <c r="T468" i="2" a="1"/>
  <c r="T468" i="2" s="1"/>
  <c r="AG467" i="2"/>
  <c r="AE467" i="2"/>
  <c r="AC467" i="2" s="1"/>
  <c r="AH467" i="2" s="1"/>
  <c r="AD467" i="2"/>
  <c r="U467" i="2" a="1"/>
  <c r="U467" i="2" s="1"/>
  <c r="V467" i="2" s="1"/>
  <c r="T467" i="2" a="1"/>
  <c r="T467" i="2" s="1"/>
  <c r="AG466" i="2"/>
  <c r="AE466" i="2"/>
  <c r="AC466" i="2" s="1"/>
  <c r="AH466" i="2" s="1"/>
  <c r="AD466" i="2"/>
  <c r="U466" i="2" a="1"/>
  <c r="U466" i="2" s="1"/>
  <c r="V466" i="2" s="1"/>
  <c r="T466" i="2" a="1"/>
  <c r="T466" i="2" s="1"/>
  <c r="AG465" i="2"/>
  <c r="AE465" i="2"/>
  <c r="AC465" i="2" s="1"/>
  <c r="AH465" i="2" s="1"/>
  <c r="AD465" i="2"/>
  <c r="U465" i="2" a="1"/>
  <c r="U465" i="2" s="1"/>
  <c r="V465" i="2" s="1"/>
  <c r="T465" i="2" a="1"/>
  <c r="T465" i="2" s="1"/>
  <c r="AG464" i="2"/>
  <c r="AE464" i="2"/>
  <c r="AC464" i="2" s="1"/>
  <c r="AH464" i="2" s="1"/>
  <c r="AD464" i="2"/>
  <c r="U464" i="2" a="1"/>
  <c r="U464" i="2" s="1"/>
  <c r="V464" i="2" s="1"/>
  <c r="T464" i="2" a="1"/>
  <c r="T464" i="2" s="1"/>
  <c r="AG463" i="2"/>
  <c r="AE463" i="2"/>
  <c r="AC463" i="2" s="1"/>
  <c r="AH463" i="2" s="1"/>
  <c r="AD463" i="2"/>
  <c r="U463" i="2" a="1"/>
  <c r="U463" i="2" s="1"/>
  <c r="V463" i="2" s="1"/>
  <c r="T463" i="2" a="1"/>
  <c r="T463" i="2" s="1"/>
  <c r="AG462" i="2"/>
  <c r="AE462" i="2"/>
  <c r="AC462" i="2" s="1"/>
  <c r="AH462" i="2" s="1"/>
  <c r="AD462" i="2"/>
  <c r="U462" i="2" a="1"/>
  <c r="U462" i="2" s="1"/>
  <c r="V462" i="2" s="1"/>
  <c r="T462" i="2" a="1"/>
  <c r="T462" i="2" s="1"/>
  <c r="AG461" i="2"/>
  <c r="AE461" i="2"/>
  <c r="AC461" i="2" s="1"/>
  <c r="AH461" i="2" s="1"/>
  <c r="AD461" i="2"/>
  <c r="U461" i="2" a="1"/>
  <c r="U461" i="2" s="1"/>
  <c r="V461" i="2" s="1"/>
  <c r="T461" i="2" a="1"/>
  <c r="T461" i="2" s="1"/>
  <c r="AG460" i="2"/>
  <c r="AE460" i="2"/>
  <c r="AC460" i="2" s="1"/>
  <c r="AH460" i="2" s="1"/>
  <c r="AD460" i="2"/>
  <c r="U460" i="2" a="1"/>
  <c r="U460" i="2" s="1"/>
  <c r="V460" i="2" s="1"/>
  <c r="T460" i="2" a="1"/>
  <c r="T460" i="2" s="1"/>
  <c r="AG459" i="2"/>
  <c r="AE459" i="2"/>
  <c r="AC459" i="2" s="1"/>
  <c r="AH459" i="2" s="1"/>
  <c r="AD459" i="2"/>
  <c r="U459" i="2" a="1"/>
  <c r="U459" i="2" s="1"/>
  <c r="V459" i="2" s="1"/>
  <c r="T459" i="2" a="1"/>
  <c r="T459" i="2" s="1"/>
  <c r="AG458" i="2"/>
  <c r="AE458" i="2"/>
  <c r="AC458" i="2" s="1"/>
  <c r="AH458" i="2" s="1"/>
  <c r="AD458" i="2"/>
  <c r="U458" i="2" a="1"/>
  <c r="U458" i="2" s="1"/>
  <c r="V458" i="2" s="1"/>
  <c r="T458" i="2" a="1"/>
  <c r="T458" i="2" s="1"/>
  <c r="AG457" i="2"/>
  <c r="AE457" i="2"/>
  <c r="AC457" i="2" s="1"/>
  <c r="AH457" i="2" s="1"/>
  <c r="AD457" i="2"/>
  <c r="U457" i="2" a="1"/>
  <c r="U457" i="2" s="1"/>
  <c r="V457" i="2" s="1"/>
  <c r="T457" i="2" a="1"/>
  <c r="T457" i="2" s="1"/>
  <c r="AG456" i="2"/>
  <c r="AE456" i="2"/>
  <c r="AC456" i="2" s="1"/>
  <c r="AH456" i="2" s="1"/>
  <c r="AD456" i="2"/>
  <c r="U456" i="2" a="1"/>
  <c r="U456" i="2" s="1"/>
  <c r="V456" i="2" s="1"/>
  <c r="T456" i="2" a="1"/>
  <c r="T456" i="2" s="1"/>
  <c r="AG455" i="2"/>
  <c r="AE455" i="2"/>
  <c r="AC455" i="2" s="1"/>
  <c r="AH455" i="2" s="1"/>
  <c r="AD455" i="2"/>
  <c r="U455" i="2" a="1"/>
  <c r="U455" i="2" s="1"/>
  <c r="V455" i="2" s="1"/>
  <c r="T455" i="2" a="1"/>
  <c r="T455" i="2" s="1"/>
  <c r="AG454" i="2"/>
  <c r="AE454" i="2"/>
  <c r="AC454" i="2" s="1"/>
  <c r="AH454" i="2" s="1"/>
  <c r="AD454" i="2"/>
  <c r="U454" i="2" a="1"/>
  <c r="U454" i="2" s="1"/>
  <c r="V454" i="2" s="1"/>
  <c r="T454" i="2" a="1"/>
  <c r="T454" i="2" s="1"/>
  <c r="AG453" i="2"/>
  <c r="AE453" i="2"/>
  <c r="AC453" i="2" s="1"/>
  <c r="AH453" i="2" s="1"/>
  <c r="AD453" i="2"/>
  <c r="U453" i="2" a="1"/>
  <c r="U453" i="2" s="1"/>
  <c r="V453" i="2" s="1"/>
  <c r="T453" i="2" a="1"/>
  <c r="T453" i="2" s="1"/>
  <c r="AG452" i="2"/>
  <c r="AE452" i="2"/>
  <c r="AC452" i="2" s="1"/>
  <c r="AH452" i="2" s="1"/>
  <c r="AD452" i="2"/>
  <c r="U452" i="2" a="1"/>
  <c r="U452" i="2" s="1"/>
  <c r="V452" i="2" s="1"/>
  <c r="T452" i="2" a="1"/>
  <c r="T452" i="2" s="1"/>
  <c r="AG451" i="2"/>
  <c r="AE451" i="2"/>
  <c r="AC451" i="2" s="1"/>
  <c r="AH451" i="2" s="1"/>
  <c r="AD451" i="2"/>
  <c r="U451" i="2" a="1"/>
  <c r="U451" i="2" s="1"/>
  <c r="V451" i="2" s="1"/>
  <c r="T451" i="2" a="1"/>
  <c r="T451" i="2" s="1"/>
  <c r="AG450" i="2"/>
  <c r="AE450" i="2"/>
  <c r="AC450" i="2" s="1"/>
  <c r="AH450" i="2" s="1"/>
  <c r="AD450" i="2"/>
  <c r="U450" i="2" a="1"/>
  <c r="U450" i="2" s="1"/>
  <c r="V450" i="2" s="1"/>
  <c r="T450" i="2" a="1"/>
  <c r="T450" i="2" s="1"/>
  <c r="AG449" i="2"/>
  <c r="AE449" i="2"/>
  <c r="AC449" i="2" s="1"/>
  <c r="AH449" i="2" s="1"/>
  <c r="AD449" i="2"/>
  <c r="U449" i="2" a="1"/>
  <c r="U449" i="2" s="1"/>
  <c r="V449" i="2" s="1"/>
  <c r="T449" i="2" a="1"/>
  <c r="T449" i="2" s="1"/>
  <c r="AG448" i="2"/>
  <c r="AE448" i="2"/>
  <c r="AC448" i="2" s="1"/>
  <c r="AH448" i="2" s="1"/>
  <c r="AD448" i="2"/>
  <c r="U448" i="2" a="1"/>
  <c r="U448" i="2" s="1"/>
  <c r="V448" i="2" s="1"/>
  <c r="T448" i="2" a="1"/>
  <c r="T448" i="2" s="1"/>
  <c r="AG447" i="2"/>
  <c r="AE447" i="2"/>
  <c r="AC447" i="2" s="1"/>
  <c r="AH447" i="2" s="1"/>
  <c r="AD447" i="2"/>
  <c r="U447" i="2" a="1"/>
  <c r="U447" i="2" s="1"/>
  <c r="V447" i="2" s="1"/>
  <c r="T447" i="2" a="1"/>
  <c r="T447" i="2" s="1"/>
  <c r="AG446" i="2"/>
  <c r="AE446" i="2"/>
  <c r="AC446" i="2" s="1"/>
  <c r="AH446" i="2" s="1"/>
  <c r="AD446" i="2"/>
  <c r="U446" i="2" a="1"/>
  <c r="U446" i="2" s="1"/>
  <c r="V446" i="2" s="1"/>
  <c r="T446" i="2" a="1"/>
  <c r="T446" i="2" s="1"/>
  <c r="AG445" i="2"/>
  <c r="AE445" i="2"/>
  <c r="AC445" i="2" s="1"/>
  <c r="AH445" i="2" s="1"/>
  <c r="AD445" i="2"/>
  <c r="U445" i="2" a="1"/>
  <c r="U445" i="2" s="1"/>
  <c r="V445" i="2" s="1"/>
  <c r="T445" i="2" a="1"/>
  <c r="T445" i="2" s="1"/>
  <c r="AG444" i="2"/>
  <c r="AE444" i="2"/>
  <c r="AC444" i="2" s="1"/>
  <c r="AH444" i="2" s="1"/>
  <c r="AD444" i="2"/>
  <c r="U444" i="2" a="1"/>
  <c r="U444" i="2" s="1"/>
  <c r="V444" i="2" s="1"/>
  <c r="T444" i="2" a="1"/>
  <c r="T444" i="2" s="1"/>
  <c r="AG443" i="2"/>
  <c r="AE443" i="2"/>
  <c r="AC443" i="2" s="1"/>
  <c r="AH443" i="2" s="1"/>
  <c r="AD443" i="2"/>
  <c r="U443" i="2" a="1"/>
  <c r="U443" i="2" s="1"/>
  <c r="V443" i="2" s="1"/>
  <c r="T443" i="2" a="1"/>
  <c r="T443" i="2" s="1"/>
  <c r="AG442" i="2"/>
  <c r="AE442" i="2"/>
  <c r="AC442" i="2" s="1"/>
  <c r="AH442" i="2" s="1"/>
  <c r="AD442" i="2"/>
  <c r="U442" i="2" a="1"/>
  <c r="U442" i="2" s="1"/>
  <c r="V442" i="2" s="1"/>
  <c r="T442" i="2" a="1"/>
  <c r="T442" i="2" s="1"/>
  <c r="AG441" i="2"/>
  <c r="AE441" i="2"/>
  <c r="AC441" i="2" s="1"/>
  <c r="AH441" i="2" s="1"/>
  <c r="AD441" i="2"/>
  <c r="U441" i="2" a="1"/>
  <c r="U441" i="2" s="1"/>
  <c r="V441" i="2" s="1"/>
  <c r="T441" i="2" a="1"/>
  <c r="T441" i="2" s="1"/>
  <c r="AG440" i="2"/>
  <c r="AE440" i="2"/>
  <c r="AC440" i="2" s="1"/>
  <c r="AH440" i="2" s="1"/>
  <c r="AD440" i="2"/>
  <c r="U440" i="2" a="1"/>
  <c r="U440" i="2" s="1"/>
  <c r="V440" i="2" s="1"/>
  <c r="T440" i="2" a="1"/>
  <c r="T440" i="2" s="1"/>
  <c r="AG439" i="2"/>
  <c r="AE439" i="2"/>
  <c r="AC439" i="2" s="1"/>
  <c r="AH439" i="2" s="1"/>
  <c r="AD439" i="2"/>
  <c r="U439" i="2" a="1"/>
  <c r="U439" i="2" s="1"/>
  <c r="V439" i="2" s="1"/>
  <c r="T439" i="2" a="1"/>
  <c r="T439" i="2" s="1"/>
  <c r="AG438" i="2"/>
  <c r="AE438" i="2"/>
  <c r="AC438" i="2" s="1"/>
  <c r="AH438" i="2" s="1"/>
  <c r="AD438" i="2"/>
  <c r="U438" i="2" a="1"/>
  <c r="U438" i="2" s="1"/>
  <c r="V438" i="2" s="1"/>
  <c r="T438" i="2" a="1"/>
  <c r="T438" i="2" s="1"/>
  <c r="AG437" i="2"/>
  <c r="AE437" i="2"/>
  <c r="AC437" i="2" s="1"/>
  <c r="AH437" i="2" s="1"/>
  <c r="AD437" i="2"/>
  <c r="U437" i="2" a="1"/>
  <c r="U437" i="2" s="1"/>
  <c r="V437" i="2" s="1"/>
  <c r="T437" i="2" a="1"/>
  <c r="T437" i="2" s="1"/>
  <c r="AG436" i="2"/>
  <c r="AE436" i="2"/>
  <c r="AC436" i="2" s="1"/>
  <c r="AH436" i="2" s="1"/>
  <c r="AD436" i="2"/>
  <c r="U436" i="2" a="1"/>
  <c r="U436" i="2" s="1"/>
  <c r="V436" i="2" s="1"/>
  <c r="T436" i="2" a="1"/>
  <c r="T436" i="2" s="1"/>
  <c r="AG435" i="2"/>
  <c r="AE435" i="2"/>
  <c r="AC435" i="2" s="1"/>
  <c r="AH435" i="2" s="1"/>
  <c r="AD435" i="2"/>
  <c r="U435" i="2" a="1"/>
  <c r="U435" i="2" s="1"/>
  <c r="V435" i="2" s="1"/>
  <c r="T435" i="2" a="1"/>
  <c r="T435" i="2" s="1"/>
  <c r="AG434" i="2"/>
  <c r="AE434" i="2"/>
  <c r="AC434" i="2" s="1"/>
  <c r="AH434" i="2" s="1"/>
  <c r="AD434" i="2"/>
  <c r="U434" i="2" a="1"/>
  <c r="U434" i="2" s="1"/>
  <c r="V434" i="2" s="1"/>
  <c r="T434" i="2" a="1"/>
  <c r="T434" i="2" s="1"/>
  <c r="AG433" i="2"/>
  <c r="AE433" i="2"/>
  <c r="AC433" i="2" s="1"/>
  <c r="AH433" i="2" s="1"/>
  <c r="AD433" i="2"/>
  <c r="U433" i="2" a="1"/>
  <c r="U433" i="2" s="1"/>
  <c r="V433" i="2" s="1"/>
  <c r="T433" i="2" a="1"/>
  <c r="T433" i="2" s="1"/>
  <c r="AG432" i="2"/>
  <c r="AE432" i="2"/>
  <c r="AC432" i="2" s="1"/>
  <c r="AH432" i="2" s="1"/>
  <c r="AD432" i="2"/>
  <c r="U432" i="2" a="1"/>
  <c r="U432" i="2" s="1"/>
  <c r="V432" i="2" s="1"/>
  <c r="T432" i="2" a="1"/>
  <c r="T432" i="2" s="1"/>
  <c r="AG431" i="2"/>
  <c r="AE431" i="2"/>
  <c r="AC431" i="2" s="1"/>
  <c r="AH431" i="2" s="1"/>
  <c r="AD431" i="2"/>
  <c r="U431" i="2" a="1"/>
  <c r="U431" i="2" s="1"/>
  <c r="V431" i="2" s="1"/>
  <c r="T431" i="2" a="1"/>
  <c r="T431" i="2" s="1"/>
  <c r="AG430" i="2"/>
  <c r="AE430" i="2"/>
  <c r="AC430" i="2" s="1"/>
  <c r="AH430" i="2" s="1"/>
  <c r="AD430" i="2"/>
  <c r="U430" i="2" a="1"/>
  <c r="U430" i="2" s="1"/>
  <c r="V430" i="2" s="1"/>
  <c r="T430" i="2" a="1"/>
  <c r="T430" i="2" s="1"/>
  <c r="AG429" i="2"/>
  <c r="AE429" i="2"/>
  <c r="AC429" i="2" s="1"/>
  <c r="AH429" i="2" s="1"/>
  <c r="AD429" i="2"/>
  <c r="U429" i="2" a="1"/>
  <c r="U429" i="2" s="1"/>
  <c r="V429" i="2" s="1"/>
  <c r="T429" i="2" a="1"/>
  <c r="T429" i="2" s="1"/>
  <c r="AG428" i="2"/>
  <c r="AE428" i="2"/>
  <c r="AC428" i="2" s="1"/>
  <c r="AH428" i="2" s="1"/>
  <c r="AD428" i="2"/>
  <c r="U428" i="2" a="1"/>
  <c r="U428" i="2" s="1"/>
  <c r="V428" i="2" s="1"/>
  <c r="T428" i="2" a="1"/>
  <c r="T428" i="2" s="1"/>
  <c r="AG427" i="2"/>
  <c r="AE427" i="2"/>
  <c r="AC427" i="2" s="1"/>
  <c r="AH427" i="2" s="1"/>
  <c r="AD427" i="2"/>
  <c r="U427" i="2" a="1"/>
  <c r="U427" i="2" s="1"/>
  <c r="V427" i="2" s="1"/>
  <c r="T427" i="2" a="1"/>
  <c r="T427" i="2" s="1"/>
  <c r="AG426" i="2"/>
  <c r="AE426" i="2"/>
  <c r="AC426" i="2" s="1"/>
  <c r="AH426" i="2" s="1"/>
  <c r="AD426" i="2"/>
  <c r="U426" i="2" a="1"/>
  <c r="U426" i="2" s="1"/>
  <c r="V426" i="2" s="1"/>
  <c r="T426" i="2" a="1"/>
  <c r="T426" i="2" s="1"/>
  <c r="AG425" i="2"/>
  <c r="AE425" i="2"/>
  <c r="AC425" i="2" s="1"/>
  <c r="AH425" i="2" s="1"/>
  <c r="AD425" i="2"/>
  <c r="U425" i="2" a="1"/>
  <c r="U425" i="2" s="1"/>
  <c r="V425" i="2" s="1"/>
  <c r="T425" i="2" a="1"/>
  <c r="T425" i="2" s="1"/>
  <c r="AG424" i="2"/>
  <c r="AE424" i="2"/>
  <c r="AC424" i="2" s="1"/>
  <c r="AH424" i="2" s="1"/>
  <c r="AD424" i="2"/>
  <c r="U424" i="2" a="1"/>
  <c r="U424" i="2" s="1"/>
  <c r="V424" i="2" s="1"/>
  <c r="T424" i="2" a="1"/>
  <c r="T424" i="2" s="1"/>
  <c r="AG423" i="2"/>
  <c r="AE423" i="2"/>
  <c r="AC423" i="2" s="1"/>
  <c r="AH423" i="2" s="1"/>
  <c r="AD423" i="2"/>
  <c r="U423" i="2" a="1"/>
  <c r="U423" i="2" s="1"/>
  <c r="V423" i="2" s="1"/>
  <c r="T423" i="2" a="1"/>
  <c r="T423" i="2" s="1"/>
  <c r="AG422" i="2"/>
  <c r="AE422" i="2"/>
  <c r="AC422" i="2" s="1"/>
  <c r="AH422" i="2" s="1"/>
  <c r="AD422" i="2"/>
  <c r="U422" i="2" a="1"/>
  <c r="U422" i="2" s="1"/>
  <c r="V422" i="2" s="1"/>
  <c r="T422" i="2" a="1"/>
  <c r="T422" i="2" s="1"/>
  <c r="AG421" i="2"/>
  <c r="AE421" i="2"/>
  <c r="AC421" i="2" s="1"/>
  <c r="AH421" i="2" s="1"/>
  <c r="AD421" i="2"/>
  <c r="U421" i="2" a="1"/>
  <c r="U421" i="2" s="1"/>
  <c r="V421" i="2" s="1"/>
  <c r="T421" i="2" a="1"/>
  <c r="T421" i="2" s="1"/>
  <c r="AG420" i="2"/>
  <c r="AE420" i="2"/>
  <c r="AC420" i="2" s="1"/>
  <c r="AH420" i="2" s="1"/>
  <c r="AD420" i="2"/>
  <c r="U420" i="2" a="1"/>
  <c r="U420" i="2" s="1"/>
  <c r="V420" i="2" s="1"/>
  <c r="T420" i="2" a="1"/>
  <c r="T420" i="2" s="1"/>
  <c r="AG419" i="2"/>
  <c r="AE419" i="2"/>
  <c r="AC419" i="2" s="1"/>
  <c r="AH419" i="2" s="1"/>
  <c r="AD419" i="2"/>
  <c r="U419" i="2" a="1"/>
  <c r="U419" i="2" s="1"/>
  <c r="V419" i="2" s="1"/>
  <c r="T419" i="2" a="1"/>
  <c r="T419" i="2" s="1"/>
  <c r="AG418" i="2"/>
  <c r="AE418" i="2"/>
  <c r="AC418" i="2" s="1"/>
  <c r="AH418" i="2" s="1"/>
  <c r="AD418" i="2"/>
  <c r="U418" i="2" a="1"/>
  <c r="U418" i="2" s="1"/>
  <c r="V418" i="2" s="1"/>
  <c r="T418" i="2" a="1"/>
  <c r="T418" i="2" s="1"/>
  <c r="AG417" i="2"/>
  <c r="AE417" i="2"/>
  <c r="AC417" i="2" s="1"/>
  <c r="AH417" i="2" s="1"/>
  <c r="AD417" i="2"/>
  <c r="U417" i="2" a="1"/>
  <c r="U417" i="2" s="1"/>
  <c r="V417" i="2" s="1"/>
  <c r="T417" i="2" a="1"/>
  <c r="T417" i="2" s="1"/>
  <c r="AG416" i="2"/>
  <c r="AE416" i="2"/>
  <c r="AC416" i="2" s="1"/>
  <c r="AH416" i="2" s="1"/>
  <c r="AD416" i="2"/>
  <c r="U416" i="2" a="1"/>
  <c r="U416" i="2" s="1"/>
  <c r="V416" i="2" s="1"/>
  <c r="T416" i="2" a="1"/>
  <c r="T416" i="2" s="1"/>
  <c r="AG415" i="2"/>
  <c r="AE415" i="2"/>
  <c r="AC415" i="2" s="1"/>
  <c r="AH415" i="2" s="1"/>
  <c r="AD415" i="2"/>
  <c r="U415" i="2" a="1"/>
  <c r="U415" i="2" s="1"/>
  <c r="V415" i="2" s="1"/>
  <c r="T415" i="2" a="1"/>
  <c r="T415" i="2" s="1"/>
  <c r="AG414" i="2"/>
  <c r="AE414" i="2"/>
  <c r="AC414" i="2" s="1"/>
  <c r="AH414" i="2" s="1"/>
  <c r="AD414" i="2"/>
  <c r="U414" i="2" a="1"/>
  <c r="U414" i="2" s="1"/>
  <c r="V414" i="2" s="1"/>
  <c r="T414" i="2" a="1"/>
  <c r="T414" i="2" s="1"/>
  <c r="AG413" i="2"/>
  <c r="AE413" i="2"/>
  <c r="AC413" i="2" s="1"/>
  <c r="AH413" i="2" s="1"/>
  <c r="AD413" i="2"/>
  <c r="U413" i="2" a="1"/>
  <c r="U413" i="2" s="1"/>
  <c r="V413" i="2" s="1"/>
  <c r="T413" i="2" a="1"/>
  <c r="T413" i="2" s="1"/>
  <c r="AG412" i="2"/>
  <c r="AE412" i="2"/>
  <c r="AC412" i="2" s="1"/>
  <c r="AH412" i="2" s="1"/>
  <c r="AD412" i="2"/>
  <c r="U412" i="2" a="1"/>
  <c r="U412" i="2" s="1"/>
  <c r="V412" i="2" s="1"/>
  <c r="T412" i="2" a="1"/>
  <c r="T412" i="2" s="1"/>
  <c r="AG411" i="2"/>
  <c r="AE411" i="2"/>
  <c r="AC411" i="2" s="1"/>
  <c r="AH411" i="2" s="1"/>
  <c r="AD411" i="2"/>
  <c r="U411" i="2" a="1"/>
  <c r="U411" i="2" s="1"/>
  <c r="V411" i="2" s="1"/>
  <c r="T411" i="2" a="1"/>
  <c r="T411" i="2" s="1"/>
  <c r="AG410" i="2"/>
  <c r="AE410" i="2"/>
  <c r="AC410" i="2" s="1"/>
  <c r="AH410" i="2" s="1"/>
  <c r="AD410" i="2"/>
  <c r="U410" i="2" a="1"/>
  <c r="U410" i="2" s="1"/>
  <c r="V410" i="2" s="1"/>
  <c r="T410" i="2" a="1"/>
  <c r="T410" i="2" s="1"/>
  <c r="AG409" i="2"/>
  <c r="AE409" i="2"/>
  <c r="AC409" i="2" s="1"/>
  <c r="AH409" i="2" s="1"/>
  <c r="AD409" i="2"/>
  <c r="U409" i="2" a="1"/>
  <c r="U409" i="2" s="1"/>
  <c r="V409" i="2" s="1"/>
  <c r="T409" i="2" a="1"/>
  <c r="T409" i="2" s="1"/>
  <c r="AG408" i="2"/>
  <c r="AE408" i="2"/>
  <c r="AC408" i="2" s="1"/>
  <c r="AH408" i="2" s="1"/>
  <c r="AD408" i="2"/>
  <c r="U408" i="2" a="1"/>
  <c r="U408" i="2" s="1"/>
  <c r="V408" i="2" s="1"/>
  <c r="T408" i="2" a="1"/>
  <c r="T408" i="2" s="1"/>
  <c r="AG407" i="2"/>
  <c r="AE407" i="2"/>
  <c r="AC407" i="2" s="1"/>
  <c r="AH407" i="2" s="1"/>
  <c r="AD407" i="2"/>
  <c r="U407" i="2" a="1"/>
  <c r="U407" i="2" s="1"/>
  <c r="V407" i="2" s="1"/>
  <c r="T407" i="2" a="1"/>
  <c r="T407" i="2" s="1"/>
  <c r="AG406" i="2"/>
  <c r="AE406" i="2"/>
  <c r="AC406" i="2" s="1"/>
  <c r="AH406" i="2" s="1"/>
  <c r="AD406" i="2"/>
  <c r="U406" i="2" a="1"/>
  <c r="U406" i="2" s="1"/>
  <c r="V406" i="2" s="1"/>
  <c r="T406" i="2" a="1"/>
  <c r="T406" i="2" s="1"/>
  <c r="AG405" i="2"/>
  <c r="AE405" i="2"/>
  <c r="AC405" i="2" s="1"/>
  <c r="AH405" i="2" s="1"/>
  <c r="AD405" i="2"/>
  <c r="U405" i="2" a="1"/>
  <c r="U405" i="2" s="1"/>
  <c r="V405" i="2" s="1"/>
  <c r="T405" i="2" a="1"/>
  <c r="T405" i="2" s="1"/>
  <c r="AG404" i="2"/>
  <c r="AE404" i="2"/>
  <c r="AC404" i="2" s="1"/>
  <c r="AH404" i="2" s="1"/>
  <c r="AD404" i="2"/>
  <c r="U404" i="2" a="1"/>
  <c r="U404" i="2" s="1"/>
  <c r="V404" i="2" s="1"/>
  <c r="T404" i="2" a="1"/>
  <c r="T404" i="2" s="1"/>
  <c r="AG403" i="2"/>
  <c r="AE403" i="2"/>
  <c r="AC403" i="2" s="1"/>
  <c r="AH403" i="2" s="1"/>
  <c r="AD403" i="2"/>
  <c r="U403" i="2" a="1"/>
  <c r="U403" i="2" s="1"/>
  <c r="V403" i="2" s="1"/>
  <c r="T403" i="2" a="1"/>
  <c r="T403" i="2" s="1"/>
  <c r="AG402" i="2"/>
  <c r="AE402" i="2"/>
  <c r="AC402" i="2" s="1"/>
  <c r="AH402" i="2" s="1"/>
  <c r="AD402" i="2"/>
  <c r="U402" i="2" a="1"/>
  <c r="U402" i="2" s="1"/>
  <c r="V402" i="2" s="1"/>
  <c r="T402" i="2" a="1"/>
  <c r="T402" i="2" s="1"/>
  <c r="AG401" i="2"/>
  <c r="AE401" i="2"/>
  <c r="AC401" i="2" s="1"/>
  <c r="AH401" i="2" s="1"/>
  <c r="AD401" i="2"/>
  <c r="U401" i="2" a="1"/>
  <c r="U401" i="2" s="1"/>
  <c r="V401" i="2" s="1"/>
  <c r="T401" i="2" a="1"/>
  <c r="T401" i="2" s="1"/>
  <c r="AG400" i="2"/>
  <c r="AE400" i="2"/>
  <c r="AC400" i="2" s="1"/>
  <c r="AH400" i="2" s="1"/>
  <c r="AD400" i="2"/>
  <c r="U400" i="2" a="1"/>
  <c r="U400" i="2" s="1"/>
  <c r="V400" i="2" s="1"/>
  <c r="T400" i="2" a="1"/>
  <c r="T400" i="2" s="1"/>
  <c r="AG399" i="2"/>
  <c r="AE399" i="2"/>
  <c r="AC399" i="2" s="1"/>
  <c r="AH399" i="2" s="1"/>
  <c r="AD399" i="2"/>
  <c r="U399" i="2" a="1"/>
  <c r="U399" i="2" s="1"/>
  <c r="V399" i="2" s="1"/>
  <c r="T399" i="2" a="1"/>
  <c r="T399" i="2" s="1"/>
  <c r="AG398" i="2"/>
  <c r="AE398" i="2"/>
  <c r="AC398" i="2" s="1"/>
  <c r="AH398" i="2" s="1"/>
  <c r="AD398" i="2"/>
  <c r="U398" i="2" a="1"/>
  <c r="U398" i="2" s="1"/>
  <c r="V398" i="2" s="1"/>
  <c r="T398" i="2" a="1"/>
  <c r="T398" i="2" s="1"/>
  <c r="AG397" i="2"/>
  <c r="AE397" i="2"/>
  <c r="AC397" i="2" s="1"/>
  <c r="AH397" i="2" s="1"/>
  <c r="AD397" i="2"/>
  <c r="U397" i="2" a="1"/>
  <c r="U397" i="2" s="1"/>
  <c r="V397" i="2" s="1"/>
  <c r="T397" i="2" a="1"/>
  <c r="T397" i="2" s="1"/>
  <c r="AG396" i="2"/>
  <c r="AE396" i="2"/>
  <c r="AC396" i="2" s="1"/>
  <c r="AH396" i="2" s="1"/>
  <c r="AD396" i="2"/>
  <c r="U396" i="2" a="1"/>
  <c r="U396" i="2" s="1"/>
  <c r="V396" i="2" s="1"/>
  <c r="T396" i="2" a="1"/>
  <c r="T396" i="2" s="1"/>
  <c r="AG395" i="2"/>
  <c r="AE395" i="2"/>
  <c r="AC395" i="2" s="1"/>
  <c r="AH395" i="2" s="1"/>
  <c r="AD395" i="2"/>
  <c r="U395" i="2" a="1"/>
  <c r="U395" i="2" s="1"/>
  <c r="V395" i="2" s="1"/>
  <c r="T395" i="2" a="1"/>
  <c r="T395" i="2" s="1"/>
  <c r="AG394" i="2"/>
  <c r="AE394" i="2"/>
  <c r="AC394" i="2" s="1"/>
  <c r="AH394" i="2" s="1"/>
  <c r="AD394" i="2"/>
  <c r="U394" i="2" a="1"/>
  <c r="U394" i="2" s="1"/>
  <c r="V394" i="2" s="1"/>
  <c r="T394" i="2" a="1"/>
  <c r="T394" i="2" s="1"/>
  <c r="AG393" i="2"/>
  <c r="AE393" i="2"/>
  <c r="AC393" i="2" s="1"/>
  <c r="AH393" i="2" s="1"/>
  <c r="AD393" i="2"/>
  <c r="U393" i="2" a="1"/>
  <c r="U393" i="2" s="1"/>
  <c r="V393" i="2" s="1"/>
  <c r="T393" i="2" a="1"/>
  <c r="T393" i="2" s="1"/>
  <c r="AG392" i="2"/>
  <c r="AE392" i="2"/>
  <c r="AC392" i="2" s="1"/>
  <c r="AH392" i="2" s="1"/>
  <c r="AD392" i="2"/>
  <c r="U392" i="2" a="1"/>
  <c r="U392" i="2" s="1"/>
  <c r="V392" i="2" s="1"/>
  <c r="T392" i="2" a="1"/>
  <c r="T392" i="2" s="1"/>
  <c r="AG391" i="2"/>
  <c r="AE391" i="2"/>
  <c r="AC391" i="2" s="1"/>
  <c r="AH391" i="2" s="1"/>
  <c r="AD391" i="2"/>
  <c r="U391" i="2" a="1"/>
  <c r="U391" i="2" s="1"/>
  <c r="V391" i="2" s="1"/>
  <c r="T391" i="2" a="1"/>
  <c r="T391" i="2" s="1"/>
  <c r="AG390" i="2"/>
  <c r="AE390" i="2"/>
  <c r="AC390" i="2" s="1"/>
  <c r="AH390" i="2" s="1"/>
  <c r="AD390" i="2"/>
  <c r="U390" i="2" a="1"/>
  <c r="U390" i="2" s="1"/>
  <c r="V390" i="2" s="1"/>
  <c r="T390" i="2" a="1"/>
  <c r="T390" i="2" s="1"/>
  <c r="AG389" i="2"/>
  <c r="AE389" i="2"/>
  <c r="AC389" i="2" s="1"/>
  <c r="AH389" i="2" s="1"/>
  <c r="AD389" i="2"/>
  <c r="U389" i="2" a="1"/>
  <c r="U389" i="2" s="1"/>
  <c r="V389" i="2" s="1"/>
  <c r="T389" i="2" a="1"/>
  <c r="T389" i="2" s="1"/>
  <c r="AG388" i="2"/>
  <c r="AE388" i="2"/>
  <c r="AC388" i="2" s="1"/>
  <c r="AH388" i="2" s="1"/>
  <c r="AD388" i="2"/>
  <c r="U388" i="2" a="1"/>
  <c r="U388" i="2" s="1"/>
  <c r="V388" i="2" s="1"/>
  <c r="T388" i="2" a="1"/>
  <c r="T388" i="2" s="1"/>
  <c r="AG387" i="2"/>
  <c r="AE387" i="2"/>
  <c r="AC387" i="2" s="1"/>
  <c r="AH387" i="2" s="1"/>
  <c r="AD387" i="2"/>
  <c r="U387" i="2" a="1"/>
  <c r="U387" i="2" s="1"/>
  <c r="V387" i="2" s="1"/>
  <c r="T387" i="2" a="1"/>
  <c r="T387" i="2" s="1"/>
  <c r="AG386" i="2"/>
  <c r="AE386" i="2"/>
  <c r="AC386" i="2" s="1"/>
  <c r="AH386" i="2" s="1"/>
  <c r="AD386" i="2"/>
  <c r="U386" i="2" a="1"/>
  <c r="U386" i="2" s="1"/>
  <c r="V386" i="2" s="1"/>
  <c r="T386" i="2" a="1"/>
  <c r="T386" i="2" s="1"/>
  <c r="AG385" i="2"/>
  <c r="AE385" i="2"/>
  <c r="AC385" i="2" s="1"/>
  <c r="AH385" i="2" s="1"/>
  <c r="AD385" i="2"/>
  <c r="U385" i="2" a="1"/>
  <c r="U385" i="2" s="1"/>
  <c r="V385" i="2" s="1"/>
  <c r="T385" i="2" a="1"/>
  <c r="T385" i="2" s="1"/>
  <c r="AG384" i="2"/>
  <c r="AE384" i="2"/>
  <c r="AC384" i="2" s="1"/>
  <c r="AH384" i="2" s="1"/>
  <c r="AD384" i="2"/>
  <c r="U384" i="2" a="1"/>
  <c r="U384" i="2" s="1"/>
  <c r="V384" i="2" s="1"/>
  <c r="T384" i="2" a="1"/>
  <c r="T384" i="2" s="1"/>
  <c r="AG383" i="2"/>
  <c r="AE383" i="2"/>
  <c r="AC383" i="2" s="1"/>
  <c r="AH383" i="2" s="1"/>
  <c r="AD383" i="2"/>
  <c r="U383" i="2" a="1"/>
  <c r="U383" i="2" s="1"/>
  <c r="V383" i="2" s="1"/>
  <c r="T383" i="2" a="1"/>
  <c r="T383" i="2" s="1"/>
  <c r="AG382" i="2"/>
  <c r="AE382" i="2"/>
  <c r="AC382" i="2" s="1"/>
  <c r="AH382" i="2" s="1"/>
  <c r="AD382" i="2"/>
  <c r="U382" i="2" a="1"/>
  <c r="U382" i="2" s="1"/>
  <c r="V382" i="2" s="1"/>
  <c r="T382" i="2" a="1"/>
  <c r="T382" i="2" s="1"/>
  <c r="AG381" i="2"/>
  <c r="AE381" i="2"/>
  <c r="AC381" i="2" s="1"/>
  <c r="AH381" i="2" s="1"/>
  <c r="AD381" i="2"/>
  <c r="U381" i="2" a="1"/>
  <c r="U381" i="2" s="1"/>
  <c r="V381" i="2" s="1"/>
  <c r="T381" i="2" a="1"/>
  <c r="T381" i="2" s="1"/>
  <c r="AG380" i="2"/>
  <c r="AE380" i="2"/>
  <c r="AC380" i="2" s="1"/>
  <c r="AH380" i="2" s="1"/>
  <c r="AD380" i="2"/>
  <c r="U380" i="2" a="1"/>
  <c r="U380" i="2" s="1"/>
  <c r="V380" i="2" s="1"/>
  <c r="T380" i="2" a="1"/>
  <c r="T380" i="2" s="1"/>
  <c r="AG379" i="2"/>
  <c r="AE379" i="2"/>
  <c r="AC379" i="2" s="1"/>
  <c r="AH379" i="2" s="1"/>
  <c r="AD379" i="2"/>
  <c r="U379" i="2" a="1"/>
  <c r="U379" i="2" s="1"/>
  <c r="V379" i="2" s="1"/>
  <c r="T379" i="2" a="1"/>
  <c r="T379" i="2" s="1"/>
  <c r="AG378" i="2"/>
  <c r="AE378" i="2"/>
  <c r="AC378" i="2" s="1"/>
  <c r="AH378" i="2" s="1"/>
  <c r="AD378" i="2"/>
  <c r="U378" i="2" a="1"/>
  <c r="U378" i="2" s="1"/>
  <c r="V378" i="2" s="1"/>
  <c r="T378" i="2" a="1"/>
  <c r="T378" i="2" s="1"/>
  <c r="AG377" i="2"/>
  <c r="AE377" i="2"/>
  <c r="AC377" i="2" s="1"/>
  <c r="AH377" i="2" s="1"/>
  <c r="AD377" i="2"/>
  <c r="U377" i="2" a="1"/>
  <c r="U377" i="2" s="1"/>
  <c r="V377" i="2" s="1"/>
  <c r="T377" i="2" a="1"/>
  <c r="T377" i="2" s="1"/>
  <c r="AG376" i="2"/>
  <c r="AE376" i="2"/>
  <c r="AC376" i="2" s="1"/>
  <c r="AH376" i="2" s="1"/>
  <c r="AD376" i="2"/>
  <c r="U376" i="2" a="1"/>
  <c r="U376" i="2" s="1"/>
  <c r="V376" i="2" s="1"/>
  <c r="T376" i="2" a="1"/>
  <c r="T376" i="2" s="1"/>
  <c r="AG375" i="2"/>
  <c r="AE375" i="2"/>
  <c r="AC375" i="2" s="1"/>
  <c r="AH375" i="2" s="1"/>
  <c r="AD375" i="2"/>
  <c r="U375" i="2" a="1"/>
  <c r="U375" i="2" s="1"/>
  <c r="V375" i="2" s="1"/>
  <c r="T375" i="2" a="1"/>
  <c r="T375" i="2" s="1"/>
  <c r="AG374" i="2"/>
  <c r="AE374" i="2"/>
  <c r="AC374" i="2" s="1"/>
  <c r="AH374" i="2" s="1"/>
  <c r="AD374" i="2"/>
  <c r="U374" i="2" a="1"/>
  <c r="U374" i="2" s="1"/>
  <c r="V374" i="2" s="1"/>
  <c r="T374" i="2" a="1"/>
  <c r="T374" i="2" s="1"/>
  <c r="AG373" i="2"/>
  <c r="AE373" i="2"/>
  <c r="AC373" i="2" s="1"/>
  <c r="AH373" i="2" s="1"/>
  <c r="AD373" i="2"/>
  <c r="U373" i="2" a="1"/>
  <c r="U373" i="2" s="1"/>
  <c r="V373" i="2" s="1"/>
  <c r="T373" i="2" a="1"/>
  <c r="T373" i="2" s="1"/>
  <c r="AG372" i="2"/>
  <c r="AE372" i="2"/>
  <c r="AC372" i="2" s="1"/>
  <c r="AH372" i="2" s="1"/>
  <c r="AD372" i="2"/>
  <c r="U372" i="2" a="1"/>
  <c r="U372" i="2" s="1"/>
  <c r="V372" i="2" s="1"/>
  <c r="T372" i="2" a="1"/>
  <c r="T372" i="2" s="1"/>
  <c r="AG371" i="2"/>
  <c r="AE371" i="2"/>
  <c r="AC371" i="2" s="1"/>
  <c r="AH371" i="2" s="1"/>
  <c r="AD371" i="2"/>
  <c r="U371" i="2" a="1"/>
  <c r="U371" i="2" s="1"/>
  <c r="V371" i="2" s="1"/>
  <c r="T371" i="2" a="1"/>
  <c r="T371" i="2" s="1"/>
  <c r="AG370" i="2"/>
  <c r="AE370" i="2"/>
  <c r="AC370" i="2" s="1"/>
  <c r="AH370" i="2" s="1"/>
  <c r="AD370" i="2"/>
  <c r="U370" i="2" a="1"/>
  <c r="U370" i="2" s="1"/>
  <c r="V370" i="2" s="1"/>
  <c r="T370" i="2" a="1"/>
  <c r="T370" i="2" s="1"/>
  <c r="AG369" i="2"/>
  <c r="AE369" i="2"/>
  <c r="AC369" i="2" s="1"/>
  <c r="AH369" i="2" s="1"/>
  <c r="AD369" i="2"/>
  <c r="U369" i="2" a="1"/>
  <c r="U369" i="2" s="1"/>
  <c r="V369" i="2" s="1"/>
  <c r="T369" i="2" a="1"/>
  <c r="T369" i="2" s="1"/>
  <c r="AG368" i="2"/>
  <c r="AE368" i="2"/>
  <c r="AC368" i="2" s="1"/>
  <c r="AH368" i="2" s="1"/>
  <c r="AD368" i="2"/>
  <c r="U368" i="2" a="1"/>
  <c r="U368" i="2" s="1"/>
  <c r="V368" i="2" s="1"/>
  <c r="T368" i="2" a="1"/>
  <c r="T368" i="2" s="1"/>
  <c r="AG367" i="2"/>
  <c r="AE367" i="2"/>
  <c r="AC367" i="2" s="1"/>
  <c r="AH367" i="2" s="1"/>
  <c r="AD367" i="2"/>
  <c r="U367" i="2" a="1"/>
  <c r="U367" i="2" s="1"/>
  <c r="V367" i="2" s="1"/>
  <c r="T367" i="2" a="1"/>
  <c r="T367" i="2" s="1"/>
  <c r="AG366" i="2"/>
  <c r="AE366" i="2"/>
  <c r="AC366" i="2" s="1"/>
  <c r="AH366" i="2" s="1"/>
  <c r="AD366" i="2"/>
  <c r="U366" i="2" a="1"/>
  <c r="U366" i="2" s="1"/>
  <c r="V366" i="2" s="1"/>
  <c r="T366" i="2" a="1"/>
  <c r="T366" i="2" s="1"/>
  <c r="AG365" i="2"/>
  <c r="AE365" i="2"/>
  <c r="AC365" i="2" s="1"/>
  <c r="AH365" i="2" s="1"/>
  <c r="AD365" i="2"/>
  <c r="U365" i="2" a="1"/>
  <c r="U365" i="2" s="1"/>
  <c r="V365" i="2" s="1"/>
  <c r="T365" i="2" a="1"/>
  <c r="T365" i="2" s="1"/>
  <c r="AG364" i="2"/>
  <c r="AE364" i="2"/>
  <c r="AC364" i="2" s="1"/>
  <c r="AH364" i="2" s="1"/>
  <c r="AD364" i="2"/>
  <c r="U364" i="2" a="1"/>
  <c r="U364" i="2" s="1"/>
  <c r="V364" i="2" s="1"/>
  <c r="T364" i="2" a="1"/>
  <c r="T364" i="2" s="1"/>
  <c r="AG363" i="2"/>
  <c r="AE363" i="2"/>
  <c r="AC363" i="2" s="1"/>
  <c r="AH363" i="2" s="1"/>
  <c r="AD363" i="2"/>
  <c r="U363" i="2" a="1"/>
  <c r="U363" i="2" s="1"/>
  <c r="V363" i="2" s="1"/>
  <c r="T363" i="2" a="1"/>
  <c r="T363" i="2" s="1"/>
  <c r="AG362" i="2"/>
  <c r="AE362" i="2"/>
  <c r="AC362" i="2" s="1"/>
  <c r="AH362" i="2" s="1"/>
  <c r="AD362" i="2"/>
  <c r="U362" i="2" a="1"/>
  <c r="U362" i="2" s="1"/>
  <c r="V362" i="2" s="1"/>
  <c r="T362" i="2" a="1"/>
  <c r="T362" i="2" s="1"/>
  <c r="AG361" i="2"/>
  <c r="AE361" i="2"/>
  <c r="AC361" i="2" s="1"/>
  <c r="AH361" i="2" s="1"/>
  <c r="AD361" i="2"/>
  <c r="U361" i="2" a="1"/>
  <c r="U361" i="2" s="1"/>
  <c r="V361" i="2" s="1"/>
  <c r="T361" i="2" a="1"/>
  <c r="T361" i="2" s="1"/>
  <c r="AG360" i="2"/>
  <c r="AE360" i="2"/>
  <c r="AC360" i="2" s="1"/>
  <c r="AH360" i="2" s="1"/>
  <c r="AD360" i="2"/>
  <c r="U360" i="2" a="1"/>
  <c r="U360" i="2" s="1"/>
  <c r="V360" i="2" s="1"/>
  <c r="T360" i="2" a="1"/>
  <c r="T360" i="2" s="1"/>
  <c r="AG359" i="2"/>
  <c r="AE359" i="2"/>
  <c r="AC359" i="2" s="1"/>
  <c r="AH359" i="2" s="1"/>
  <c r="AD359" i="2"/>
  <c r="U359" i="2" a="1"/>
  <c r="U359" i="2" s="1"/>
  <c r="V359" i="2" s="1"/>
  <c r="T359" i="2" a="1"/>
  <c r="T359" i="2" s="1"/>
  <c r="AG358" i="2"/>
  <c r="AE358" i="2"/>
  <c r="AC358" i="2" s="1"/>
  <c r="AH358" i="2" s="1"/>
  <c r="AD358" i="2"/>
  <c r="U358" i="2" a="1"/>
  <c r="U358" i="2" s="1"/>
  <c r="V358" i="2" s="1"/>
  <c r="T358" i="2" a="1"/>
  <c r="T358" i="2" s="1"/>
  <c r="AG357" i="2"/>
  <c r="AE357" i="2"/>
  <c r="AC357" i="2" s="1"/>
  <c r="AH357" i="2" s="1"/>
  <c r="AD357" i="2"/>
  <c r="U357" i="2" a="1"/>
  <c r="U357" i="2" s="1"/>
  <c r="V357" i="2" s="1"/>
  <c r="T357" i="2" a="1"/>
  <c r="T357" i="2" s="1"/>
  <c r="AG356" i="2"/>
  <c r="AE356" i="2"/>
  <c r="AC356" i="2" s="1"/>
  <c r="AH356" i="2" s="1"/>
  <c r="AD356" i="2"/>
  <c r="U356" i="2" a="1"/>
  <c r="U356" i="2" s="1"/>
  <c r="V356" i="2" s="1"/>
  <c r="T356" i="2" a="1"/>
  <c r="T356" i="2" s="1"/>
  <c r="AG355" i="2"/>
  <c r="AE355" i="2"/>
  <c r="AC355" i="2" s="1"/>
  <c r="AH355" i="2" s="1"/>
  <c r="AD355" i="2"/>
  <c r="U355" i="2" a="1"/>
  <c r="U355" i="2" s="1"/>
  <c r="V355" i="2" s="1"/>
  <c r="T355" i="2" a="1"/>
  <c r="T355" i="2" s="1"/>
  <c r="AG354" i="2"/>
  <c r="AE354" i="2"/>
  <c r="AC354" i="2" s="1"/>
  <c r="AH354" i="2" s="1"/>
  <c r="AD354" i="2"/>
  <c r="U354" i="2" a="1"/>
  <c r="U354" i="2" s="1"/>
  <c r="V354" i="2" s="1"/>
  <c r="T354" i="2" a="1"/>
  <c r="T354" i="2" s="1"/>
  <c r="AG353" i="2"/>
  <c r="AE353" i="2"/>
  <c r="AC353" i="2" s="1"/>
  <c r="AH353" i="2" s="1"/>
  <c r="AD353" i="2"/>
  <c r="U353" i="2" a="1"/>
  <c r="U353" i="2" s="1"/>
  <c r="V353" i="2" s="1"/>
  <c r="T353" i="2" a="1"/>
  <c r="T353" i="2" s="1"/>
  <c r="AG352" i="2"/>
  <c r="AE352" i="2"/>
  <c r="AC352" i="2" s="1"/>
  <c r="AH352" i="2" s="1"/>
  <c r="AD352" i="2"/>
  <c r="U352" i="2" a="1"/>
  <c r="U352" i="2" s="1"/>
  <c r="V352" i="2" s="1"/>
  <c r="T352" i="2" a="1"/>
  <c r="T352" i="2" s="1"/>
  <c r="AG351" i="2"/>
  <c r="AE351" i="2"/>
  <c r="AC351" i="2" s="1"/>
  <c r="AH351" i="2" s="1"/>
  <c r="AD351" i="2"/>
  <c r="U351" i="2" a="1"/>
  <c r="U351" i="2" s="1"/>
  <c r="V351" i="2" s="1"/>
  <c r="T351" i="2" a="1"/>
  <c r="T351" i="2" s="1"/>
  <c r="AG350" i="2"/>
  <c r="AE350" i="2"/>
  <c r="AC350" i="2" s="1"/>
  <c r="AH350" i="2" s="1"/>
  <c r="AD350" i="2"/>
  <c r="U350" i="2" a="1"/>
  <c r="U350" i="2" s="1"/>
  <c r="V350" i="2" s="1"/>
  <c r="T350" i="2" a="1"/>
  <c r="T350" i="2" s="1"/>
  <c r="AG349" i="2"/>
  <c r="AE349" i="2"/>
  <c r="AC349" i="2" s="1"/>
  <c r="AH349" i="2" s="1"/>
  <c r="AD349" i="2"/>
  <c r="U349" i="2" a="1"/>
  <c r="U349" i="2" s="1"/>
  <c r="V349" i="2" s="1"/>
  <c r="T349" i="2" a="1"/>
  <c r="T349" i="2" s="1"/>
  <c r="AG348" i="2"/>
  <c r="AE348" i="2"/>
  <c r="AC348" i="2" s="1"/>
  <c r="AH348" i="2" s="1"/>
  <c r="AD348" i="2"/>
  <c r="U348" i="2" a="1"/>
  <c r="U348" i="2" s="1"/>
  <c r="V348" i="2" s="1"/>
  <c r="T348" i="2" a="1"/>
  <c r="T348" i="2" s="1"/>
  <c r="AG347" i="2"/>
  <c r="AE347" i="2"/>
  <c r="AC347" i="2" s="1"/>
  <c r="AH347" i="2" s="1"/>
  <c r="AD347" i="2"/>
  <c r="U347" i="2" a="1"/>
  <c r="U347" i="2" s="1"/>
  <c r="V347" i="2" s="1"/>
  <c r="T347" i="2" a="1"/>
  <c r="T347" i="2" s="1"/>
  <c r="AG346" i="2"/>
  <c r="AE346" i="2"/>
  <c r="AC346" i="2" s="1"/>
  <c r="AH346" i="2" s="1"/>
  <c r="AD346" i="2"/>
  <c r="U346" i="2" a="1"/>
  <c r="U346" i="2" s="1"/>
  <c r="V346" i="2" s="1"/>
  <c r="T346" i="2" a="1"/>
  <c r="T346" i="2" s="1"/>
  <c r="AG345" i="2"/>
  <c r="AE345" i="2"/>
  <c r="AC345" i="2" s="1"/>
  <c r="AH345" i="2" s="1"/>
  <c r="AD345" i="2"/>
  <c r="U345" i="2" a="1"/>
  <c r="U345" i="2" s="1"/>
  <c r="V345" i="2" s="1"/>
  <c r="T345" i="2" a="1"/>
  <c r="T345" i="2" s="1"/>
  <c r="AG344" i="2"/>
  <c r="AE344" i="2"/>
  <c r="AC344" i="2" s="1"/>
  <c r="AH344" i="2" s="1"/>
  <c r="AD344" i="2"/>
  <c r="U344" i="2" a="1"/>
  <c r="U344" i="2" s="1"/>
  <c r="V344" i="2" s="1"/>
  <c r="T344" i="2" a="1"/>
  <c r="T344" i="2" s="1"/>
  <c r="AG343" i="2"/>
  <c r="AE343" i="2"/>
  <c r="AC343" i="2" s="1"/>
  <c r="AH343" i="2" s="1"/>
  <c r="AD343" i="2"/>
  <c r="U343" i="2" a="1"/>
  <c r="U343" i="2" s="1"/>
  <c r="V343" i="2" s="1"/>
  <c r="T343" i="2" a="1"/>
  <c r="T343" i="2" s="1"/>
  <c r="AG342" i="2"/>
  <c r="AE342" i="2"/>
  <c r="AC342" i="2" s="1"/>
  <c r="AH342" i="2" s="1"/>
  <c r="AD342" i="2"/>
  <c r="U342" i="2" a="1"/>
  <c r="U342" i="2" s="1"/>
  <c r="V342" i="2" s="1"/>
  <c r="T342" i="2" a="1"/>
  <c r="T342" i="2" s="1"/>
  <c r="AG341" i="2"/>
  <c r="AE341" i="2"/>
  <c r="AC341" i="2" s="1"/>
  <c r="AH341" i="2" s="1"/>
  <c r="AD341" i="2"/>
  <c r="U341" i="2" a="1"/>
  <c r="U341" i="2" s="1"/>
  <c r="V341" i="2" s="1"/>
  <c r="T341" i="2" a="1"/>
  <c r="T341" i="2" s="1"/>
  <c r="AG340" i="2"/>
  <c r="AE340" i="2"/>
  <c r="AC340" i="2" s="1"/>
  <c r="AH340" i="2" s="1"/>
  <c r="AD340" i="2"/>
  <c r="U340" i="2" a="1"/>
  <c r="U340" i="2" s="1"/>
  <c r="V340" i="2" s="1"/>
  <c r="T340" i="2" a="1"/>
  <c r="T340" i="2" s="1"/>
  <c r="AG339" i="2"/>
  <c r="AE339" i="2"/>
  <c r="AC339" i="2" s="1"/>
  <c r="AH339" i="2" s="1"/>
  <c r="AD339" i="2"/>
  <c r="U339" i="2" a="1"/>
  <c r="U339" i="2" s="1"/>
  <c r="V339" i="2" s="1"/>
  <c r="T339" i="2" a="1"/>
  <c r="T339" i="2" s="1"/>
  <c r="AG338" i="2"/>
  <c r="AE338" i="2"/>
  <c r="AC338" i="2" s="1"/>
  <c r="AH338" i="2" s="1"/>
  <c r="AD338" i="2"/>
  <c r="U338" i="2" a="1"/>
  <c r="U338" i="2" s="1"/>
  <c r="V338" i="2" s="1"/>
  <c r="T338" i="2" a="1"/>
  <c r="T338" i="2" s="1"/>
  <c r="AG337" i="2"/>
  <c r="AE337" i="2"/>
  <c r="AC337" i="2" s="1"/>
  <c r="AH337" i="2" s="1"/>
  <c r="AD337" i="2"/>
  <c r="U337" i="2" a="1"/>
  <c r="U337" i="2" s="1"/>
  <c r="V337" i="2" s="1"/>
  <c r="T337" i="2" a="1"/>
  <c r="T337" i="2" s="1"/>
  <c r="AG336" i="2"/>
  <c r="AE336" i="2"/>
  <c r="AC336" i="2" s="1"/>
  <c r="AH336" i="2" s="1"/>
  <c r="AD336" i="2"/>
  <c r="U336" i="2" a="1"/>
  <c r="U336" i="2" s="1"/>
  <c r="V336" i="2" s="1"/>
  <c r="T336" i="2" a="1"/>
  <c r="T336" i="2" s="1"/>
  <c r="AG335" i="2"/>
  <c r="AE335" i="2"/>
  <c r="AC335" i="2" s="1"/>
  <c r="AH335" i="2" s="1"/>
  <c r="AD335" i="2"/>
  <c r="U335" i="2" a="1"/>
  <c r="U335" i="2" s="1"/>
  <c r="V335" i="2" s="1"/>
  <c r="T335" i="2" a="1"/>
  <c r="T335" i="2" s="1"/>
  <c r="AG334" i="2"/>
  <c r="AE334" i="2"/>
  <c r="AC334" i="2" s="1"/>
  <c r="AH334" i="2" s="1"/>
  <c r="AD334" i="2"/>
  <c r="U334" i="2" a="1"/>
  <c r="U334" i="2" s="1"/>
  <c r="V334" i="2" s="1"/>
  <c r="T334" i="2" a="1"/>
  <c r="T334" i="2" s="1"/>
  <c r="AG333" i="2"/>
  <c r="AE333" i="2"/>
  <c r="AC333" i="2" s="1"/>
  <c r="AH333" i="2" s="1"/>
  <c r="AD333" i="2"/>
  <c r="U333" i="2" a="1"/>
  <c r="U333" i="2" s="1"/>
  <c r="V333" i="2" s="1"/>
  <c r="T333" i="2" a="1"/>
  <c r="T333" i="2" s="1"/>
  <c r="AG332" i="2"/>
  <c r="AE332" i="2"/>
  <c r="AC332" i="2" s="1"/>
  <c r="AH332" i="2" s="1"/>
  <c r="AD332" i="2"/>
  <c r="U332" i="2" a="1"/>
  <c r="U332" i="2" s="1"/>
  <c r="V332" i="2" s="1"/>
  <c r="T332" i="2" a="1"/>
  <c r="T332" i="2" s="1"/>
  <c r="AG331" i="2"/>
  <c r="AE331" i="2"/>
  <c r="AC331" i="2" s="1"/>
  <c r="AH331" i="2" s="1"/>
  <c r="AD331" i="2"/>
  <c r="U331" i="2" a="1"/>
  <c r="U331" i="2" s="1"/>
  <c r="V331" i="2" s="1"/>
  <c r="T331" i="2" a="1"/>
  <c r="T331" i="2" s="1"/>
  <c r="AG330" i="2"/>
  <c r="AE330" i="2"/>
  <c r="AC330" i="2" s="1"/>
  <c r="AH330" i="2" s="1"/>
  <c r="AD330" i="2"/>
  <c r="U330" i="2" a="1"/>
  <c r="U330" i="2" s="1"/>
  <c r="V330" i="2" s="1"/>
  <c r="T330" i="2" a="1"/>
  <c r="T330" i="2" s="1"/>
  <c r="AG329" i="2"/>
  <c r="AE329" i="2"/>
  <c r="AC329" i="2" s="1"/>
  <c r="AH329" i="2" s="1"/>
  <c r="AD329" i="2"/>
  <c r="U329" i="2" a="1"/>
  <c r="U329" i="2" s="1"/>
  <c r="V329" i="2" s="1"/>
  <c r="T329" i="2" a="1"/>
  <c r="T329" i="2" s="1"/>
  <c r="AG328" i="2"/>
  <c r="AE328" i="2"/>
  <c r="AC328" i="2" s="1"/>
  <c r="AH328" i="2" s="1"/>
  <c r="AD328" i="2"/>
  <c r="U328" i="2" a="1"/>
  <c r="U328" i="2" s="1"/>
  <c r="V328" i="2" s="1"/>
  <c r="T328" i="2" a="1"/>
  <c r="T328" i="2" s="1"/>
  <c r="AG327" i="2"/>
  <c r="AE327" i="2"/>
  <c r="AC327" i="2" s="1"/>
  <c r="AH327" i="2" s="1"/>
  <c r="AD327" i="2"/>
  <c r="U327" i="2" a="1"/>
  <c r="U327" i="2" s="1"/>
  <c r="V327" i="2" s="1"/>
  <c r="T327" i="2" a="1"/>
  <c r="T327" i="2" s="1"/>
  <c r="AG326" i="2"/>
  <c r="AE326" i="2"/>
  <c r="AC326" i="2" s="1"/>
  <c r="AH326" i="2" s="1"/>
  <c r="AD326" i="2"/>
  <c r="U326" i="2" a="1"/>
  <c r="U326" i="2" s="1"/>
  <c r="V326" i="2" s="1"/>
  <c r="T326" i="2" a="1"/>
  <c r="T326" i="2" s="1"/>
  <c r="AG325" i="2"/>
  <c r="AE325" i="2"/>
  <c r="AC325" i="2" s="1"/>
  <c r="AH325" i="2" s="1"/>
  <c r="AD325" i="2"/>
  <c r="U325" i="2" a="1"/>
  <c r="U325" i="2" s="1"/>
  <c r="V325" i="2" s="1"/>
  <c r="T325" i="2" a="1"/>
  <c r="T325" i="2" s="1"/>
  <c r="AG324" i="2"/>
  <c r="AE324" i="2"/>
  <c r="AC324" i="2" s="1"/>
  <c r="AH324" i="2" s="1"/>
  <c r="AD324" i="2"/>
  <c r="U324" i="2" a="1"/>
  <c r="U324" i="2" s="1"/>
  <c r="V324" i="2" s="1"/>
  <c r="T324" i="2" a="1"/>
  <c r="T324" i="2" s="1"/>
  <c r="AG323" i="2"/>
  <c r="AE323" i="2"/>
  <c r="AC323" i="2" s="1"/>
  <c r="AH323" i="2" s="1"/>
  <c r="AD323" i="2"/>
  <c r="U323" i="2" a="1"/>
  <c r="U323" i="2" s="1"/>
  <c r="V323" i="2" s="1"/>
  <c r="T323" i="2" a="1"/>
  <c r="T323" i="2" s="1"/>
  <c r="AG322" i="2"/>
  <c r="AE322" i="2"/>
  <c r="AC322" i="2" s="1"/>
  <c r="AH322" i="2" s="1"/>
  <c r="AD322" i="2"/>
  <c r="U322" i="2" a="1"/>
  <c r="U322" i="2" s="1"/>
  <c r="V322" i="2" s="1"/>
  <c r="T322" i="2" a="1"/>
  <c r="T322" i="2" s="1"/>
  <c r="AG321" i="2"/>
  <c r="AE321" i="2"/>
  <c r="AC321" i="2" s="1"/>
  <c r="AH321" i="2" s="1"/>
  <c r="AD321" i="2"/>
  <c r="U321" i="2" a="1"/>
  <c r="U321" i="2" s="1"/>
  <c r="V321" i="2" s="1"/>
  <c r="T321" i="2" a="1"/>
  <c r="T321" i="2" s="1"/>
  <c r="AG320" i="2"/>
  <c r="AE320" i="2"/>
  <c r="AC320" i="2" s="1"/>
  <c r="AH320" i="2" s="1"/>
  <c r="AD320" i="2"/>
  <c r="U320" i="2" a="1"/>
  <c r="U320" i="2" s="1"/>
  <c r="V320" i="2" s="1"/>
  <c r="T320" i="2" a="1"/>
  <c r="T320" i="2" s="1"/>
  <c r="AG319" i="2"/>
  <c r="AE319" i="2"/>
  <c r="AC319" i="2" s="1"/>
  <c r="AH319" i="2" s="1"/>
  <c r="AD319" i="2"/>
  <c r="U319" i="2" a="1"/>
  <c r="U319" i="2" s="1"/>
  <c r="V319" i="2" s="1"/>
  <c r="T319" i="2" a="1"/>
  <c r="T319" i="2" s="1"/>
  <c r="AG318" i="2"/>
  <c r="AE318" i="2"/>
  <c r="AC318" i="2" s="1"/>
  <c r="AH318" i="2" s="1"/>
  <c r="AD318" i="2"/>
  <c r="U318" i="2" a="1"/>
  <c r="U318" i="2" s="1"/>
  <c r="V318" i="2" s="1"/>
  <c r="T318" i="2" a="1"/>
  <c r="T318" i="2" s="1"/>
  <c r="AG317" i="2"/>
  <c r="AE317" i="2"/>
  <c r="AC317" i="2" s="1"/>
  <c r="AH317" i="2" s="1"/>
  <c r="AD317" i="2"/>
  <c r="U317" i="2" a="1"/>
  <c r="U317" i="2" s="1"/>
  <c r="V317" i="2" s="1"/>
  <c r="T317" i="2" a="1"/>
  <c r="T317" i="2" s="1"/>
  <c r="AG316" i="2"/>
  <c r="AE316" i="2"/>
  <c r="AC316" i="2" s="1"/>
  <c r="AH316" i="2" s="1"/>
  <c r="AD316" i="2"/>
  <c r="U316" i="2" a="1"/>
  <c r="U316" i="2" s="1"/>
  <c r="V316" i="2" s="1"/>
  <c r="T316" i="2" a="1"/>
  <c r="T316" i="2" s="1"/>
  <c r="AG315" i="2"/>
  <c r="AE315" i="2"/>
  <c r="AC315" i="2" s="1"/>
  <c r="AH315" i="2" s="1"/>
  <c r="AD315" i="2"/>
  <c r="U315" i="2" a="1"/>
  <c r="U315" i="2" s="1"/>
  <c r="V315" i="2" s="1"/>
  <c r="T315" i="2" a="1"/>
  <c r="T315" i="2" s="1"/>
  <c r="AG314" i="2"/>
  <c r="AE314" i="2"/>
  <c r="AC314" i="2" s="1"/>
  <c r="AH314" i="2" s="1"/>
  <c r="AD314" i="2"/>
  <c r="U314" i="2" a="1"/>
  <c r="U314" i="2" s="1"/>
  <c r="V314" i="2" s="1"/>
  <c r="T314" i="2" a="1"/>
  <c r="T314" i="2" s="1"/>
  <c r="AG313" i="2"/>
  <c r="AE313" i="2"/>
  <c r="AC313" i="2" s="1"/>
  <c r="AH313" i="2" s="1"/>
  <c r="AD313" i="2"/>
  <c r="U313" i="2" a="1"/>
  <c r="U313" i="2" s="1"/>
  <c r="V313" i="2" s="1"/>
  <c r="T313" i="2" a="1"/>
  <c r="T313" i="2" s="1"/>
  <c r="AG312" i="2"/>
  <c r="AE312" i="2"/>
  <c r="AC312" i="2" s="1"/>
  <c r="AH312" i="2" s="1"/>
  <c r="AD312" i="2"/>
  <c r="U312" i="2" a="1"/>
  <c r="U312" i="2" s="1"/>
  <c r="V312" i="2" s="1"/>
  <c r="T312" i="2" a="1"/>
  <c r="T312" i="2" s="1"/>
  <c r="AG311" i="2"/>
  <c r="AE311" i="2"/>
  <c r="AC311" i="2" s="1"/>
  <c r="AH311" i="2" s="1"/>
  <c r="AD311" i="2"/>
  <c r="U311" i="2" a="1"/>
  <c r="U311" i="2" s="1"/>
  <c r="V311" i="2" s="1"/>
  <c r="T311" i="2" a="1"/>
  <c r="T311" i="2" s="1"/>
  <c r="AG310" i="2"/>
  <c r="AE310" i="2"/>
  <c r="AC310" i="2" s="1"/>
  <c r="AH310" i="2" s="1"/>
  <c r="AD310" i="2"/>
  <c r="U310" i="2" a="1"/>
  <c r="U310" i="2" s="1"/>
  <c r="V310" i="2" s="1"/>
  <c r="T310" i="2" a="1"/>
  <c r="T310" i="2" s="1"/>
  <c r="AG309" i="2"/>
  <c r="AE309" i="2"/>
  <c r="AC309" i="2" s="1"/>
  <c r="AH309" i="2" s="1"/>
  <c r="AD309" i="2"/>
  <c r="U309" i="2" a="1"/>
  <c r="U309" i="2" s="1"/>
  <c r="V309" i="2" s="1"/>
  <c r="T309" i="2" a="1"/>
  <c r="T309" i="2" s="1"/>
  <c r="AG308" i="2"/>
  <c r="AE308" i="2"/>
  <c r="AC308" i="2" s="1"/>
  <c r="AH308" i="2" s="1"/>
  <c r="AD308" i="2"/>
  <c r="U308" i="2" a="1"/>
  <c r="U308" i="2" s="1"/>
  <c r="V308" i="2" s="1"/>
  <c r="T308" i="2" a="1"/>
  <c r="T308" i="2" s="1"/>
  <c r="AG307" i="2"/>
  <c r="AE307" i="2"/>
  <c r="AC307" i="2" s="1"/>
  <c r="AH307" i="2" s="1"/>
  <c r="AD307" i="2"/>
  <c r="U307" i="2" a="1"/>
  <c r="U307" i="2" s="1"/>
  <c r="V307" i="2" s="1"/>
  <c r="T307" i="2" a="1"/>
  <c r="T307" i="2" s="1"/>
  <c r="AG306" i="2"/>
  <c r="AE306" i="2"/>
  <c r="AC306" i="2" s="1"/>
  <c r="AH306" i="2" s="1"/>
  <c r="AD306" i="2"/>
  <c r="U306" i="2" a="1"/>
  <c r="U306" i="2" s="1"/>
  <c r="V306" i="2" s="1"/>
  <c r="T306" i="2" a="1"/>
  <c r="T306" i="2" s="1"/>
  <c r="AG305" i="2"/>
  <c r="AE305" i="2"/>
  <c r="AC305" i="2" s="1"/>
  <c r="AH305" i="2" s="1"/>
  <c r="AD305" i="2"/>
  <c r="U305" i="2" a="1"/>
  <c r="U305" i="2" s="1"/>
  <c r="V305" i="2" s="1"/>
  <c r="T305" i="2" a="1"/>
  <c r="T305" i="2" s="1"/>
  <c r="AG304" i="2"/>
  <c r="AE304" i="2"/>
  <c r="AC304" i="2" s="1"/>
  <c r="AH304" i="2" s="1"/>
  <c r="AD304" i="2"/>
  <c r="U304" i="2" a="1"/>
  <c r="U304" i="2" s="1"/>
  <c r="V304" i="2" s="1"/>
  <c r="T304" i="2" a="1"/>
  <c r="T304" i="2" s="1"/>
  <c r="AG303" i="2"/>
  <c r="AE303" i="2"/>
  <c r="AC303" i="2" s="1"/>
  <c r="AH303" i="2" s="1"/>
  <c r="AD303" i="2"/>
  <c r="U303" i="2" a="1"/>
  <c r="U303" i="2" s="1"/>
  <c r="V303" i="2" s="1"/>
  <c r="T303" i="2" a="1"/>
  <c r="T303" i="2" s="1"/>
  <c r="AG302" i="2"/>
  <c r="AE302" i="2"/>
  <c r="AC302" i="2" s="1"/>
  <c r="AH302" i="2" s="1"/>
  <c r="AD302" i="2"/>
  <c r="U302" i="2" a="1"/>
  <c r="U302" i="2" s="1"/>
  <c r="V302" i="2" s="1"/>
  <c r="T302" i="2" a="1"/>
  <c r="T302" i="2" s="1"/>
  <c r="AG301" i="2"/>
  <c r="AE301" i="2"/>
  <c r="AC301" i="2" s="1"/>
  <c r="AH301" i="2" s="1"/>
  <c r="AD301" i="2"/>
  <c r="U301" i="2" a="1"/>
  <c r="U301" i="2" s="1"/>
  <c r="V301" i="2" s="1"/>
  <c r="T301" i="2" a="1"/>
  <c r="T301" i="2" s="1"/>
  <c r="AG300" i="2"/>
  <c r="AE300" i="2"/>
  <c r="AC300" i="2" s="1"/>
  <c r="AH300" i="2" s="1"/>
  <c r="AD300" i="2"/>
  <c r="U300" i="2" a="1"/>
  <c r="U300" i="2" s="1"/>
  <c r="I300" i="13" s="1"/>
  <c r="T300" i="2" a="1"/>
  <c r="T300" i="2" s="1"/>
  <c r="H300" i="13" s="1"/>
  <c r="AG299" i="2"/>
  <c r="AE299" i="2"/>
  <c r="AC299" i="2" s="1"/>
  <c r="AH299" i="2" s="1"/>
  <c r="AD299" i="2"/>
  <c r="U299" i="2" a="1"/>
  <c r="U299" i="2" s="1"/>
  <c r="I299" i="13" s="1"/>
  <c r="T299" i="2" a="1"/>
  <c r="T299" i="2" s="1"/>
  <c r="H299" i="13" s="1"/>
  <c r="AG298" i="2"/>
  <c r="AE298" i="2"/>
  <c r="AC298" i="2" s="1"/>
  <c r="AH298" i="2" s="1"/>
  <c r="AD298" i="2"/>
  <c r="U298" i="2" a="1"/>
  <c r="U298" i="2" s="1"/>
  <c r="I298" i="13" s="1"/>
  <c r="T298" i="2" a="1"/>
  <c r="T298" i="2" s="1"/>
  <c r="H298" i="13" s="1"/>
  <c r="AG297" i="2"/>
  <c r="AE297" i="2"/>
  <c r="AC297" i="2" s="1"/>
  <c r="AH297" i="2" s="1"/>
  <c r="AD297" i="2"/>
  <c r="U297" i="2" a="1"/>
  <c r="U297" i="2" s="1"/>
  <c r="I297" i="13" s="1"/>
  <c r="T297" i="2" a="1"/>
  <c r="T297" i="2" s="1"/>
  <c r="H297" i="13" s="1"/>
  <c r="AG296" i="2"/>
  <c r="AE296" i="2"/>
  <c r="AC296" i="2" s="1"/>
  <c r="AH296" i="2" s="1"/>
  <c r="AD296" i="2"/>
  <c r="U296" i="2" a="1"/>
  <c r="U296" i="2" s="1"/>
  <c r="I296" i="13" s="1"/>
  <c r="T296" i="2" a="1"/>
  <c r="T296" i="2" s="1"/>
  <c r="H296" i="13" s="1"/>
  <c r="AG295" i="2"/>
  <c r="AE295" i="2"/>
  <c r="AC295" i="2" s="1"/>
  <c r="AH295" i="2" s="1"/>
  <c r="AD295" i="2"/>
  <c r="U295" i="2" a="1"/>
  <c r="U295" i="2" s="1"/>
  <c r="I295" i="13" s="1"/>
  <c r="T295" i="2" a="1"/>
  <c r="T295" i="2" s="1"/>
  <c r="H295" i="13" s="1"/>
  <c r="AG294" i="2"/>
  <c r="AE294" i="2"/>
  <c r="AC294" i="2" s="1"/>
  <c r="AH294" i="2" s="1"/>
  <c r="AD294" i="2"/>
  <c r="U294" i="2" a="1"/>
  <c r="U294" i="2" s="1"/>
  <c r="I294" i="13" s="1"/>
  <c r="T294" i="2" a="1"/>
  <c r="T294" i="2" s="1"/>
  <c r="H294" i="13" s="1"/>
  <c r="AG293" i="2"/>
  <c r="AE293" i="2"/>
  <c r="AC293" i="2" s="1"/>
  <c r="AH293" i="2" s="1"/>
  <c r="AD293" i="2"/>
  <c r="U293" i="2" a="1"/>
  <c r="U293" i="2" s="1"/>
  <c r="I293" i="13" s="1"/>
  <c r="T293" i="2" a="1"/>
  <c r="T293" i="2" s="1"/>
  <c r="H293" i="13" s="1"/>
  <c r="AG292" i="2"/>
  <c r="AE292" i="2"/>
  <c r="AC292" i="2" s="1"/>
  <c r="AH292" i="2" s="1"/>
  <c r="AD292" i="2"/>
  <c r="U292" i="2" a="1"/>
  <c r="U292" i="2" s="1"/>
  <c r="I292" i="13" s="1"/>
  <c r="T292" i="2" a="1"/>
  <c r="T292" i="2" s="1"/>
  <c r="H292" i="13" s="1"/>
  <c r="AG291" i="2"/>
  <c r="AE291" i="2"/>
  <c r="AC291" i="2" s="1"/>
  <c r="AH291" i="2" s="1"/>
  <c r="AD291" i="2"/>
  <c r="U291" i="2" a="1"/>
  <c r="U291" i="2" s="1"/>
  <c r="I291" i="13" s="1"/>
  <c r="T291" i="2" a="1"/>
  <c r="T291" i="2" s="1"/>
  <c r="H291" i="13" s="1"/>
  <c r="AG290" i="2"/>
  <c r="AE290" i="2"/>
  <c r="AC290" i="2" s="1"/>
  <c r="AH290" i="2" s="1"/>
  <c r="AD290" i="2"/>
  <c r="U290" i="2" a="1"/>
  <c r="U290" i="2" s="1"/>
  <c r="I290" i="13" s="1"/>
  <c r="T290" i="2" a="1"/>
  <c r="T290" i="2" s="1"/>
  <c r="H290" i="13" s="1"/>
  <c r="AG289" i="2"/>
  <c r="AE289" i="2"/>
  <c r="AC289" i="2" s="1"/>
  <c r="AH289" i="2" s="1"/>
  <c r="AD289" i="2"/>
  <c r="U289" i="2" a="1"/>
  <c r="U289" i="2" s="1"/>
  <c r="I289" i="13" s="1"/>
  <c r="T289" i="2" a="1"/>
  <c r="T289" i="2" s="1"/>
  <c r="H289" i="13" s="1"/>
  <c r="AG288" i="2"/>
  <c r="AE288" i="2"/>
  <c r="AC288" i="2" s="1"/>
  <c r="AH288" i="2" s="1"/>
  <c r="AD288" i="2"/>
  <c r="U288" i="2" a="1"/>
  <c r="U288" i="2" s="1"/>
  <c r="I288" i="13" s="1"/>
  <c r="T288" i="2" a="1"/>
  <c r="T288" i="2" s="1"/>
  <c r="H288" i="13" s="1"/>
  <c r="AG287" i="2"/>
  <c r="AE287" i="2"/>
  <c r="AC287" i="2" s="1"/>
  <c r="AH287" i="2" s="1"/>
  <c r="AD287" i="2"/>
  <c r="U287" i="2" a="1"/>
  <c r="U287" i="2" s="1"/>
  <c r="I287" i="13" s="1"/>
  <c r="T287" i="2" a="1"/>
  <c r="T287" i="2" s="1"/>
  <c r="H287" i="13" s="1"/>
  <c r="AG286" i="2"/>
  <c r="AE286" i="2"/>
  <c r="AC286" i="2" s="1"/>
  <c r="AH286" i="2" s="1"/>
  <c r="AD286" i="2"/>
  <c r="U286" i="2" a="1"/>
  <c r="U286" i="2" s="1"/>
  <c r="I286" i="13" s="1"/>
  <c r="T286" i="2" a="1"/>
  <c r="T286" i="2" s="1"/>
  <c r="H286" i="13" s="1"/>
  <c r="AG285" i="2"/>
  <c r="AE285" i="2"/>
  <c r="AC285" i="2" s="1"/>
  <c r="AH285" i="2" s="1"/>
  <c r="AD285" i="2"/>
  <c r="U285" i="2" a="1"/>
  <c r="U285" i="2" s="1"/>
  <c r="I285" i="13" s="1"/>
  <c r="T285" i="2" a="1"/>
  <c r="T285" i="2" s="1"/>
  <c r="H285" i="13" s="1"/>
  <c r="AG284" i="2"/>
  <c r="AE284" i="2"/>
  <c r="AC284" i="2" s="1"/>
  <c r="AH284" i="2" s="1"/>
  <c r="AD284" i="2"/>
  <c r="U284" i="2" a="1"/>
  <c r="U284" i="2" s="1"/>
  <c r="I284" i="13" s="1"/>
  <c r="T284" i="2" a="1"/>
  <c r="T284" i="2" s="1"/>
  <c r="H284" i="13" s="1"/>
  <c r="AG283" i="2"/>
  <c r="AE283" i="2"/>
  <c r="AC283" i="2" s="1"/>
  <c r="AH283" i="2" s="1"/>
  <c r="AD283" i="2"/>
  <c r="U283" i="2" a="1"/>
  <c r="U283" i="2" s="1"/>
  <c r="I283" i="13" s="1"/>
  <c r="T283" i="2" a="1"/>
  <c r="T283" i="2" s="1"/>
  <c r="H283" i="13" s="1"/>
  <c r="AG282" i="2"/>
  <c r="AE282" i="2"/>
  <c r="AC282" i="2" s="1"/>
  <c r="AH282" i="2" s="1"/>
  <c r="AD282" i="2"/>
  <c r="U282" i="2" a="1"/>
  <c r="U282" i="2" s="1"/>
  <c r="I282" i="13" s="1"/>
  <c r="T282" i="2" a="1"/>
  <c r="T282" i="2" s="1"/>
  <c r="H282" i="13" s="1"/>
  <c r="AG281" i="2"/>
  <c r="AE281" i="2"/>
  <c r="AC281" i="2" s="1"/>
  <c r="AH281" i="2" s="1"/>
  <c r="AD281" i="2"/>
  <c r="U281" i="2" a="1"/>
  <c r="U281" i="2" s="1"/>
  <c r="I281" i="13" s="1"/>
  <c r="T281" i="2" a="1"/>
  <c r="T281" i="2" s="1"/>
  <c r="H281" i="13" s="1"/>
  <c r="AG280" i="2"/>
  <c r="AE280" i="2"/>
  <c r="AC280" i="2" s="1"/>
  <c r="AH280" i="2" s="1"/>
  <c r="AD280" i="2"/>
  <c r="U280" i="2" a="1"/>
  <c r="U280" i="2" s="1"/>
  <c r="I280" i="13" s="1"/>
  <c r="T280" i="2" a="1"/>
  <c r="T280" i="2" s="1"/>
  <c r="H280" i="13" s="1"/>
  <c r="AG279" i="2"/>
  <c r="AE279" i="2"/>
  <c r="AC279" i="2" s="1"/>
  <c r="AH279" i="2" s="1"/>
  <c r="AD279" i="2"/>
  <c r="U279" i="2" a="1"/>
  <c r="U279" i="2" s="1"/>
  <c r="I279" i="13" s="1"/>
  <c r="T279" i="2" a="1"/>
  <c r="T279" i="2" s="1"/>
  <c r="H279" i="13" s="1"/>
  <c r="AG278" i="2"/>
  <c r="AE278" i="2"/>
  <c r="AC278" i="2" s="1"/>
  <c r="AH278" i="2" s="1"/>
  <c r="AD278" i="2"/>
  <c r="U278" i="2" a="1"/>
  <c r="U278" i="2" s="1"/>
  <c r="I278" i="13" s="1"/>
  <c r="T278" i="2" a="1"/>
  <c r="T278" i="2" s="1"/>
  <c r="H278" i="13" s="1"/>
  <c r="AG277" i="2"/>
  <c r="AE277" i="2"/>
  <c r="AC277" i="2" s="1"/>
  <c r="AH277" i="2" s="1"/>
  <c r="AD277" i="2"/>
  <c r="U277" i="2" a="1"/>
  <c r="U277" i="2" s="1"/>
  <c r="I277" i="13" s="1"/>
  <c r="T277" i="2" a="1"/>
  <c r="T277" i="2" s="1"/>
  <c r="H277" i="13" s="1"/>
  <c r="AG276" i="2"/>
  <c r="AE276" i="2"/>
  <c r="AC276" i="2" s="1"/>
  <c r="AH276" i="2" s="1"/>
  <c r="AD276" i="2"/>
  <c r="U276" i="2" a="1"/>
  <c r="U276" i="2" s="1"/>
  <c r="I276" i="13" s="1"/>
  <c r="T276" i="2" a="1"/>
  <c r="T276" i="2" s="1"/>
  <c r="H276" i="13" s="1"/>
  <c r="AG275" i="2"/>
  <c r="AE275" i="2"/>
  <c r="AC275" i="2" s="1"/>
  <c r="AH275" i="2" s="1"/>
  <c r="AD275" i="2"/>
  <c r="U275" i="2" a="1"/>
  <c r="U275" i="2" s="1"/>
  <c r="I275" i="13" s="1"/>
  <c r="T275" i="2" a="1"/>
  <c r="T275" i="2" s="1"/>
  <c r="H275" i="13" s="1"/>
  <c r="AG274" i="2"/>
  <c r="AE274" i="2"/>
  <c r="AC274" i="2" s="1"/>
  <c r="AH274" i="2" s="1"/>
  <c r="AD274" i="2"/>
  <c r="U274" i="2" a="1"/>
  <c r="U274" i="2" s="1"/>
  <c r="I274" i="13" s="1"/>
  <c r="T274" i="2" a="1"/>
  <c r="T274" i="2" s="1"/>
  <c r="H274" i="13" s="1"/>
  <c r="AG273" i="2"/>
  <c r="AE273" i="2"/>
  <c r="AC273" i="2" s="1"/>
  <c r="AH273" i="2" s="1"/>
  <c r="AD273" i="2"/>
  <c r="U273" i="2" a="1"/>
  <c r="U273" i="2" s="1"/>
  <c r="I273" i="13" s="1"/>
  <c r="T273" i="2" a="1"/>
  <c r="T273" i="2" s="1"/>
  <c r="H273" i="13" s="1"/>
  <c r="AG272" i="2"/>
  <c r="AE272" i="2"/>
  <c r="AC272" i="2" s="1"/>
  <c r="AH272" i="2" s="1"/>
  <c r="AD272" i="2"/>
  <c r="U272" i="2" a="1"/>
  <c r="U272" i="2" s="1"/>
  <c r="I272" i="13" s="1"/>
  <c r="T272" i="2" a="1"/>
  <c r="T272" i="2" s="1"/>
  <c r="H272" i="13" s="1"/>
  <c r="AG271" i="2"/>
  <c r="AE271" i="2"/>
  <c r="AC271" i="2" s="1"/>
  <c r="AH271" i="2" s="1"/>
  <c r="AD271" i="2"/>
  <c r="U271" i="2" a="1"/>
  <c r="U271" i="2" s="1"/>
  <c r="I271" i="13" s="1"/>
  <c r="T271" i="2" a="1"/>
  <c r="T271" i="2" s="1"/>
  <c r="H271" i="13" s="1"/>
  <c r="AG270" i="2"/>
  <c r="AE270" i="2"/>
  <c r="AC270" i="2" s="1"/>
  <c r="AH270" i="2" s="1"/>
  <c r="AD270" i="2"/>
  <c r="U270" i="2" a="1"/>
  <c r="U270" i="2" s="1"/>
  <c r="I270" i="13" s="1"/>
  <c r="T270" i="2" a="1"/>
  <c r="T270" i="2" s="1"/>
  <c r="H270" i="13" s="1"/>
  <c r="AG269" i="2"/>
  <c r="AE269" i="2"/>
  <c r="AC269" i="2" s="1"/>
  <c r="AH269" i="2" s="1"/>
  <c r="AD269" i="2"/>
  <c r="U269" i="2" a="1"/>
  <c r="U269" i="2" s="1"/>
  <c r="I269" i="13" s="1"/>
  <c r="T269" i="2" a="1"/>
  <c r="T269" i="2" s="1"/>
  <c r="H269" i="13" s="1"/>
  <c r="AG268" i="2"/>
  <c r="AE268" i="2"/>
  <c r="AC268" i="2" s="1"/>
  <c r="AH268" i="2" s="1"/>
  <c r="AD268" i="2"/>
  <c r="U268" i="2" a="1"/>
  <c r="U268" i="2" s="1"/>
  <c r="I268" i="13" s="1"/>
  <c r="T268" i="2" a="1"/>
  <c r="T268" i="2" s="1"/>
  <c r="H268" i="13" s="1"/>
  <c r="AG267" i="2"/>
  <c r="AE267" i="2"/>
  <c r="AC267" i="2" s="1"/>
  <c r="AH267" i="2" s="1"/>
  <c r="AD267" i="2"/>
  <c r="U267" i="2" a="1"/>
  <c r="U267" i="2" s="1"/>
  <c r="I267" i="13" s="1"/>
  <c r="T267" i="2" a="1"/>
  <c r="T267" i="2" s="1"/>
  <c r="H267" i="13" s="1"/>
  <c r="AG266" i="2"/>
  <c r="AE266" i="2"/>
  <c r="AC266" i="2" s="1"/>
  <c r="AH266" i="2" s="1"/>
  <c r="AD266" i="2"/>
  <c r="U266" i="2" a="1"/>
  <c r="U266" i="2" s="1"/>
  <c r="I266" i="13" s="1"/>
  <c r="T266" i="2" a="1"/>
  <c r="T266" i="2" s="1"/>
  <c r="H266" i="13" s="1"/>
  <c r="AG265" i="2"/>
  <c r="AE265" i="2"/>
  <c r="AC265" i="2" s="1"/>
  <c r="AH265" i="2" s="1"/>
  <c r="AD265" i="2"/>
  <c r="U265" i="2" a="1"/>
  <c r="U265" i="2" s="1"/>
  <c r="I265" i="13" s="1"/>
  <c r="T265" i="2" a="1"/>
  <c r="T265" i="2" s="1"/>
  <c r="H265" i="13" s="1"/>
  <c r="AG264" i="2"/>
  <c r="AE264" i="2"/>
  <c r="AC264" i="2" s="1"/>
  <c r="AH264" i="2" s="1"/>
  <c r="AD264" i="2"/>
  <c r="U264" i="2" a="1"/>
  <c r="U264" i="2" s="1"/>
  <c r="I264" i="13" s="1"/>
  <c r="T264" i="2" a="1"/>
  <c r="T264" i="2" s="1"/>
  <c r="H264" i="13" s="1"/>
  <c r="AG263" i="2"/>
  <c r="AE263" i="2"/>
  <c r="AC263" i="2" s="1"/>
  <c r="AH263" i="2" s="1"/>
  <c r="AD263" i="2"/>
  <c r="U263" i="2" a="1"/>
  <c r="U263" i="2" s="1"/>
  <c r="I263" i="13" s="1"/>
  <c r="T263" i="2" a="1"/>
  <c r="T263" i="2" s="1"/>
  <c r="H263" i="13" s="1"/>
  <c r="AG262" i="2"/>
  <c r="AE262" i="2"/>
  <c r="AC262" i="2" s="1"/>
  <c r="AH262" i="2" s="1"/>
  <c r="AD262" i="2"/>
  <c r="U262" i="2" a="1"/>
  <c r="U262" i="2" s="1"/>
  <c r="I262" i="13" s="1"/>
  <c r="T262" i="2" a="1"/>
  <c r="T262" i="2" s="1"/>
  <c r="H262" i="13" s="1"/>
  <c r="AG261" i="2"/>
  <c r="AE261" i="2"/>
  <c r="AC261" i="2" s="1"/>
  <c r="AH261" i="2" s="1"/>
  <c r="AD261" i="2"/>
  <c r="U261" i="2" a="1"/>
  <c r="U261" i="2" s="1"/>
  <c r="I261" i="13" s="1"/>
  <c r="T261" i="2" a="1"/>
  <c r="T261" i="2" s="1"/>
  <c r="H261" i="13" s="1"/>
  <c r="AG260" i="2"/>
  <c r="AE260" i="2"/>
  <c r="AC260" i="2" s="1"/>
  <c r="AH260" i="2" s="1"/>
  <c r="AD260" i="2"/>
  <c r="U260" i="2" a="1"/>
  <c r="U260" i="2" s="1"/>
  <c r="I260" i="13" s="1"/>
  <c r="T260" i="2" a="1"/>
  <c r="T260" i="2" s="1"/>
  <c r="H260" i="13" s="1"/>
  <c r="AG259" i="2"/>
  <c r="AE259" i="2"/>
  <c r="AC259" i="2" s="1"/>
  <c r="AH259" i="2" s="1"/>
  <c r="AD259" i="2"/>
  <c r="U259" i="2" a="1"/>
  <c r="U259" i="2" s="1"/>
  <c r="I259" i="13" s="1"/>
  <c r="T259" i="2" a="1"/>
  <c r="T259" i="2" s="1"/>
  <c r="H259" i="13" s="1"/>
  <c r="AG258" i="2"/>
  <c r="AE258" i="2"/>
  <c r="AC258" i="2" s="1"/>
  <c r="AH258" i="2" s="1"/>
  <c r="AD258" i="2"/>
  <c r="U258" i="2" a="1"/>
  <c r="U258" i="2" s="1"/>
  <c r="I258" i="13" s="1"/>
  <c r="T258" i="2" a="1"/>
  <c r="T258" i="2" s="1"/>
  <c r="H258" i="13" s="1"/>
  <c r="AG257" i="2"/>
  <c r="AE257" i="2"/>
  <c r="AC257" i="2" s="1"/>
  <c r="AH257" i="2" s="1"/>
  <c r="AD257" i="2"/>
  <c r="U257" i="2" a="1"/>
  <c r="U257" i="2" s="1"/>
  <c r="I257" i="13" s="1"/>
  <c r="T257" i="2" a="1"/>
  <c r="T257" i="2" s="1"/>
  <c r="H257" i="13" s="1"/>
  <c r="AG256" i="2"/>
  <c r="AE256" i="2"/>
  <c r="AC256" i="2" s="1"/>
  <c r="AH256" i="2" s="1"/>
  <c r="AD256" i="2"/>
  <c r="U256" i="2" a="1"/>
  <c r="U256" i="2" s="1"/>
  <c r="I256" i="13" s="1"/>
  <c r="T256" i="2" a="1"/>
  <c r="T256" i="2" s="1"/>
  <c r="H256" i="13" s="1"/>
  <c r="AG255" i="2"/>
  <c r="AE255" i="2"/>
  <c r="AC255" i="2" s="1"/>
  <c r="AH255" i="2" s="1"/>
  <c r="AD255" i="2"/>
  <c r="U255" i="2" a="1"/>
  <c r="U255" i="2" s="1"/>
  <c r="I255" i="13" s="1"/>
  <c r="T255" i="2" a="1"/>
  <c r="T255" i="2" s="1"/>
  <c r="H255" i="13" s="1"/>
  <c r="AG254" i="2"/>
  <c r="AE254" i="2"/>
  <c r="AC254" i="2" s="1"/>
  <c r="AH254" i="2" s="1"/>
  <c r="AD254" i="2"/>
  <c r="U254" i="2" a="1"/>
  <c r="U254" i="2" s="1"/>
  <c r="I254" i="13" s="1"/>
  <c r="T254" i="2" a="1"/>
  <c r="T254" i="2" s="1"/>
  <c r="H254" i="13" s="1"/>
  <c r="AG253" i="2"/>
  <c r="AE253" i="2"/>
  <c r="AC253" i="2" s="1"/>
  <c r="AH253" i="2" s="1"/>
  <c r="AD253" i="2"/>
  <c r="U253" i="2" a="1"/>
  <c r="U253" i="2" s="1"/>
  <c r="I253" i="13" s="1"/>
  <c r="T253" i="2" a="1"/>
  <c r="T253" i="2" s="1"/>
  <c r="H253" i="13" s="1"/>
  <c r="AG252" i="2"/>
  <c r="AE252" i="2"/>
  <c r="AC252" i="2" s="1"/>
  <c r="AH252" i="2" s="1"/>
  <c r="AD252" i="2"/>
  <c r="U252" i="2" a="1"/>
  <c r="U252" i="2" s="1"/>
  <c r="I252" i="13" s="1"/>
  <c r="T252" i="2" a="1"/>
  <c r="T252" i="2" s="1"/>
  <c r="H252" i="13" s="1"/>
  <c r="AG251" i="2"/>
  <c r="AE251" i="2"/>
  <c r="AC251" i="2" s="1"/>
  <c r="AH251" i="2" s="1"/>
  <c r="AD251" i="2"/>
  <c r="U251" i="2" a="1"/>
  <c r="U251" i="2" s="1"/>
  <c r="I251" i="13" s="1"/>
  <c r="T251" i="2" a="1"/>
  <c r="T251" i="2" s="1"/>
  <c r="H251" i="13" s="1"/>
  <c r="AG250" i="2"/>
  <c r="AE250" i="2"/>
  <c r="AC250" i="2" s="1"/>
  <c r="AH250" i="2" s="1"/>
  <c r="AD250" i="2"/>
  <c r="U250" i="2" a="1"/>
  <c r="U250" i="2" s="1"/>
  <c r="I250" i="13" s="1"/>
  <c r="T250" i="2" a="1"/>
  <c r="T250" i="2" s="1"/>
  <c r="H250" i="13" s="1"/>
  <c r="AG249" i="2"/>
  <c r="AE249" i="2"/>
  <c r="AC249" i="2" s="1"/>
  <c r="AH249" i="2" s="1"/>
  <c r="AD249" i="2"/>
  <c r="U249" i="2" a="1"/>
  <c r="U249" i="2" s="1"/>
  <c r="I249" i="13" s="1"/>
  <c r="T249" i="2" a="1"/>
  <c r="T249" i="2" s="1"/>
  <c r="H249" i="13" s="1"/>
  <c r="AG248" i="2"/>
  <c r="AE248" i="2"/>
  <c r="AC248" i="2" s="1"/>
  <c r="AH248" i="2" s="1"/>
  <c r="AD248" i="2"/>
  <c r="U248" i="2" a="1"/>
  <c r="U248" i="2" s="1"/>
  <c r="I248" i="13" s="1"/>
  <c r="T248" i="2" a="1"/>
  <c r="T248" i="2" s="1"/>
  <c r="H248" i="13" s="1"/>
  <c r="AG247" i="2"/>
  <c r="AE247" i="2"/>
  <c r="AC247" i="2" s="1"/>
  <c r="AH247" i="2" s="1"/>
  <c r="AD247" i="2"/>
  <c r="U247" i="2" a="1"/>
  <c r="U247" i="2" s="1"/>
  <c r="I247" i="13" s="1"/>
  <c r="T247" i="2" a="1"/>
  <c r="T247" i="2" s="1"/>
  <c r="H247" i="13" s="1"/>
  <c r="AG246" i="2"/>
  <c r="AE246" i="2"/>
  <c r="AC246" i="2" s="1"/>
  <c r="AH246" i="2" s="1"/>
  <c r="AD246" i="2"/>
  <c r="U246" i="2" a="1"/>
  <c r="U246" i="2" s="1"/>
  <c r="I246" i="13" s="1"/>
  <c r="T246" i="2" a="1"/>
  <c r="T246" i="2" s="1"/>
  <c r="H246" i="13" s="1"/>
  <c r="AG245" i="2"/>
  <c r="AE245" i="2"/>
  <c r="AC245" i="2" s="1"/>
  <c r="AH245" i="2" s="1"/>
  <c r="AD245" i="2"/>
  <c r="U245" i="2" a="1"/>
  <c r="U245" i="2" s="1"/>
  <c r="I245" i="13" s="1"/>
  <c r="T245" i="2" a="1"/>
  <c r="T245" i="2" s="1"/>
  <c r="H245" i="13" s="1"/>
  <c r="AG244" i="2"/>
  <c r="AE244" i="2"/>
  <c r="AC244" i="2" s="1"/>
  <c r="AH244" i="2" s="1"/>
  <c r="AD244" i="2"/>
  <c r="U244" i="2" a="1"/>
  <c r="U244" i="2" s="1"/>
  <c r="I244" i="13" s="1"/>
  <c r="T244" i="2" a="1"/>
  <c r="T244" i="2" s="1"/>
  <c r="H244" i="13" s="1"/>
  <c r="AG243" i="2"/>
  <c r="AE243" i="2"/>
  <c r="AC243" i="2" s="1"/>
  <c r="AH243" i="2" s="1"/>
  <c r="AD243" i="2"/>
  <c r="U243" i="2" a="1"/>
  <c r="U243" i="2" s="1"/>
  <c r="I243" i="13" s="1"/>
  <c r="T243" i="2" a="1"/>
  <c r="T243" i="2" s="1"/>
  <c r="H243" i="13" s="1"/>
  <c r="AG242" i="2"/>
  <c r="AE242" i="2"/>
  <c r="AC242" i="2" s="1"/>
  <c r="AH242" i="2" s="1"/>
  <c r="AD242" i="2"/>
  <c r="U242" i="2" a="1"/>
  <c r="U242" i="2" s="1"/>
  <c r="I242" i="13" s="1"/>
  <c r="T242" i="2" a="1"/>
  <c r="T242" i="2" s="1"/>
  <c r="H242" i="13" s="1"/>
  <c r="AG241" i="2"/>
  <c r="AE241" i="2"/>
  <c r="AC241" i="2" s="1"/>
  <c r="AH241" i="2" s="1"/>
  <c r="AD241" i="2"/>
  <c r="U241" i="2" a="1"/>
  <c r="U241" i="2" s="1"/>
  <c r="I241" i="13" s="1"/>
  <c r="T241" i="2" a="1"/>
  <c r="T241" i="2" s="1"/>
  <c r="H241" i="13" s="1"/>
  <c r="AG240" i="2"/>
  <c r="AE240" i="2"/>
  <c r="AC240" i="2" s="1"/>
  <c r="AH240" i="2" s="1"/>
  <c r="AD240" i="2"/>
  <c r="U240" i="2" a="1"/>
  <c r="U240" i="2" s="1"/>
  <c r="I240" i="13" s="1"/>
  <c r="T240" i="2" a="1"/>
  <c r="T240" i="2" s="1"/>
  <c r="H240" i="13" s="1"/>
  <c r="AG239" i="2"/>
  <c r="AE239" i="2"/>
  <c r="AC239" i="2" s="1"/>
  <c r="AH239" i="2" s="1"/>
  <c r="AD239" i="2"/>
  <c r="U239" i="2" a="1"/>
  <c r="U239" i="2" s="1"/>
  <c r="I239" i="13" s="1"/>
  <c r="T239" i="2" a="1"/>
  <c r="T239" i="2" s="1"/>
  <c r="H239" i="13" s="1"/>
  <c r="AG238" i="2"/>
  <c r="AE238" i="2"/>
  <c r="AC238" i="2" s="1"/>
  <c r="AH238" i="2" s="1"/>
  <c r="AD238" i="2"/>
  <c r="U238" i="2" a="1"/>
  <c r="U238" i="2" s="1"/>
  <c r="I238" i="13" s="1"/>
  <c r="T238" i="2" a="1"/>
  <c r="T238" i="2" s="1"/>
  <c r="H238" i="13" s="1"/>
  <c r="AG237" i="2"/>
  <c r="AE237" i="2"/>
  <c r="AC237" i="2" s="1"/>
  <c r="AH237" i="2" s="1"/>
  <c r="AD237" i="2"/>
  <c r="U237" i="2" a="1"/>
  <c r="U237" i="2" s="1"/>
  <c r="I237" i="13" s="1"/>
  <c r="T237" i="2" a="1"/>
  <c r="T237" i="2" s="1"/>
  <c r="H237" i="13" s="1"/>
  <c r="AG236" i="2"/>
  <c r="AE236" i="2"/>
  <c r="AC236" i="2" s="1"/>
  <c r="AH236" i="2" s="1"/>
  <c r="AD236" i="2"/>
  <c r="U236" i="2" a="1"/>
  <c r="U236" i="2" s="1"/>
  <c r="I236" i="13" s="1"/>
  <c r="T236" i="2" a="1"/>
  <c r="T236" i="2" s="1"/>
  <c r="H236" i="13" s="1"/>
  <c r="AG235" i="2"/>
  <c r="AE235" i="2"/>
  <c r="AC235" i="2" s="1"/>
  <c r="AH235" i="2" s="1"/>
  <c r="AD235" i="2"/>
  <c r="U235" i="2" a="1"/>
  <c r="U235" i="2" s="1"/>
  <c r="I235" i="13" s="1"/>
  <c r="T235" i="2" a="1"/>
  <c r="T235" i="2" s="1"/>
  <c r="H235" i="13" s="1"/>
  <c r="AG234" i="2"/>
  <c r="AE234" i="2"/>
  <c r="AC234" i="2" s="1"/>
  <c r="AH234" i="2" s="1"/>
  <c r="AD234" i="2"/>
  <c r="U234" i="2" a="1"/>
  <c r="U234" i="2" s="1"/>
  <c r="I234" i="13" s="1"/>
  <c r="T234" i="2" a="1"/>
  <c r="T234" i="2" s="1"/>
  <c r="H234" i="13" s="1"/>
  <c r="AG233" i="2"/>
  <c r="AE233" i="2"/>
  <c r="AC233" i="2" s="1"/>
  <c r="AH233" i="2" s="1"/>
  <c r="AD233" i="2"/>
  <c r="U233" i="2" a="1"/>
  <c r="U233" i="2" s="1"/>
  <c r="I233" i="13" s="1"/>
  <c r="T233" i="2" a="1"/>
  <c r="T233" i="2" s="1"/>
  <c r="H233" i="13" s="1"/>
  <c r="AG232" i="2"/>
  <c r="AE232" i="2"/>
  <c r="AC232" i="2" s="1"/>
  <c r="AH232" i="2" s="1"/>
  <c r="AD232" i="2"/>
  <c r="U232" i="2" a="1"/>
  <c r="U232" i="2" s="1"/>
  <c r="I232" i="13" s="1"/>
  <c r="T232" i="2" a="1"/>
  <c r="T232" i="2" s="1"/>
  <c r="H232" i="13" s="1"/>
  <c r="AG231" i="2"/>
  <c r="AE231" i="2"/>
  <c r="AC231" i="2" s="1"/>
  <c r="AH231" i="2" s="1"/>
  <c r="AD231" i="2"/>
  <c r="U231" i="2" a="1"/>
  <c r="U231" i="2" s="1"/>
  <c r="I231" i="13" s="1"/>
  <c r="T231" i="2" a="1"/>
  <c r="T231" i="2" s="1"/>
  <c r="H231" i="13" s="1"/>
  <c r="AG230" i="2"/>
  <c r="AE230" i="2"/>
  <c r="AC230" i="2" s="1"/>
  <c r="AH230" i="2" s="1"/>
  <c r="AD230" i="2"/>
  <c r="U230" i="2" a="1"/>
  <c r="U230" i="2" s="1"/>
  <c r="I230" i="13" s="1"/>
  <c r="T230" i="2" a="1"/>
  <c r="T230" i="2" s="1"/>
  <c r="H230" i="13" s="1"/>
  <c r="AG229" i="2"/>
  <c r="AE229" i="2"/>
  <c r="AC229" i="2" s="1"/>
  <c r="AH229" i="2" s="1"/>
  <c r="AD229" i="2"/>
  <c r="U229" i="2" a="1"/>
  <c r="U229" i="2" s="1"/>
  <c r="I229" i="13" s="1"/>
  <c r="T229" i="2" a="1"/>
  <c r="T229" i="2" s="1"/>
  <c r="H229" i="13" s="1"/>
  <c r="AG228" i="2"/>
  <c r="AE228" i="2"/>
  <c r="AC228" i="2" s="1"/>
  <c r="AH228" i="2" s="1"/>
  <c r="AD228" i="2"/>
  <c r="U228" i="2" a="1"/>
  <c r="U228" i="2" s="1"/>
  <c r="I228" i="13" s="1"/>
  <c r="T228" i="2" a="1"/>
  <c r="T228" i="2" s="1"/>
  <c r="H228" i="13" s="1"/>
  <c r="AG227" i="2"/>
  <c r="AE227" i="2"/>
  <c r="AC227" i="2" s="1"/>
  <c r="AH227" i="2" s="1"/>
  <c r="AD227" i="2"/>
  <c r="U227" i="2" a="1"/>
  <c r="U227" i="2" s="1"/>
  <c r="I227" i="13" s="1"/>
  <c r="T227" i="2" a="1"/>
  <c r="T227" i="2" s="1"/>
  <c r="H227" i="13" s="1"/>
  <c r="AG226" i="2"/>
  <c r="AE226" i="2"/>
  <c r="AC226" i="2" s="1"/>
  <c r="AH226" i="2" s="1"/>
  <c r="AD226" i="2"/>
  <c r="U226" i="2" a="1"/>
  <c r="U226" i="2" s="1"/>
  <c r="I226" i="13" s="1"/>
  <c r="T226" i="2" a="1"/>
  <c r="T226" i="2" s="1"/>
  <c r="H226" i="13" s="1"/>
  <c r="AG225" i="2"/>
  <c r="AE225" i="2"/>
  <c r="AC225" i="2" s="1"/>
  <c r="AH225" i="2" s="1"/>
  <c r="AD225" i="2"/>
  <c r="U225" i="2" a="1"/>
  <c r="U225" i="2" s="1"/>
  <c r="I225" i="13" s="1"/>
  <c r="T225" i="2" a="1"/>
  <c r="T225" i="2" s="1"/>
  <c r="H225" i="13" s="1"/>
  <c r="AG224" i="2"/>
  <c r="AE224" i="2"/>
  <c r="AC224" i="2" s="1"/>
  <c r="AH224" i="2" s="1"/>
  <c r="AD224" i="2"/>
  <c r="U224" i="2" a="1"/>
  <c r="U224" i="2" s="1"/>
  <c r="I224" i="13" s="1"/>
  <c r="T224" i="2" a="1"/>
  <c r="T224" i="2" s="1"/>
  <c r="H224" i="13" s="1"/>
  <c r="AG223" i="2"/>
  <c r="AE223" i="2"/>
  <c r="AC223" i="2" s="1"/>
  <c r="AH223" i="2" s="1"/>
  <c r="AD223" i="2"/>
  <c r="U223" i="2" a="1"/>
  <c r="U223" i="2" s="1"/>
  <c r="I223" i="13" s="1"/>
  <c r="T223" i="2" a="1"/>
  <c r="T223" i="2" s="1"/>
  <c r="H223" i="13" s="1"/>
  <c r="AG222" i="2"/>
  <c r="AE222" i="2"/>
  <c r="AC222" i="2" s="1"/>
  <c r="AH222" i="2" s="1"/>
  <c r="AD222" i="2"/>
  <c r="U222" i="2" a="1"/>
  <c r="U222" i="2" s="1"/>
  <c r="I222" i="13" s="1"/>
  <c r="T222" i="2" a="1"/>
  <c r="T222" i="2" s="1"/>
  <c r="H222" i="13" s="1"/>
  <c r="AG221" i="2"/>
  <c r="AE221" i="2"/>
  <c r="AC221" i="2" s="1"/>
  <c r="AH221" i="2" s="1"/>
  <c r="AD221" i="2"/>
  <c r="U221" i="2" a="1"/>
  <c r="U221" i="2" s="1"/>
  <c r="I221" i="13" s="1"/>
  <c r="T221" i="2" a="1"/>
  <c r="T221" i="2" s="1"/>
  <c r="H221" i="13" s="1"/>
  <c r="AG220" i="2"/>
  <c r="AE220" i="2"/>
  <c r="AC220" i="2" s="1"/>
  <c r="AH220" i="2" s="1"/>
  <c r="AD220" i="2"/>
  <c r="U220" i="2" a="1"/>
  <c r="U220" i="2" s="1"/>
  <c r="I220" i="13" s="1"/>
  <c r="T220" i="2" a="1"/>
  <c r="T220" i="2" s="1"/>
  <c r="H220" i="13" s="1"/>
  <c r="AG219" i="2"/>
  <c r="AE219" i="2"/>
  <c r="AC219" i="2" s="1"/>
  <c r="AH219" i="2" s="1"/>
  <c r="AD219" i="2"/>
  <c r="U219" i="2" a="1"/>
  <c r="U219" i="2" s="1"/>
  <c r="I219" i="13" s="1"/>
  <c r="T219" i="2" a="1"/>
  <c r="T219" i="2" s="1"/>
  <c r="H219" i="13" s="1"/>
  <c r="AG218" i="2"/>
  <c r="AE218" i="2"/>
  <c r="AC218" i="2" s="1"/>
  <c r="AH218" i="2" s="1"/>
  <c r="AD218" i="2"/>
  <c r="U218" i="2" a="1"/>
  <c r="U218" i="2" s="1"/>
  <c r="I218" i="13" s="1"/>
  <c r="T218" i="2" a="1"/>
  <c r="T218" i="2" s="1"/>
  <c r="H218" i="13" s="1"/>
  <c r="AG217" i="2"/>
  <c r="AE217" i="2"/>
  <c r="AC217" i="2" s="1"/>
  <c r="AH217" i="2" s="1"/>
  <c r="AD217" i="2"/>
  <c r="U217" i="2" a="1"/>
  <c r="U217" i="2" s="1"/>
  <c r="I217" i="13" s="1"/>
  <c r="T217" i="2" a="1"/>
  <c r="T217" i="2" s="1"/>
  <c r="H217" i="13" s="1"/>
  <c r="AG216" i="2"/>
  <c r="AE216" i="2"/>
  <c r="AC216" i="2" s="1"/>
  <c r="AH216" i="2" s="1"/>
  <c r="AD216" i="2"/>
  <c r="U216" i="2" a="1"/>
  <c r="U216" i="2" s="1"/>
  <c r="I216" i="13" s="1"/>
  <c r="T216" i="2" a="1"/>
  <c r="T216" i="2" s="1"/>
  <c r="H216" i="13" s="1"/>
  <c r="AG215" i="2"/>
  <c r="AE215" i="2"/>
  <c r="AC215" i="2" s="1"/>
  <c r="AH215" i="2" s="1"/>
  <c r="AD215" i="2"/>
  <c r="U215" i="2" a="1"/>
  <c r="U215" i="2" s="1"/>
  <c r="I215" i="13" s="1"/>
  <c r="T215" i="2" a="1"/>
  <c r="T215" i="2" s="1"/>
  <c r="H215" i="13" s="1"/>
  <c r="AG214" i="2"/>
  <c r="AE214" i="2"/>
  <c r="AC214" i="2" s="1"/>
  <c r="AH214" i="2" s="1"/>
  <c r="AD214" i="2"/>
  <c r="U214" i="2" a="1"/>
  <c r="U214" i="2" s="1"/>
  <c r="I214" i="13" s="1"/>
  <c r="T214" i="2" a="1"/>
  <c r="T214" i="2" s="1"/>
  <c r="H214" i="13" s="1"/>
  <c r="AG213" i="2"/>
  <c r="AE213" i="2"/>
  <c r="AC213" i="2" s="1"/>
  <c r="AH213" i="2" s="1"/>
  <c r="AD213" i="2"/>
  <c r="U213" i="2" a="1"/>
  <c r="U213" i="2" s="1"/>
  <c r="I213" i="13" s="1"/>
  <c r="T213" i="2" a="1"/>
  <c r="T213" i="2" s="1"/>
  <c r="H213" i="13" s="1"/>
  <c r="AG212" i="2"/>
  <c r="AE212" i="2"/>
  <c r="AC212" i="2" s="1"/>
  <c r="AH212" i="2" s="1"/>
  <c r="AD212" i="2"/>
  <c r="U212" i="2" a="1"/>
  <c r="U212" i="2" s="1"/>
  <c r="I212" i="13" s="1"/>
  <c r="T212" i="2" a="1"/>
  <c r="T212" i="2" s="1"/>
  <c r="H212" i="13" s="1"/>
  <c r="AG211" i="2"/>
  <c r="AE211" i="2"/>
  <c r="AC211" i="2" s="1"/>
  <c r="AH211" i="2" s="1"/>
  <c r="AD211" i="2"/>
  <c r="U211" i="2" a="1"/>
  <c r="U211" i="2" s="1"/>
  <c r="I211" i="13" s="1"/>
  <c r="T211" i="2" a="1"/>
  <c r="T211" i="2" s="1"/>
  <c r="H211" i="13" s="1"/>
  <c r="AG210" i="2"/>
  <c r="AE210" i="2"/>
  <c r="AC210" i="2" s="1"/>
  <c r="AH210" i="2" s="1"/>
  <c r="AD210" i="2"/>
  <c r="U210" i="2" a="1"/>
  <c r="U210" i="2" s="1"/>
  <c r="I210" i="13" s="1"/>
  <c r="T210" i="2" a="1"/>
  <c r="T210" i="2" s="1"/>
  <c r="H210" i="13" s="1"/>
  <c r="AG209" i="2"/>
  <c r="AE209" i="2"/>
  <c r="AC209" i="2" s="1"/>
  <c r="AH209" i="2" s="1"/>
  <c r="AD209" i="2"/>
  <c r="U209" i="2" a="1"/>
  <c r="U209" i="2" s="1"/>
  <c r="I209" i="13" s="1"/>
  <c r="T209" i="2" a="1"/>
  <c r="T209" i="2" s="1"/>
  <c r="H209" i="13" s="1"/>
  <c r="AG208" i="2"/>
  <c r="AE208" i="2"/>
  <c r="AC208" i="2" s="1"/>
  <c r="AH208" i="2" s="1"/>
  <c r="AD208" i="2"/>
  <c r="U208" i="2" a="1"/>
  <c r="U208" i="2" s="1"/>
  <c r="I208" i="13" s="1"/>
  <c r="T208" i="2" a="1"/>
  <c r="T208" i="2" s="1"/>
  <c r="H208" i="13" s="1"/>
  <c r="AG207" i="2"/>
  <c r="AE207" i="2"/>
  <c r="AC207" i="2" s="1"/>
  <c r="AH207" i="2" s="1"/>
  <c r="AD207" i="2"/>
  <c r="U207" i="2" a="1"/>
  <c r="U207" i="2" s="1"/>
  <c r="I207" i="13" s="1"/>
  <c r="T207" i="2" a="1"/>
  <c r="T207" i="2" s="1"/>
  <c r="H207" i="13" s="1"/>
  <c r="AG206" i="2"/>
  <c r="AE206" i="2"/>
  <c r="AC206" i="2" s="1"/>
  <c r="AH206" i="2" s="1"/>
  <c r="AD206" i="2"/>
  <c r="U206" i="2" a="1"/>
  <c r="U206" i="2" s="1"/>
  <c r="I206" i="13" s="1"/>
  <c r="T206" i="2" a="1"/>
  <c r="T206" i="2" s="1"/>
  <c r="H206" i="13" s="1"/>
  <c r="AG205" i="2"/>
  <c r="AE205" i="2"/>
  <c r="AC205" i="2" s="1"/>
  <c r="AH205" i="2" s="1"/>
  <c r="AD205" i="2"/>
  <c r="U205" i="2" a="1"/>
  <c r="U205" i="2" s="1"/>
  <c r="I205" i="13" s="1"/>
  <c r="T205" i="2" a="1"/>
  <c r="T205" i="2" s="1"/>
  <c r="H205" i="13" s="1"/>
  <c r="AG204" i="2"/>
  <c r="AE204" i="2"/>
  <c r="AC204" i="2" s="1"/>
  <c r="AH204" i="2" s="1"/>
  <c r="AD204" i="2"/>
  <c r="U204" i="2" a="1"/>
  <c r="U204" i="2" s="1"/>
  <c r="I204" i="13" s="1"/>
  <c r="T204" i="2" a="1"/>
  <c r="T204" i="2" s="1"/>
  <c r="H204" i="13" s="1"/>
  <c r="AG203" i="2"/>
  <c r="AE203" i="2"/>
  <c r="AC203" i="2" s="1"/>
  <c r="AH203" i="2" s="1"/>
  <c r="AD203" i="2"/>
  <c r="U203" i="2" a="1"/>
  <c r="U203" i="2" s="1"/>
  <c r="I203" i="13" s="1"/>
  <c r="T203" i="2" a="1"/>
  <c r="T203" i="2" s="1"/>
  <c r="H203" i="13" s="1"/>
  <c r="AG202" i="2"/>
  <c r="AE202" i="2"/>
  <c r="AC202" i="2" s="1"/>
  <c r="AH202" i="2" s="1"/>
  <c r="AD202" i="2"/>
  <c r="U202" i="2" a="1"/>
  <c r="U202" i="2" s="1"/>
  <c r="I202" i="13" s="1"/>
  <c r="T202" i="2" a="1"/>
  <c r="T202" i="2" s="1"/>
  <c r="H202" i="13" s="1"/>
  <c r="AG201" i="2"/>
  <c r="AE201" i="2"/>
  <c r="AC201" i="2" s="1"/>
  <c r="AH201" i="2" s="1"/>
  <c r="AD201" i="2"/>
  <c r="U201" i="2" a="1"/>
  <c r="U201" i="2" s="1"/>
  <c r="I201" i="13" s="1"/>
  <c r="T201" i="2" a="1"/>
  <c r="T201" i="2" s="1"/>
  <c r="H201" i="13" s="1"/>
  <c r="AG200" i="2"/>
  <c r="AE200" i="2"/>
  <c r="AC200" i="2" s="1"/>
  <c r="AH200" i="2" s="1"/>
  <c r="AD200" i="2"/>
  <c r="U200" i="2" a="1"/>
  <c r="U200" i="2" s="1"/>
  <c r="I200" i="13" s="1"/>
  <c r="T200" i="2" a="1"/>
  <c r="T200" i="2" s="1"/>
  <c r="H200" i="13" s="1"/>
  <c r="AG199" i="2"/>
  <c r="AE199" i="2"/>
  <c r="AC199" i="2" s="1"/>
  <c r="AH199" i="2" s="1"/>
  <c r="AD199" i="2"/>
  <c r="U199" i="2" a="1"/>
  <c r="U199" i="2" s="1"/>
  <c r="I199" i="13" s="1"/>
  <c r="T199" i="2" a="1"/>
  <c r="T199" i="2" s="1"/>
  <c r="H199" i="13" s="1"/>
  <c r="AG198" i="2"/>
  <c r="AE198" i="2"/>
  <c r="AC198" i="2" s="1"/>
  <c r="AH198" i="2" s="1"/>
  <c r="AD198" i="2"/>
  <c r="U198" i="2" a="1"/>
  <c r="U198" i="2" s="1"/>
  <c r="I198" i="13" s="1"/>
  <c r="T198" i="2" a="1"/>
  <c r="T198" i="2" s="1"/>
  <c r="H198" i="13" s="1"/>
  <c r="AG197" i="2"/>
  <c r="AE197" i="2"/>
  <c r="AC197" i="2" s="1"/>
  <c r="AH197" i="2" s="1"/>
  <c r="AD197" i="2"/>
  <c r="U197" i="2" a="1"/>
  <c r="U197" i="2" s="1"/>
  <c r="I197" i="13" s="1"/>
  <c r="T197" i="2" a="1"/>
  <c r="T197" i="2" s="1"/>
  <c r="H197" i="13" s="1"/>
  <c r="AG196" i="2"/>
  <c r="AE196" i="2"/>
  <c r="AC196" i="2" s="1"/>
  <c r="AH196" i="2" s="1"/>
  <c r="AD196" i="2"/>
  <c r="U196" i="2" a="1"/>
  <c r="U196" i="2" s="1"/>
  <c r="I196" i="13" s="1"/>
  <c r="T196" i="2" a="1"/>
  <c r="T196" i="2" s="1"/>
  <c r="H196" i="13" s="1"/>
  <c r="AG195" i="2"/>
  <c r="AE195" i="2"/>
  <c r="AC195" i="2" s="1"/>
  <c r="AH195" i="2" s="1"/>
  <c r="AD195" i="2"/>
  <c r="U195" i="2" a="1"/>
  <c r="U195" i="2" s="1"/>
  <c r="I195" i="13" s="1"/>
  <c r="T195" i="2" a="1"/>
  <c r="T195" i="2" s="1"/>
  <c r="H195" i="13" s="1"/>
  <c r="AG194" i="2"/>
  <c r="AE194" i="2"/>
  <c r="AC194" i="2" s="1"/>
  <c r="AH194" i="2" s="1"/>
  <c r="AD194" i="2"/>
  <c r="U194" i="2" a="1"/>
  <c r="U194" i="2" s="1"/>
  <c r="I194" i="13" s="1"/>
  <c r="T194" i="2" a="1"/>
  <c r="T194" i="2" s="1"/>
  <c r="H194" i="13" s="1"/>
  <c r="AG193" i="2"/>
  <c r="AE193" i="2"/>
  <c r="AC193" i="2" s="1"/>
  <c r="AH193" i="2" s="1"/>
  <c r="AD193" i="2"/>
  <c r="U193" i="2" a="1"/>
  <c r="U193" i="2" s="1"/>
  <c r="I193" i="13" s="1"/>
  <c r="T193" i="2" a="1"/>
  <c r="T193" i="2" s="1"/>
  <c r="H193" i="13" s="1"/>
  <c r="AG192" i="2"/>
  <c r="AE192" i="2"/>
  <c r="AC192" i="2" s="1"/>
  <c r="AH192" i="2" s="1"/>
  <c r="AD192" i="2"/>
  <c r="U192" i="2" a="1"/>
  <c r="U192" i="2" s="1"/>
  <c r="I192" i="13" s="1"/>
  <c r="T192" i="2" a="1"/>
  <c r="T192" i="2" s="1"/>
  <c r="H192" i="13" s="1"/>
  <c r="AG191" i="2"/>
  <c r="AE191" i="2"/>
  <c r="AC191" i="2" s="1"/>
  <c r="AH191" i="2" s="1"/>
  <c r="AD191" i="2"/>
  <c r="U191" i="2" a="1"/>
  <c r="U191" i="2" s="1"/>
  <c r="I191" i="13" s="1"/>
  <c r="T191" i="2" a="1"/>
  <c r="T191" i="2" s="1"/>
  <c r="H191" i="13" s="1"/>
  <c r="AG190" i="2"/>
  <c r="AE190" i="2"/>
  <c r="AC190" i="2" s="1"/>
  <c r="AH190" i="2" s="1"/>
  <c r="AD190" i="2"/>
  <c r="U190" i="2" a="1"/>
  <c r="U190" i="2" s="1"/>
  <c r="I190" i="13" s="1"/>
  <c r="T190" i="2" a="1"/>
  <c r="T190" i="2" s="1"/>
  <c r="H190" i="13" s="1"/>
  <c r="AG189" i="2"/>
  <c r="AE189" i="2"/>
  <c r="AC189" i="2" s="1"/>
  <c r="AH189" i="2" s="1"/>
  <c r="AD189" i="2"/>
  <c r="U189" i="2" a="1"/>
  <c r="U189" i="2" s="1"/>
  <c r="I189" i="13" s="1"/>
  <c r="T189" i="2" a="1"/>
  <c r="T189" i="2" s="1"/>
  <c r="H189" i="13" s="1"/>
  <c r="AG188" i="2"/>
  <c r="AE188" i="2"/>
  <c r="AC188" i="2" s="1"/>
  <c r="AH188" i="2" s="1"/>
  <c r="AD188" i="2"/>
  <c r="U188" i="2" a="1"/>
  <c r="U188" i="2" s="1"/>
  <c r="I188" i="13" s="1"/>
  <c r="T188" i="2" a="1"/>
  <c r="T188" i="2" s="1"/>
  <c r="H188" i="13" s="1"/>
  <c r="AG187" i="2"/>
  <c r="AE187" i="2"/>
  <c r="AC187" i="2" s="1"/>
  <c r="AH187" i="2" s="1"/>
  <c r="AD187" i="2"/>
  <c r="U187" i="2" a="1"/>
  <c r="U187" i="2" s="1"/>
  <c r="I187" i="13" s="1"/>
  <c r="T187" i="2" a="1"/>
  <c r="T187" i="2" s="1"/>
  <c r="H187" i="13" s="1"/>
  <c r="AG186" i="2"/>
  <c r="AE186" i="2"/>
  <c r="AC186" i="2" s="1"/>
  <c r="AH186" i="2" s="1"/>
  <c r="AD186" i="2"/>
  <c r="U186" i="2" a="1"/>
  <c r="U186" i="2" s="1"/>
  <c r="I186" i="13" s="1"/>
  <c r="T186" i="2" a="1"/>
  <c r="T186" i="2" s="1"/>
  <c r="H186" i="13" s="1"/>
  <c r="AG185" i="2"/>
  <c r="AE185" i="2"/>
  <c r="AC185" i="2" s="1"/>
  <c r="AH185" i="2" s="1"/>
  <c r="AD185" i="2"/>
  <c r="U185" i="2" a="1"/>
  <c r="U185" i="2" s="1"/>
  <c r="I185" i="13" s="1"/>
  <c r="T185" i="2" a="1"/>
  <c r="T185" i="2" s="1"/>
  <c r="H185" i="13" s="1"/>
  <c r="AG184" i="2"/>
  <c r="AE184" i="2"/>
  <c r="AC184" i="2" s="1"/>
  <c r="AH184" i="2" s="1"/>
  <c r="AD184" i="2"/>
  <c r="U184" i="2" a="1"/>
  <c r="U184" i="2" s="1"/>
  <c r="I184" i="13" s="1"/>
  <c r="T184" i="2" a="1"/>
  <c r="T184" i="2" s="1"/>
  <c r="H184" i="13" s="1"/>
  <c r="AG183" i="2"/>
  <c r="AE183" i="2"/>
  <c r="AC183" i="2" s="1"/>
  <c r="AH183" i="2" s="1"/>
  <c r="AD183" i="2"/>
  <c r="U183" i="2" a="1"/>
  <c r="U183" i="2" s="1"/>
  <c r="I183" i="13" s="1"/>
  <c r="T183" i="2" a="1"/>
  <c r="T183" i="2" s="1"/>
  <c r="H183" i="13" s="1"/>
  <c r="AG182" i="2"/>
  <c r="AE182" i="2"/>
  <c r="AC182" i="2" s="1"/>
  <c r="AH182" i="2" s="1"/>
  <c r="AD182" i="2"/>
  <c r="U182" i="2" a="1"/>
  <c r="U182" i="2" s="1"/>
  <c r="I182" i="13" s="1"/>
  <c r="T182" i="2" a="1"/>
  <c r="T182" i="2" s="1"/>
  <c r="H182" i="13" s="1"/>
  <c r="AG181" i="2"/>
  <c r="AE181" i="2"/>
  <c r="AC181" i="2" s="1"/>
  <c r="AH181" i="2" s="1"/>
  <c r="AD181" i="2"/>
  <c r="U181" i="2" a="1"/>
  <c r="U181" i="2" s="1"/>
  <c r="I181" i="13" s="1"/>
  <c r="T181" i="2" a="1"/>
  <c r="T181" i="2" s="1"/>
  <c r="H181" i="13" s="1"/>
  <c r="AG180" i="2"/>
  <c r="AE180" i="2"/>
  <c r="AC180" i="2" s="1"/>
  <c r="AH180" i="2" s="1"/>
  <c r="AD180" i="2"/>
  <c r="U180" i="2" a="1"/>
  <c r="U180" i="2" s="1"/>
  <c r="I180" i="13" s="1"/>
  <c r="T180" i="2" a="1"/>
  <c r="T180" i="2" s="1"/>
  <c r="H180" i="13" s="1"/>
  <c r="AG179" i="2"/>
  <c r="AE179" i="2"/>
  <c r="AC179" i="2" s="1"/>
  <c r="AH179" i="2" s="1"/>
  <c r="AD179" i="2"/>
  <c r="U179" i="2" a="1"/>
  <c r="U179" i="2" s="1"/>
  <c r="I179" i="13" s="1"/>
  <c r="T179" i="2" a="1"/>
  <c r="T179" i="2" s="1"/>
  <c r="H179" i="13" s="1"/>
  <c r="AG178" i="2"/>
  <c r="AE178" i="2"/>
  <c r="AC178" i="2" s="1"/>
  <c r="AH178" i="2" s="1"/>
  <c r="AD178" i="2"/>
  <c r="U178" i="2" a="1"/>
  <c r="U178" i="2" s="1"/>
  <c r="I178" i="13" s="1"/>
  <c r="T178" i="2" a="1"/>
  <c r="T178" i="2" s="1"/>
  <c r="H178" i="13" s="1"/>
  <c r="AG177" i="2"/>
  <c r="U177" i="2" a="1"/>
  <c r="U177" i="2" s="1"/>
  <c r="I177" i="13" s="1"/>
  <c r="T177" i="2" a="1"/>
  <c r="T177" i="2" s="1"/>
  <c r="H177" i="13" s="1"/>
  <c r="AG176" i="2"/>
  <c r="U176" i="2" a="1"/>
  <c r="U176" i="2" s="1"/>
  <c r="I176" i="13" s="1"/>
  <c r="T176" i="2" a="1"/>
  <c r="T176" i="2" s="1"/>
  <c r="H176" i="13" s="1"/>
  <c r="AG175" i="2"/>
  <c r="U175" i="2" a="1"/>
  <c r="U175" i="2" s="1"/>
  <c r="I175" i="13" s="1"/>
  <c r="T175" i="2" a="1"/>
  <c r="T175" i="2" s="1"/>
  <c r="H175" i="13" s="1"/>
  <c r="AG174" i="2"/>
  <c r="U174" i="2" a="1"/>
  <c r="U174" i="2" s="1"/>
  <c r="I174" i="13" s="1"/>
  <c r="T174" i="2" a="1"/>
  <c r="T174" i="2" s="1"/>
  <c r="H174" i="13" s="1"/>
  <c r="AG173" i="2"/>
  <c r="U173" i="2" a="1"/>
  <c r="U173" i="2" s="1"/>
  <c r="I173" i="13" s="1"/>
  <c r="T173" i="2" a="1"/>
  <c r="T173" i="2" s="1"/>
  <c r="H173" i="13" s="1"/>
  <c r="AG172" i="2"/>
  <c r="U172" i="2" a="1"/>
  <c r="U172" i="2" s="1"/>
  <c r="I172" i="13" s="1"/>
  <c r="T172" i="2" a="1"/>
  <c r="T172" i="2" s="1"/>
  <c r="H172" i="13" s="1"/>
  <c r="AG171" i="2"/>
  <c r="U171" i="2" a="1"/>
  <c r="U171" i="2" s="1"/>
  <c r="I171" i="13" s="1"/>
  <c r="T171" i="2" a="1"/>
  <c r="T171" i="2" s="1"/>
  <c r="H171" i="13" s="1"/>
  <c r="AG170" i="2"/>
  <c r="U170" i="2" a="1"/>
  <c r="U170" i="2" s="1"/>
  <c r="I170" i="13" s="1"/>
  <c r="T170" i="2" a="1"/>
  <c r="T170" i="2" s="1"/>
  <c r="H170" i="13" s="1"/>
  <c r="AG169" i="2"/>
  <c r="U169" i="2" a="1"/>
  <c r="U169" i="2" s="1"/>
  <c r="I169" i="13" s="1"/>
  <c r="T169" i="2" a="1"/>
  <c r="T169" i="2" s="1"/>
  <c r="H169" i="13" s="1"/>
  <c r="AG168" i="2"/>
  <c r="U168" i="2" a="1"/>
  <c r="U168" i="2" s="1"/>
  <c r="I168" i="13" s="1"/>
  <c r="T168" i="2" a="1"/>
  <c r="T168" i="2" s="1"/>
  <c r="H168" i="13" s="1"/>
  <c r="AB6" i="10"/>
  <c r="AG167" i="2"/>
  <c r="M25" i="2"/>
  <c r="D92" i="13" s="1"/>
  <c r="BJ123" i="5"/>
  <c r="BF123" i="5"/>
  <c r="BB123" i="5"/>
  <c r="AP123" i="5"/>
  <c r="AL123" i="5"/>
  <c r="AH123" i="5"/>
  <c r="V123" i="5"/>
  <c r="R123" i="5"/>
  <c r="N123" i="5"/>
  <c r="J123" i="5"/>
  <c r="BJ118" i="5"/>
  <c r="BF118" i="5"/>
  <c r="BB118" i="5"/>
  <c r="AP118" i="5"/>
  <c r="AL118" i="5"/>
  <c r="AH118" i="5"/>
  <c r="V118" i="5"/>
  <c r="R118" i="5"/>
  <c r="N118" i="5"/>
  <c r="J118" i="5"/>
  <c r="E115" i="5"/>
  <c r="AZ120" i="5" s="1"/>
  <c r="E99" i="5"/>
  <c r="E94" i="5"/>
  <c r="E89" i="5" a="1"/>
  <c r="E89" i="5" s="1"/>
  <c r="E84" i="5" a="1"/>
  <c r="E84" i="5" s="1"/>
  <c r="E79" i="5" a="1"/>
  <c r="E79" i="5" s="1"/>
  <c r="E74" i="5"/>
  <c r="E69" i="5" a="1"/>
  <c r="E69" i="5" s="1"/>
  <c r="E54" i="5"/>
  <c r="E49" i="5"/>
  <c r="E44" i="5"/>
  <c r="E44" i="4" s="1"/>
  <c r="E39" i="5"/>
  <c r="E39" i="4" s="1"/>
  <c r="E34" i="5" a="1"/>
  <c r="E34" i="5" s="1"/>
  <c r="E29" i="5" a="1"/>
  <c r="E29" i="5" s="1"/>
  <c r="E24" i="5" a="1"/>
  <c r="E24" i="5" s="1"/>
  <c r="E24" i="4" s="1"/>
  <c r="E19" i="5" a="1"/>
  <c r="E19" i="5" s="1"/>
  <c r="E14" i="5" a="1"/>
  <c r="E14" i="5" s="1"/>
  <c r="AZ8" i="5"/>
  <c r="AF8" i="5"/>
  <c r="H8" i="5"/>
  <c r="B6" i="5"/>
  <c r="A101" i="13"/>
  <c r="T167" i="2" a="1"/>
  <c r="T167" i="2" s="1"/>
  <c r="H167" i="13" s="1"/>
  <c r="U167" i="2" a="1"/>
  <c r="U167" i="2" s="1"/>
  <c r="I167" i="13" s="1"/>
  <c r="S24" i="2"/>
  <c r="K138" i="13" s="1"/>
  <c r="S23" i="2"/>
  <c r="K117" i="13" s="1"/>
  <c r="S22" i="2"/>
  <c r="K28" i="13" s="1"/>
  <c r="S21" i="2"/>
  <c r="K26" i="13" s="1"/>
  <c r="S20" i="2"/>
  <c r="K27" i="13" s="1"/>
  <c r="S19" i="2"/>
  <c r="K29" i="13" s="1"/>
  <c r="S18" i="2"/>
  <c r="K109" i="13" s="1"/>
  <c r="S17" i="2"/>
  <c r="K139" i="13" s="1"/>
  <c r="S16" i="2"/>
  <c r="K159" i="13" s="1"/>
  <c r="S15" i="2"/>
  <c r="K166" i="13" s="1"/>
  <c r="S14" i="2"/>
  <c r="K108" i="13" s="1"/>
  <c r="S13" i="2"/>
  <c r="K152" i="13" s="1"/>
  <c r="S12" i="2"/>
  <c r="K124" i="13" s="1"/>
  <c r="S11" i="2"/>
  <c r="K110" i="13" s="1"/>
  <c r="S10" i="2"/>
  <c r="K78" i="13" s="1"/>
  <c r="S9" i="2"/>
  <c r="K131" i="13" s="1"/>
  <c r="S8" i="2"/>
  <c r="K106" i="13" s="1"/>
  <c r="S7" i="2"/>
  <c r="K104" i="13" s="1"/>
  <c r="S6" i="2"/>
  <c r="K107" i="13" s="1"/>
  <c r="S5" i="2"/>
  <c r="K102" i="13" s="1"/>
  <c r="S4" i="2"/>
  <c r="K105" i="13" s="1"/>
  <c r="S3" i="2"/>
  <c r="K103" i="13" s="1"/>
  <c r="S2" i="2"/>
  <c r="T2" i="2" s="1" a="1"/>
  <c r="T2" i="2" s="1"/>
  <c r="S25" i="2"/>
  <c r="K92" i="13" s="1"/>
  <c r="S26" i="2"/>
  <c r="K98" i="13" s="1"/>
  <c r="S50" i="2"/>
  <c r="K79" i="13" s="1"/>
  <c r="S51" i="2"/>
  <c r="K50" i="13" s="1"/>
  <c r="S52" i="2"/>
  <c r="K65" i="13" s="1"/>
  <c r="S53" i="2"/>
  <c r="K37" i="13" s="1"/>
  <c r="S54" i="2"/>
  <c r="K80" i="13" s="1"/>
  <c r="S55" i="2"/>
  <c r="K121" i="13" s="1"/>
  <c r="S56" i="2"/>
  <c r="K66" i="13" s="1"/>
  <c r="S57" i="2"/>
  <c r="K38" i="13" s="1"/>
  <c r="S58" i="2"/>
  <c r="K127" i="13" s="1"/>
  <c r="S59" i="2"/>
  <c r="K144" i="13" s="1"/>
  <c r="S60" i="2"/>
  <c r="K67" i="13" s="1"/>
  <c r="S61" i="2"/>
  <c r="K161" i="13" s="1"/>
  <c r="S62" i="2"/>
  <c r="K158" i="13" s="1"/>
  <c r="S63" i="2"/>
  <c r="K145" i="13" s="1"/>
  <c r="S64" i="2"/>
  <c r="K68" i="13" s="1"/>
  <c r="S65" i="2"/>
  <c r="K4" i="13" s="1"/>
  <c r="S66" i="2"/>
  <c r="K22" i="13" s="1"/>
  <c r="S67" i="2"/>
  <c r="K10" i="13" s="1"/>
  <c r="S68" i="2"/>
  <c r="K16" i="13" s="1"/>
  <c r="S69" i="2"/>
  <c r="K112" i="13" s="1"/>
  <c r="S70" i="2"/>
  <c r="K137" i="13" s="1"/>
  <c r="S71" i="2"/>
  <c r="K51" i="13" s="1"/>
  <c r="S27" i="2"/>
  <c r="K95" i="13" s="1"/>
  <c r="S28" i="2"/>
  <c r="K97" i="13" s="1"/>
  <c r="S29" i="2"/>
  <c r="K93" i="13" s="1"/>
  <c r="S30" i="2"/>
  <c r="K99" i="13" s="1"/>
  <c r="S31" i="2"/>
  <c r="K96" i="13" s="1"/>
  <c r="S32" i="2"/>
  <c r="K130" i="13" s="1"/>
  <c r="S33" i="2"/>
  <c r="K94" i="13" s="1"/>
  <c r="S34" i="2"/>
  <c r="K100" i="13" s="1"/>
  <c r="S35" i="2"/>
  <c r="K120" i="13" s="1"/>
  <c r="S36" i="2"/>
  <c r="K146" i="13" s="1"/>
  <c r="S37" i="2"/>
  <c r="K34" i="13" s="1"/>
  <c r="S38" i="2"/>
  <c r="K164" i="13" s="1"/>
  <c r="S39" i="2"/>
  <c r="K154" i="13" s="1"/>
  <c r="S40" i="2"/>
  <c r="K147" i="13" s="1"/>
  <c r="S41" i="2"/>
  <c r="K35" i="13" s="1"/>
  <c r="S42" i="2"/>
  <c r="K21" i="13" s="1"/>
  <c r="S43" i="2"/>
  <c r="K9" i="13" s="1"/>
  <c r="S44" i="2"/>
  <c r="K15" i="13" s="1"/>
  <c r="S45" i="2"/>
  <c r="K3" i="13" s="1"/>
  <c r="S46" i="2"/>
  <c r="K115" i="13" s="1"/>
  <c r="S47" i="2"/>
  <c r="K134" i="13" s="1"/>
  <c r="S48" i="2"/>
  <c r="K64" i="13" s="1"/>
  <c r="S49" i="2"/>
  <c r="K36" i="13" s="1"/>
  <c r="S72" i="2"/>
  <c r="K69" i="13" s="1"/>
  <c r="S73" i="2"/>
  <c r="K39" i="13" s="1"/>
  <c r="S74" i="2"/>
  <c r="K81" i="13" s="1"/>
  <c r="S75" i="2"/>
  <c r="K52" i="13" s="1"/>
  <c r="S76" i="2"/>
  <c r="K70" i="13" s="1"/>
  <c r="S77" i="2"/>
  <c r="K40" i="13" s="1"/>
  <c r="S78" i="2"/>
  <c r="K128" i="13" s="1"/>
  <c r="S79" i="2"/>
  <c r="K53" i="13" s="1"/>
  <c r="S80" i="2"/>
  <c r="K71" i="13" s="1"/>
  <c r="S81" i="2"/>
  <c r="K118" i="13" s="1"/>
  <c r="S82" i="2"/>
  <c r="K150" i="13" s="1"/>
  <c r="S83" i="2"/>
  <c r="K54" i="13" s="1"/>
  <c r="S84" i="2"/>
  <c r="K163" i="13" s="1"/>
  <c r="S85" i="2"/>
  <c r="K153" i="13" s="1"/>
  <c r="S86" i="2"/>
  <c r="K151" i="13" s="1"/>
  <c r="S87" i="2"/>
  <c r="K55" i="13" s="1"/>
  <c r="S88" i="2"/>
  <c r="K17" i="13" s="1"/>
  <c r="S89" i="2"/>
  <c r="K5" i="13" s="1"/>
  <c r="S90" i="2"/>
  <c r="K23" i="13" s="1"/>
  <c r="S91" i="2"/>
  <c r="K11" i="13" s="1"/>
  <c r="S92" i="2"/>
  <c r="K114" i="13" s="1"/>
  <c r="S93" i="2"/>
  <c r="K133" i="13" s="1"/>
  <c r="S94" i="2"/>
  <c r="K82" i="13" s="1"/>
  <c r="S95" i="2"/>
  <c r="K56" i="13" s="1"/>
  <c r="S96" i="2"/>
  <c r="K72" i="13" s="1"/>
  <c r="S97" i="2"/>
  <c r="K41" i="13" s="1"/>
  <c r="S98" i="2"/>
  <c r="K83" i="13" s="1"/>
  <c r="S99" i="2"/>
  <c r="K57" i="13" s="1"/>
  <c r="S100" i="2"/>
  <c r="K73" i="13" s="1"/>
  <c r="S101" i="2"/>
  <c r="K119" i="13" s="1"/>
  <c r="S102" i="2"/>
  <c r="K84" i="13" s="1"/>
  <c r="S103" i="2"/>
  <c r="K58" i="13" s="1"/>
  <c r="S104" i="2"/>
  <c r="K125" i="13" s="1"/>
  <c r="S105" i="2"/>
  <c r="K140" i="13" s="1"/>
  <c r="S106" i="2"/>
  <c r="K85" i="13" s="1"/>
  <c r="S107" i="2"/>
  <c r="K162" i="13" s="1"/>
  <c r="S108" i="2"/>
  <c r="K156" i="13" s="1"/>
  <c r="S109" i="2"/>
  <c r="K141" i="13" s="1"/>
  <c r="S110" i="2"/>
  <c r="K86" i="13" s="1"/>
  <c r="S111" i="2"/>
  <c r="K12" i="13" s="1"/>
  <c r="S112" i="2"/>
  <c r="K18" i="13" s="1"/>
  <c r="S113" i="2"/>
  <c r="K6" i="13" s="1"/>
  <c r="S114" i="2"/>
  <c r="K24" i="13" s="1"/>
  <c r="S115" i="2"/>
  <c r="K113" i="13" s="1"/>
  <c r="S116" i="2"/>
  <c r="K136" i="13" s="1"/>
  <c r="S117" i="2"/>
  <c r="K42" i="13" s="1"/>
  <c r="S118" i="2"/>
  <c r="K87" i="13" s="1"/>
  <c r="S119" i="2"/>
  <c r="K59" i="13" s="1"/>
  <c r="S120" i="2"/>
  <c r="K74" i="13" s="1"/>
  <c r="S121" i="2"/>
  <c r="K43" i="13" s="1"/>
  <c r="S122" i="2"/>
  <c r="K88" i="13" s="1"/>
  <c r="S123" i="2"/>
  <c r="K60" i="13" s="1"/>
  <c r="S124" i="2"/>
  <c r="K126" i="13" s="1"/>
  <c r="S125" i="2"/>
  <c r="K44" i="13" s="1"/>
  <c r="S126" i="2"/>
  <c r="K89" i="13" s="1"/>
  <c r="S127" i="2"/>
  <c r="K122" i="13" s="1"/>
  <c r="S128" i="2"/>
  <c r="K148" i="13" s="1"/>
  <c r="S129" i="2"/>
  <c r="K45" i="13" s="1"/>
  <c r="S130" i="2"/>
  <c r="K165" i="13" s="1"/>
  <c r="S131" i="2"/>
  <c r="K155" i="13" s="1"/>
  <c r="S132" i="2"/>
  <c r="K149" i="13" s="1"/>
  <c r="S133" i="2"/>
  <c r="K46" i="13" s="1"/>
  <c r="S134" i="2"/>
  <c r="K25" i="13" s="1"/>
  <c r="S135" i="2"/>
  <c r="K13" i="13" s="1"/>
  <c r="S136" i="2"/>
  <c r="K19" i="13" s="1"/>
  <c r="S137" i="2"/>
  <c r="K7" i="13" s="1"/>
  <c r="S138" i="2"/>
  <c r="K116" i="13" s="1"/>
  <c r="S139" i="2"/>
  <c r="K135" i="13" s="1"/>
  <c r="S140" i="2"/>
  <c r="K75" i="13" s="1"/>
  <c r="S141" i="2"/>
  <c r="K47" i="13" s="1"/>
  <c r="S142" i="2"/>
  <c r="K90" i="13" s="1"/>
  <c r="S143" i="2"/>
  <c r="K61" i="13" s="1"/>
  <c r="S144" i="2"/>
  <c r="K76" i="13" s="1"/>
  <c r="S145" i="2"/>
  <c r="K48" i="13" s="1"/>
  <c r="S146" i="2"/>
  <c r="K91" i="13" s="1"/>
  <c r="S147" i="2"/>
  <c r="K123" i="13" s="1"/>
  <c r="S148" i="2"/>
  <c r="K77" i="13" s="1"/>
  <c r="S149" i="2"/>
  <c r="K49" i="13" s="1"/>
  <c r="S150" i="2"/>
  <c r="K129" i="13" s="1"/>
  <c r="S151" i="2"/>
  <c r="K142" i="13" s="1"/>
  <c r="S152" i="2"/>
  <c r="K62" i="13" s="1"/>
  <c r="S153" i="2"/>
  <c r="K160" i="13" s="1"/>
  <c r="S154" i="2"/>
  <c r="K157" i="13" s="1"/>
  <c r="S155" i="2"/>
  <c r="K143" i="13" s="1"/>
  <c r="S156" i="2"/>
  <c r="K63" i="13" s="1"/>
  <c r="S157" i="2"/>
  <c r="K2" i="13" s="1"/>
  <c r="S158" i="2"/>
  <c r="K20" i="13" s="1"/>
  <c r="S159" i="2"/>
  <c r="K8" i="13" s="1"/>
  <c r="S160" i="2"/>
  <c r="K14" i="13" s="1"/>
  <c r="S161" i="2"/>
  <c r="K111" i="13" s="1"/>
  <c r="S162" i="2"/>
  <c r="K132" i="13" s="1"/>
  <c r="S163" i="2"/>
  <c r="K31" i="13" s="1"/>
  <c r="S164" i="2"/>
  <c r="K32" i="13" s="1"/>
  <c r="S165" i="2"/>
  <c r="K30" i="13" s="1"/>
  <c r="S166" i="2"/>
  <c r="K33" i="13" s="1"/>
  <c r="L36" i="12" a="1"/>
  <c r="L36" i="12" s="1"/>
  <c r="L35" i="12" a="1"/>
  <c r="L35" i="12" s="1"/>
  <c r="L34" i="12" a="1"/>
  <c r="L34" i="12" s="1"/>
  <c r="O25" i="2"/>
  <c r="F92" i="13" s="1"/>
  <c r="R40" i="2"/>
  <c r="M147" i="13" s="1"/>
  <c r="P40" i="2"/>
  <c r="G147" i="13" s="1"/>
  <c r="O40" i="2"/>
  <c r="F147" i="13" s="1"/>
  <c r="M40" i="2"/>
  <c r="D147" i="13" s="1"/>
  <c r="L40" i="2"/>
  <c r="C147" i="13" s="1"/>
  <c r="K40" i="2"/>
  <c r="B147" i="13" s="1"/>
  <c r="R39" i="2"/>
  <c r="M154" i="13" s="1"/>
  <c r="P39" i="2"/>
  <c r="G154" i="13" s="1"/>
  <c r="O39" i="2"/>
  <c r="F154" i="13" s="1"/>
  <c r="M39" i="2"/>
  <c r="D154" i="13" s="1"/>
  <c r="L39" i="2"/>
  <c r="C154" i="13" s="1"/>
  <c r="K39" i="2"/>
  <c r="B154" i="13" s="1"/>
  <c r="R38" i="2"/>
  <c r="M164" i="13" s="1"/>
  <c r="P38" i="2"/>
  <c r="G164" i="13" s="1"/>
  <c r="O38" i="2"/>
  <c r="F164" i="13" s="1"/>
  <c r="M38" i="2"/>
  <c r="D164" i="13" s="1"/>
  <c r="L38" i="2"/>
  <c r="C164" i="13" s="1"/>
  <c r="K38" i="2"/>
  <c r="B164" i="13" s="1"/>
  <c r="R37" i="2"/>
  <c r="M34" i="13" s="1"/>
  <c r="P37" i="2"/>
  <c r="G34" i="13" s="1"/>
  <c r="O37" i="2"/>
  <c r="F34" i="13" s="1"/>
  <c r="M37" i="2"/>
  <c r="D34" i="13" s="1"/>
  <c r="L37" i="2"/>
  <c r="C34" i="13" s="1"/>
  <c r="K37" i="2"/>
  <c r="B34" i="13" s="1"/>
  <c r="R36" i="2"/>
  <c r="M146" i="13" s="1"/>
  <c r="P36" i="2"/>
  <c r="G146" i="13" s="1"/>
  <c r="O36" i="2"/>
  <c r="F146" i="13" s="1"/>
  <c r="M36" i="2"/>
  <c r="D146" i="13" s="1"/>
  <c r="L36" i="2"/>
  <c r="C146" i="13" s="1"/>
  <c r="K36" i="2"/>
  <c r="B146" i="13" s="1"/>
  <c r="R35" i="2"/>
  <c r="M120" i="13" s="1"/>
  <c r="P35" i="2"/>
  <c r="G120" i="13" s="1"/>
  <c r="O35" i="2"/>
  <c r="F120" i="13" s="1"/>
  <c r="M35" i="2"/>
  <c r="D120" i="13" s="1"/>
  <c r="L35" i="2"/>
  <c r="C120" i="13" s="1"/>
  <c r="K35" i="2"/>
  <c r="B120" i="13" s="1"/>
  <c r="R34" i="2"/>
  <c r="M100" i="13" s="1"/>
  <c r="P34" i="2"/>
  <c r="G100" i="13" s="1"/>
  <c r="O34" i="2"/>
  <c r="F100" i="13" s="1"/>
  <c r="M34" i="2"/>
  <c r="D100" i="13" s="1"/>
  <c r="L34" i="2"/>
  <c r="C100" i="13" s="1"/>
  <c r="K34" i="2"/>
  <c r="B100" i="13" s="1"/>
  <c r="R33" i="2"/>
  <c r="M94" i="13" s="1"/>
  <c r="P33" i="2"/>
  <c r="G94" i="13" s="1"/>
  <c r="O33" i="2"/>
  <c r="F94" i="13" s="1"/>
  <c r="M33" i="2"/>
  <c r="D94" i="13" s="1"/>
  <c r="L33" i="2"/>
  <c r="C94" i="13" s="1"/>
  <c r="K33" i="2"/>
  <c r="B94" i="13" s="1"/>
  <c r="R32" i="2"/>
  <c r="M130" i="13" s="1"/>
  <c r="P32" i="2"/>
  <c r="G130" i="13" s="1"/>
  <c r="O32" i="2"/>
  <c r="F130" i="13" s="1"/>
  <c r="M32" i="2"/>
  <c r="D130" i="13" s="1"/>
  <c r="L32" i="2"/>
  <c r="C130" i="13" s="1"/>
  <c r="K32" i="2"/>
  <c r="B130" i="13" s="1"/>
  <c r="R31" i="2"/>
  <c r="M96" i="13" s="1"/>
  <c r="P31" i="2"/>
  <c r="G96" i="13" s="1"/>
  <c r="O31" i="2"/>
  <c r="F96" i="13" s="1"/>
  <c r="M31" i="2"/>
  <c r="D96" i="13" s="1"/>
  <c r="L31" i="2"/>
  <c r="C96" i="13" s="1"/>
  <c r="K31" i="2"/>
  <c r="B96" i="13" s="1"/>
  <c r="R30" i="2"/>
  <c r="M99" i="13" s="1"/>
  <c r="P30" i="2"/>
  <c r="G99" i="13" s="1"/>
  <c r="O30" i="2"/>
  <c r="F99" i="13" s="1"/>
  <c r="L30" i="2"/>
  <c r="C99" i="13" s="1"/>
  <c r="K30" i="2"/>
  <c r="B99" i="13" s="1"/>
  <c r="R29" i="2"/>
  <c r="M93" i="13" s="1"/>
  <c r="P29" i="2"/>
  <c r="G93" i="13" s="1"/>
  <c r="O29" i="2"/>
  <c r="F93" i="13" s="1"/>
  <c r="L29" i="2"/>
  <c r="C93" i="13" s="1"/>
  <c r="K29" i="2"/>
  <c r="B93" i="13" s="1"/>
  <c r="R28" i="2"/>
  <c r="M97" i="13" s="1"/>
  <c r="P28" i="2"/>
  <c r="G97" i="13" s="1"/>
  <c r="O28" i="2"/>
  <c r="F97" i="13" s="1"/>
  <c r="L28" i="2"/>
  <c r="C97" i="13" s="1"/>
  <c r="K28" i="2"/>
  <c r="B97" i="13" s="1"/>
  <c r="R27" i="2"/>
  <c r="M95" i="13" s="1"/>
  <c r="P27" i="2"/>
  <c r="G95" i="13" s="1"/>
  <c r="O27" i="2"/>
  <c r="F95" i="13" s="1"/>
  <c r="L27" i="2"/>
  <c r="C95" i="13" s="1"/>
  <c r="K27" i="2"/>
  <c r="B95" i="13" s="1"/>
  <c r="R26" i="2"/>
  <c r="M98" i="13" s="1"/>
  <c r="P26" i="2"/>
  <c r="G98" i="13" s="1"/>
  <c r="O26" i="2"/>
  <c r="F98" i="13" s="1"/>
  <c r="L26" i="2"/>
  <c r="C98" i="13" s="1"/>
  <c r="K26" i="2"/>
  <c r="B98" i="13" s="1"/>
  <c r="P86" i="2"/>
  <c r="G151" i="13" s="1"/>
  <c r="O86" i="2"/>
  <c r="F151" i="13" s="1"/>
  <c r="M86" i="2"/>
  <c r="D151" i="13" s="1"/>
  <c r="L86" i="2"/>
  <c r="C151" i="13" s="1"/>
  <c r="P85" i="2"/>
  <c r="G153" i="13" s="1"/>
  <c r="O85" i="2"/>
  <c r="F153" i="13" s="1"/>
  <c r="M85" i="2"/>
  <c r="D153" i="13" s="1"/>
  <c r="L85" i="2"/>
  <c r="C153" i="13" s="1"/>
  <c r="P84" i="2"/>
  <c r="G163" i="13" s="1"/>
  <c r="O84" i="2"/>
  <c r="F163" i="13" s="1"/>
  <c r="M84" i="2"/>
  <c r="D163" i="13" s="1"/>
  <c r="L84" i="2"/>
  <c r="C163" i="13" s="1"/>
  <c r="P83" i="2"/>
  <c r="G54" i="13" s="1"/>
  <c r="O83" i="2"/>
  <c r="F54" i="13" s="1"/>
  <c r="M83" i="2"/>
  <c r="D54" i="13" s="1"/>
  <c r="L83" i="2"/>
  <c r="C54" i="13" s="1"/>
  <c r="P82" i="2"/>
  <c r="G150" i="13" s="1"/>
  <c r="O82" i="2"/>
  <c r="F150" i="13" s="1"/>
  <c r="M82" i="2"/>
  <c r="D150" i="13" s="1"/>
  <c r="L82" i="2"/>
  <c r="C150" i="13" s="1"/>
  <c r="P81" i="2"/>
  <c r="G118" i="13" s="1"/>
  <c r="O81" i="2"/>
  <c r="F118" i="13" s="1"/>
  <c r="M81" i="2"/>
  <c r="D118" i="13" s="1"/>
  <c r="L81" i="2"/>
  <c r="C118" i="13" s="1"/>
  <c r="P80" i="2"/>
  <c r="G71" i="13" s="1"/>
  <c r="O80" i="2"/>
  <c r="F71" i="13" s="1"/>
  <c r="M80" i="2"/>
  <c r="D71" i="13" s="1"/>
  <c r="L80" i="2"/>
  <c r="C71" i="13" s="1"/>
  <c r="P79" i="2"/>
  <c r="G53" i="13" s="1"/>
  <c r="O79" i="2"/>
  <c r="F53" i="13" s="1"/>
  <c r="M79" i="2"/>
  <c r="D53" i="13" s="1"/>
  <c r="L79" i="2"/>
  <c r="C53" i="13" s="1"/>
  <c r="P78" i="2"/>
  <c r="G128" i="13" s="1"/>
  <c r="O78" i="2"/>
  <c r="F128" i="13" s="1"/>
  <c r="M78" i="2"/>
  <c r="D128" i="13" s="1"/>
  <c r="L78" i="2"/>
  <c r="C128" i="13" s="1"/>
  <c r="P77" i="2"/>
  <c r="G40" i="13" s="1"/>
  <c r="O77" i="2"/>
  <c r="F40" i="13" s="1"/>
  <c r="M77" i="2"/>
  <c r="D40" i="13" s="1"/>
  <c r="L77" i="2"/>
  <c r="C40" i="13" s="1"/>
  <c r="P76" i="2"/>
  <c r="G70" i="13" s="1"/>
  <c r="O76" i="2"/>
  <c r="F70" i="13" s="1"/>
  <c r="M76" i="2"/>
  <c r="D70" i="13" s="1"/>
  <c r="L76" i="2"/>
  <c r="C70" i="13" s="1"/>
  <c r="P75" i="2"/>
  <c r="G52" i="13" s="1"/>
  <c r="O75" i="2"/>
  <c r="F52" i="13" s="1"/>
  <c r="M75" i="2"/>
  <c r="D52" i="13" s="1"/>
  <c r="L75" i="2"/>
  <c r="C52" i="13" s="1"/>
  <c r="P74" i="2"/>
  <c r="G81" i="13" s="1"/>
  <c r="O74" i="2"/>
  <c r="F81" i="13" s="1"/>
  <c r="M74" i="2"/>
  <c r="D81" i="13" s="1"/>
  <c r="L74" i="2"/>
  <c r="C81" i="13" s="1"/>
  <c r="P73" i="2"/>
  <c r="G39" i="13" s="1"/>
  <c r="O73" i="2"/>
  <c r="F39" i="13" s="1"/>
  <c r="M73" i="2"/>
  <c r="D39" i="13" s="1"/>
  <c r="L73" i="2"/>
  <c r="C39" i="13" s="1"/>
  <c r="P72" i="2"/>
  <c r="G69" i="13" s="1"/>
  <c r="O72" i="2"/>
  <c r="F69" i="13" s="1"/>
  <c r="M72" i="2"/>
  <c r="D69" i="13" s="1"/>
  <c r="L72" i="2"/>
  <c r="C69" i="13" s="1"/>
  <c r="K166" i="2"/>
  <c r="B33" i="13" s="1"/>
  <c r="K165" i="2"/>
  <c r="B30" i="13" s="1"/>
  <c r="K164" i="2"/>
  <c r="B32" i="13" s="1"/>
  <c r="K163" i="2"/>
  <c r="B31" i="13" s="1"/>
  <c r="K162" i="2"/>
  <c r="B132" i="13" s="1"/>
  <c r="K161" i="2"/>
  <c r="B111" i="13" s="1"/>
  <c r="K160" i="2"/>
  <c r="B14" i="13" s="1"/>
  <c r="K159" i="2"/>
  <c r="B8" i="13" s="1"/>
  <c r="K158" i="2"/>
  <c r="B20" i="13" s="1"/>
  <c r="K157" i="2"/>
  <c r="B2" i="13" s="1"/>
  <c r="K156" i="2"/>
  <c r="B63" i="13" s="1"/>
  <c r="K155" i="2"/>
  <c r="B143" i="13" s="1"/>
  <c r="K154" i="2"/>
  <c r="B157" i="13" s="1"/>
  <c r="K153" i="2"/>
  <c r="B160" i="13" s="1"/>
  <c r="K152" i="2"/>
  <c r="B62" i="13" s="1"/>
  <c r="K151" i="2"/>
  <c r="B142" i="13" s="1"/>
  <c r="K150" i="2"/>
  <c r="B129" i="13" s="1"/>
  <c r="K149" i="2"/>
  <c r="B49" i="13" s="1"/>
  <c r="K148" i="2"/>
  <c r="B77" i="13" s="1"/>
  <c r="K147" i="2"/>
  <c r="B123" i="13" s="1"/>
  <c r="K146" i="2"/>
  <c r="B91" i="13" s="1"/>
  <c r="K145" i="2"/>
  <c r="B48" i="13" s="1"/>
  <c r="K144" i="2"/>
  <c r="B76" i="13" s="1"/>
  <c r="K143" i="2"/>
  <c r="B61" i="13" s="1"/>
  <c r="K142" i="2"/>
  <c r="B90" i="13" s="1"/>
  <c r="K141" i="2"/>
  <c r="B47" i="13" s="1"/>
  <c r="K140" i="2"/>
  <c r="B75" i="13" s="1"/>
  <c r="K139" i="2"/>
  <c r="B135" i="13" s="1"/>
  <c r="K138" i="2"/>
  <c r="B116" i="13" s="1"/>
  <c r="K137" i="2"/>
  <c r="B7" i="13" s="1"/>
  <c r="K136" i="2"/>
  <c r="B19" i="13" s="1"/>
  <c r="K135" i="2"/>
  <c r="B13" i="13" s="1"/>
  <c r="K134" i="2"/>
  <c r="B25" i="13" s="1"/>
  <c r="K133" i="2"/>
  <c r="B46" i="13" s="1"/>
  <c r="K132" i="2"/>
  <c r="B149" i="13" s="1"/>
  <c r="K131" i="2"/>
  <c r="B155" i="13" s="1"/>
  <c r="K130" i="2"/>
  <c r="B165" i="13" s="1"/>
  <c r="K129" i="2"/>
  <c r="B45" i="13" s="1"/>
  <c r="K128" i="2"/>
  <c r="B148" i="13" s="1"/>
  <c r="K127" i="2"/>
  <c r="B122" i="13" s="1"/>
  <c r="K126" i="2"/>
  <c r="B89" i="13" s="1"/>
  <c r="K125" i="2"/>
  <c r="B44" i="13" s="1"/>
  <c r="K124" i="2"/>
  <c r="B126" i="13" s="1"/>
  <c r="K123" i="2"/>
  <c r="B60" i="13" s="1"/>
  <c r="K122" i="2"/>
  <c r="B88" i="13" s="1"/>
  <c r="K121" i="2"/>
  <c r="B43" i="13" s="1"/>
  <c r="K120" i="2"/>
  <c r="B74" i="13" s="1"/>
  <c r="K119" i="2"/>
  <c r="B59" i="13" s="1"/>
  <c r="K118" i="2"/>
  <c r="B87" i="13" s="1"/>
  <c r="K117" i="2"/>
  <c r="B42" i="13" s="1"/>
  <c r="K116" i="2"/>
  <c r="B136" i="13" s="1"/>
  <c r="K115" i="2"/>
  <c r="B113" i="13" s="1"/>
  <c r="K114" i="2"/>
  <c r="B24" i="13" s="1"/>
  <c r="K113" i="2"/>
  <c r="B6" i="13" s="1"/>
  <c r="K112" i="2"/>
  <c r="B18" i="13" s="1"/>
  <c r="K111" i="2"/>
  <c r="B12" i="13" s="1"/>
  <c r="K110" i="2"/>
  <c r="B86" i="13" s="1"/>
  <c r="K109" i="2"/>
  <c r="B141" i="13" s="1"/>
  <c r="K108" i="2"/>
  <c r="B156" i="13" s="1"/>
  <c r="K107" i="2"/>
  <c r="B162" i="13" s="1"/>
  <c r="K106" i="2"/>
  <c r="B85" i="13" s="1"/>
  <c r="K105" i="2"/>
  <c r="B140" i="13" s="1"/>
  <c r="K104" i="2"/>
  <c r="B125" i="13" s="1"/>
  <c r="K103" i="2"/>
  <c r="B58" i="13" s="1"/>
  <c r="K102" i="2"/>
  <c r="B84" i="13" s="1"/>
  <c r="K101" i="2"/>
  <c r="B119" i="13" s="1"/>
  <c r="K100" i="2"/>
  <c r="B73" i="13" s="1"/>
  <c r="K99" i="2"/>
  <c r="B57" i="13" s="1"/>
  <c r="K98" i="2"/>
  <c r="B83" i="13" s="1"/>
  <c r="K97" i="2"/>
  <c r="B41" i="13" s="1"/>
  <c r="K96" i="2"/>
  <c r="B72" i="13" s="1"/>
  <c r="K95" i="2"/>
  <c r="B56" i="13" s="1"/>
  <c r="K94" i="2"/>
  <c r="B82" i="13" s="1"/>
  <c r="K93" i="2"/>
  <c r="B133" i="13" s="1"/>
  <c r="K92" i="2"/>
  <c r="B114" i="13" s="1"/>
  <c r="K91" i="2"/>
  <c r="B11" i="13" s="1"/>
  <c r="K90" i="2"/>
  <c r="B23" i="13" s="1"/>
  <c r="K89" i="2"/>
  <c r="B5" i="13" s="1"/>
  <c r="K88" i="2"/>
  <c r="B17" i="13" s="1"/>
  <c r="K87" i="2"/>
  <c r="B55" i="13" s="1"/>
  <c r="K86" i="2"/>
  <c r="B151" i="13" s="1"/>
  <c r="K85" i="2"/>
  <c r="B153" i="13" s="1"/>
  <c r="K84" i="2"/>
  <c r="B163" i="13" s="1"/>
  <c r="K83" i="2"/>
  <c r="B54" i="13" s="1"/>
  <c r="K82" i="2"/>
  <c r="B150" i="13" s="1"/>
  <c r="K81" i="2"/>
  <c r="B118" i="13" s="1"/>
  <c r="K80" i="2"/>
  <c r="B71" i="13" s="1"/>
  <c r="K79" i="2"/>
  <c r="B53" i="13" s="1"/>
  <c r="K78" i="2"/>
  <c r="B128" i="13" s="1"/>
  <c r="K77" i="2"/>
  <c r="B40" i="13" s="1"/>
  <c r="K76" i="2"/>
  <c r="B70" i="13" s="1"/>
  <c r="K75" i="2"/>
  <c r="B52" i="13" s="1"/>
  <c r="K74" i="2"/>
  <c r="B81" i="13" s="1"/>
  <c r="K73" i="2"/>
  <c r="B39" i="13" s="1"/>
  <c r="K72" i="2"/>
  <c r="B69" i="13" s="1"/>
  <c r="R42" i="2"/>
  <c r="M21" i="13" s="1"/>
  <c r="R41" i="2"/>
  <c r="M35" i="13" s="1"/>
  <c r="L21" i="12" a="1"/>
  <c r="L21" i="12" s="1"/>
  <c r="L20" i="12" a="1"/>
  <c r="L20" i="12" s="1"/>
  <c r="L19" i="12" a="1"/>
  <c r="L19" i="12" s="1"/>
  <c r="L18" i="12" a="1"/>
  <c r="L18" i="12" s="1"/>
  <c r="L17" i="12" a="1"/>
  <c r="L17" i="12" s="1"/>
  <c r="L16" i="12" a="1"/>
  <c r="L16" i="12" s="1"/>
  <c r="L13" i="12" a="1"/>
  <c r="L13" i="12" s="1"/>
  <c r="P166" i="2"/>
  <c r="G33" i="13" s="1"/>
  <c r="O166" i="2"/>
  <c r="F33" i="13" s="1"/>
  <c r="M166" i="2"/>
  <c r="D33" i="13" s="1"/>
  <c r="L166" i="2"/>
  <c r="C33" i="13" s="1"/>
  <c r="P165" i="2"/>
  <c r="G30" i="13" s="1"/>
  <c r="O165" i="2"/>
  <c r="F30" i="13" s="1"/>
  <c r="M165" i="2"/>
  <c r="D30" i="13" s="1"/>
  <c r="L165" i="2"/>
  <c r="C30" i="13" s="1"/>
  <c r="P164" i="2"/>
  <c r="G32" i="13" s="1"/>
  <c r="O164" i="2"/>
  <c r="F32" i="13" s="1"/>
  <c r="M164" i="2"/>
  <c r="D32" i="13" s="1"/>
  <c r="L164" i="2"/>
  <c r="C32" i="13" s="1"/>
  <c r="P163" i="2"/>
  <c r="G31" i="13" s="1"/>
  <c r="O163" i="2"/>
  <c r="F31" i="13" s="1"/>
  <c r="M163" i="2"/>
  <c r="D31" i="13" s="1"/>
  <c r="L163" i="2"/>
  <c r="C31" i="13" s="1"/>
  <c r="P162" i="2"/>
  <c r="G132" i="13" s="1"/>
  <c r="O162" i="2"/>
  <c r="F132" i="13" s="1"/>
  <c r="M162" i="2"/>
  <c r="D132" i="13" s="1"/>
  <c r="L162" i="2"/>
  <c r="C132" i="13" s="1"/>
  <c r="P161" i="2"/>
  <c r="G111" i="13" s="1"/>
  <c r="O161" i="2"/>
  <c r="F111" i="13" s="1"/>
  <c r="M161" i="2"/>
  <c r="D111" i="13" s="1"/>
  <c r="L161" i="2"/>
  <c r="C111" i="13" s="1"/>
  <c r="P160" i="2"/>
  <c r="G14" i="13" s="1"/>
  <c r="O160" i="2"/>
  <c r="F14" i="13" s="1"/>
  <c r="M160" i="2"/>
  <c r="D14" i="13" s="1"/>
  <c r="L160" i="2"/>
  <c r="C14" i="13" s="1"/>
  <c r="P159" i="2"/>
  <c r="G8" i="13" s="1"/>
  <c r="O159" i="2"/>
  <c r="F8" i="13" s="1"/>
  <c r="M159" i="2"/>
  <c r="D8" i="13" s="1"/>
  <c r="L159" i="2"/>
  <c r="C8" i="13" s="1"/>
  <c r="P158" i="2"/>
  <c r="G20" i="13" s="1"/>
  <c r="O158" i="2"/>
  <c r="F20" i="13" s="1"/>
  <c r="M158" i="2"/>
  <c r="D20" i="13" s="1"/>
  <c r="L158" i="2"/>
  <c r="C20" i="13" s="1"/>
  <c r="P157" i="2"/>
  <c r="G2" i="13" s="1"/>
  <c r="O157" i="2"/>
  <c r="F2" i="13" s="1"/>
  <c r="M157" i="2"/>
  <c r="D2" i="13" s="1"/>
  <c r="L157" i="2"/>
  <c r="C2" i="13" s="1"/>
  <c r="P156" i="2"/>
  <c r="G63" i="13" s="1"/>
  <c r="O156" i="2"/>
  <c r="F63" i="13" s="1"/>
  <c r="M156" i="2"/>
  <c r="D63" i="13" s="1"/>
  <c r="L156" i="2"/>
  <c r="C63" i="13" s="1"/>
  <c r="P155" i="2"/>
  <c r="G143" i="13" s="1"/>
  <c r="O155" i="2"/>
  <c r="F143" i="13" s="1"/>
  <c r="M155" i="2"/>
  <c r="D143" i="13" s="1"/>
  <c r="L155" i="2"/>
  <c r="C143" i="13" s="1"/>
  <c r="P154" i="2"/>
  <c r="G157" i="13" s="1"/>
  <c r="O154" i="2"/>
  <c r="F157" i="13" s="1"/>
  <c r="M154" i="2"/>
  <c r="D157" i="13" s="1"/>
  <c r="L154" i="2"/>
  <c r="C157" i="13" s="1"/>
  <c r="P153" i="2"/>
  <c r="G160" i="13" s="1"/>
  <c r="O153" i="2"/>
  <c r="F160" i="13" s="1"/>
  <c r="M153" i="2"/>
  <c r="D160" i="13" s="1"/>
  <c r="L153" i="2"/>
  <c r="C160" i="13" s="1"/>
  <c r="P152" i="2"/>
  <c r="G62" i="13" s="1"/>
  <c r="O152" i="2"/>
  <c r="F62" i="13" s="1"/>
  <c r="M152" i="2"/>
  <c r="D62" i="13" s="1"/>
  <c r="L152" i="2"/>
  <c r="C62" i="13" s="1"/>
  <c r="P151" i="2"/>
  <c r="G142" i="13" s="1"/>
  <c r="O151" i="2"/>
  <c r="F142" i="13" s="1"/>
  <c r="M151" i="2"/>
  <c r="D142" i="13" s="1"/>
  <c r="L151" i="2"/>
  <c r="C142" i="13" s="1"/>
  <c r="P150" i="2"/>
  <c r="G129" i="13" s="1"/>
  <c r="O150" i="2"/>
  <c r="F129" i="13" s="1"/>
  <c r="M150" i="2"/>
  <c r="D129" i="13" s="1"/>
  <c r="L150" i="2"/>
  <c r="C129" i="13" s="1"/>
  <c r="P149" i="2"/>
  <c r="G49" i="13" s="1"/>
  <c r="O149" i="2"/>
  <c r="F49" i="13" s="1"/>
  <c r="M149" i="2"/>
  <c r="D49" i="13" s="1"/>
  <c r="L149" i="2"/>
  <c r="C49" i="13" s="1"/>
  <c r="P148" i="2"/>
  <c r="G77" i="13" s="1"/>
  <c r="O148" i="2"/>
  <c r="F77" i="13" s="1"/>
  <c r="M148" i="2"/>
  <c r="D77" i="13" s="1"/>
  <c r="L148" i="2"/>
  <c r="C77" i="13" s="1"/>
  <c r="P147" i="2"/>
  <c r="G123" i="13" s="1"/>
  <c r="O147" i="2"/>
  <c r="F123" i="13" s="1"/>
  <c r="M147" i="2"/>
  <c r="D123" i="13" s="1"/>
  <c r="L147" i="2"/>
  <c r="C123" i="13" s="1"/>
  <c r="P146" i="2"/>
  <c r="G91" i="13" s="1"/>
  <c r="O146" i="2"/>
  <c r="F91" i="13" s="1"/>
  <c r="M146" i="2"/>
  <c r="D91" i="13" s="1"/>
  <c r="L146" i="2"/>
  <c r="C91" i="13" s="1"/>
  <c r="P145" i="2"/>
  <c r="G48" i="13" s="1"/>
  <c r="O145" i="2"/>
  <c r="F48" i="13" s="1"/>
  <c r="M145" i="2"/>
  <c r="D48" i="13" s="1"/>
  <c r="L145" i="2"/>
  <c r="C48" i="13" s="1"/>
  <c r="P144" i="2"/>
  <c r="G76" i="13" s="1"/>
  <c r="O144" i="2"/>
  <c r="F76" i="13" s="1"/>
  <c r="M144" i="2"/>
  <c r="D76" i="13" s="1"/>
  <c r="L144" i="2"/>
  <c r="C76" i="13" s="1"/>
  <c r="P143" i="2"/>
  <c r="G61" i="13" s="1"/>
  <c r="O143" i="2"/>
  <c r="F61" i="13" s="1"/>
  <c r="M143" i="2"/>
  <c r="D61" i="13" s="1"/>
  <c r="L143" i="2"/>
  <c r="C61" i="13" s="1"/>
  <c r="P142" i="2"/>
  <c r="G90" i="13" s="1"/>
  <c r="O142" i="2"/>
  <c r="F90" i="13" s="1"/>
  <c r="M142" i="2"/>
  <c r="D90" i="13" s="1"/>
  <c r="L142" i="2"/>
  <c r="C90" i="13" s="1"/>
  <c r="P141" i="2"/>
  <c r="G47" i="13" s="1"/>
  <c r="O141" i="2"/>
  <c r="F47" i="13" s="1"/>
  <c r="M141" i="2"/>
  <c r="D47" i="13" s="1"/>
  <c r="L141" i="2"/>
  <c r="C47" i="13" s="1"/>
  <c r="P140" i="2"/>
  <c r="G75" i="13" s="1"/>
  <c r="O140" i="2"/>
  <c r="F75" i="13" s="1"/>
  <c r="M140" i="2"/>
  <c r="D75" i="13" s="1"/>
  <c r="L140" i="2"/>
  <c r="C75" i="13" s="1"/>
  <c r="P139" i="2"/>
  <c r="G135" i="13" s="1"/>
  <c r="O139" i="2"/>
  <c r="F135" i="13" s="1"/>
  <c r="M139" i="2"/>
  <c r="D135" i="13" s="1"/>
  <c r="L139" i="2"/>
  <c r="C135" i="13" s="1"/>
  <c r="P138" i="2"/>
  <c r="G116" i="13" s="1"/>
  <c r="O138" i="2"/>
  <c r="F116" i="13" s="1"/>
  <c r="M138" i="2"/>
  <c r="D116" i="13" s="1"/>
  <c r="L138" i="2"/>
  <c r="C116" i="13" s="1"/>
  <c r="P137" i="2"/>
  <c r="G7" i="13" s="1"/>
  <c r="O137" i="2"/>
  <c r="F7" i="13" s="1"/>
  <c r="M137" i="2"/>
  <c r="D7" i="13" s="1"/>
  <c r="L137" i="2"/>
  <c r="C7" i="13" s="1"/>
  <c r="P136" i="2"/>
  <c r="G19" i="13" s="1"/>
  <c r="O136" i="2"/>
  <c r="F19" i="13" s="1"/>
  <c r="M136" i="2"/>
  <c r="D19" i="13" s="1"/>
  <c r="L136" i="2"/>
  <c r="C19" i="13" s="1"/>
  <c r="P135" i="2"/>
  <c r="G13" i="13" s="1"/>
  <c r="O135" i="2"/>
  <c r="F13" i="13" s="1"/>
  <c r="M135" i="2"/>
  <c r="D13" i="13" s="1"/>
  <c r="L135" i="2"/>
  <c r="C13" i="13" s="1"/>
  <c r="P134" i="2"/>
  <c r="G25" i="13" s="1"/>
  <c r="O134" i="2"/>
  <c r="F25" i="13" s="1"/>
  <c r="M134" i="2"/>
  <c r="D25" i="13" s="1"/>
  <c r="L134" i="2"/>
  <c r="C25" i="13" s="1"/>
  <c r="P133" i="2"/>
  <c r="G46" i="13" s="1"/>
  <c r="O133" i="2"/>
  <c r="F46" i="13" s="1"/>
  <c r="M133" i="2"/>
  <c r="D46" i="13" s="1"/>
  <c r="L133" i="2"/>
  <c r="C46" i="13" s="1"/>
  <c r="P132" i="2"/>
  <c r="G149" i="13" s="1"/>
  <c r="O132" i="2"/>
  <c r="F149" i="13" s="1"/>
  <c r="M132" i="2"/>
  <c r="D149" i="13" s="1"/>
  <c r="L132" i="2"/>
  <c r="C149" i="13" s="1"/>
  <c r="P131" i="2"/>
  <c r="G155" i="13" s="1"/>
  <c r="O131" i="2"/>
  <c r="F155" i="13" s="1"/>
  <c r="M131" i="2"/>
  <c r="D155" i="13" s="1"/>
  <c r="L131" i="2"/>
  <c r="C155" i="13" s="1"/>
  <c r="P130" i="2"/>
  <c r="G165" i="13" s="1"/>
  <c r="O130" i="2"/>
  <c r="F165" i="13" s="1"/>
  <c r="M130" i="2"/>
  <c r="D165" i="13" s="1"/>
  <c r="L130" i="2"/>
  <c r="C165" i="13" s="1"/>
  <c r="P129" i="2"/>
  <c r="G45" i="13" s="1"/>
  <c r="O129" i="2"/>
  <c r="F45" i="13" s="1"/>
  <c r="M129" i="2"/>
  <c r="D45" i="13" s="1"/>
  <c r="L129" i="2"/>
  <c r="C45" i="13" s="1"/>
  <c r="P128" i="2"/>
  <c r="G148" i="13" s="1"/>
  <c r="O128" i="2"/>
  <c r="F148" i="13" s="1"/>
  <c r="M128" i="2"/>
  <c r="D148" i="13" s="1"/>
  <c r="L128" i="2"/>
  <c r="C148" i="13" s="1"/>
  <c r="P127" i="2"/>
  <c r="G122" i="13" s="1"/>
  <c r="O127" i="2"/>
  <c r="F122" i="13" s="1"/>
  <c r="M127" i="2"/>
  <c r="D122" i="13" s="1"/>
  <c r="L127" i="2"/>
  <c r="C122" i="13" s="1"/>
  <c r="P126" i="2"/>
  <c r="G89" i="13" s="1"/>
  <c r="O126" i="2"/>
  <c r="F89" i="13" s="1"/>
  <c r="M126" i="2"/>
  <c r="D89" i="13" s="1"/>
  <c r="L126" i="2"/>
  <c r="C89" i="13" s="1"/>
  <c r="P125" i="2"/>
  <c r="G44" i="13" s="1"/>
  <c r="O125" i="2"/>
  <c r="F44" i="13" s="1"/>
  <c r="M125" i="2"/>
  <c r="D44" i="13" s="1"/>
  <c r="L125" i="2"/>
  <c r="C44" i="13" s="1"/>
  <c r="P124" i="2"/>
  <c r="G126" i="13" s="1"/>
  <c r="O124" i="2"/>
  <c r="F126" i="13" s="1"/>
  <c r="M124" i="2"/>
  <c r="D126" i="13" s="1"/>
  <c r="L124" i="2"/>
  <c r="C126" i="13" s="1"/>
  <c r="P123" i="2"/>
  <c r="G60" i="13" s="1"/>
  <c r="O123" i="2"/>
  <c r="F60" i="13" s="1"/>
  <c r="M123" i="2"/>
  <c r="D60" i="13" s="1"/>
  <c r="L123" i="2"/>
  <c r="C60" i="13" s="1"/>
  <c r="P122" i="2"/>
  <c r="G88" i="13" s="1"/>
  <c r="O122" i="2"/>
  <c r="F88" i="13" s="1"/>
  <c r="M122" i="2"/>
  <c r="D88" i="13" s="1"/>
  <c r="L122" i="2"/>
  <c r="C88" i="13" s="1"/>
  <c r="P121" i="2"/>
  <c r="G43" i="13" s="1"/>
  <c r="O121" i="2"/>
  <c r="F43" i="13" s="1"/>
  <c r="M121" i="2"/>
  <c r="D43" i="13" s="1"/>
  <c r="L121" i="2"/>
  <c r="C43" i="13" s="1"/>
  <c r="P120" i="2"/>
  <c r="G74" i="13" s="1"/>
  <c r="O120" i="2"/>
  <c r="F74" i="13" s="1"/>
  <c r="M120" i="2"/>
  <c r="D74" i="13" s="1"/>
  <c r="L120" i="2"/>
  <c r="C74" i="13" s="1"/>
  <c r="P119" i="2"/>
  <c r="G59" i="13" s="1"/>
  <c r="O119" i="2"/>
  <c r="F59" i="13" s="1"/>
  <c r="M119" i="2"/>
  <c r="D59" i="13" s="1"/>
  <c r="L119" i="2"/>
  <c r="C59" i="13" s="1"/>
  <c r="P118" i="2"/>
  <c r="G87" i="13" s="1"/>
  <c r="O118" i="2"/>
  <c r="F87" i="13" s="1"/>
  <c r="M118" i="2"/>
  <c r="D87" i="13" s="1"/>
  <c r="L118" i="2"/>
  <c r="C87" i="13" s="1"/>
  <c r="P117" i="2"/>
  <c r="G42" i="13" s="1"/>
  <c r="O117" i="2"/>
  <c r="F42" i="13" s="1"/>
  <c r="M117" i="2"/>
  <c r="D42" i="13" s="1"/>
  <c r="L117" i="2"/>
  <c r="C42" i="13" s="1"/>
  <c r="P116" i="2"/>
  <c r="G136" i="13" s="1"/>
  <c r="O116" i="2"/>
  <c r="F136" i="13" s="1"/>
  <c r="M116" i="2"/>
  <c r="D136" i="13" s="1"/>
  <c r="L116" i="2"/>
  <c r="C136" i="13" s="1"/>
  <c r="P115" i="2"/>
  <c r="G113" i="13" s="1"/>
  <c r="O115" i="2"/>
  <c r="F113" i="13" s="1"/>
  <c r="M115" i="2"/>
  <c r="D113" i="13" s="1"/>
  <c r="L115" i="2"/>
  <c r="C113" i="13" s="1"/>
  <c r="P114" i="2"/>
  <c r="G24" i="13" s="1"/>
  <c r="O114" i="2"/>
  <c r="F24" i="13" s="1"/>
  <c r="M114" i="2"/>
  <c r="D24" i="13" s="1"/>
  <c r="L114" i="2"/>
  <c r="C24" i="13" s="1"/>
  <c r="P113" i="2"/>
  <c r="G6" i="13" s="1"/>
  <c r="O113" i="2"/>
  <c r="F6" i="13" s="1"/>
  <c r="M113" i="2"/>
  <c r="D6" i="13" s="1"/>
  <c r="L113" i="2"/>
  <c r="C6" i="13" s="1"/>
  <c r="P112" i="2"/>
  <c r="G18" i="13" s="1"/>
  <c r="O112" i="2"/>
  <c r="F18" i="13" s="1"/>
  <c r="M112" i="2"/>
  <c r="D18" i="13" s="1"/>
  <c r="L112" i="2"/>
  <c r="C18" i="13" s="1"/>
  <c r="P111" i="2"/>
  <c r="G12" i="13" s="1"/>
  <c r="O111" i="2"/>
  <c r="F12" i="13" s="1"/>
  <c r="M111" i="2"/>
  <c r="D12" i="13" s="1"/>
  <c r="L111" i="2"/>
  <c r="C12" i="13" s="1"/>
  <c r="P110" i="2"/>
  <c r="G86" i="13" s="1"/>
  <c r="O110" i="2"/>
  <c r="F86" i="13" s="1"/>
  <c r="M110" i="2"/>
  <c r="D86" i="13" s="1"/>
  <c r="L110" i="2"/>
  <c r="C86" i="13" s="1"/>
  <c r="P109" i="2"/>
  <c r="G141" i="13" s="1"/>
  <c r="O109" i="2"/>
  <c r="F141" i="13" s="1"/>
  <c r="M109" i="2"/>
  <c r="D141" i="13" s="1"/>
  <c r="L109" i="2"/>
  <c r="C141" i="13" s="1"/>
  <c r="P108" i="2"/>
  <c r="G156" i="13" s="1"/>
  <c r="O108" i="2"/>
  <c r="F156" i="13" s="1"/>
  <c r="M108" i="2"/>
  <c r="D156" i="13" s="1"/>
  <c r="L108" i="2"/>
  <c r="C156" i="13" s="1"/>
  <c r="P107" i="2"/>
  <c r="G162" i="13" s="1"/>
  <c r="O107" i="2"/>
  <c r="F162" i="13" s="1"/>
  <c r="M107" i="2"/>
  <c r="D162" i="13" s="1"/>
  <c r="L107" i="2"/>
  <c r="C162" i="13" s="1"/>
  <c r="P106" i="2"/>
  <c r="G85" i="13" s="1"/>
  <c r="O106" i="2"/>
  <c r="F85" i="13" s="1"/>
  <c r="M106" i="2"/>
  <c r="D85" i="13" s="1"/>
  <c r="L106" i="2"/>
  <c r="C85" i="13" s="1"/>
  <c r="P105" i="2"/>
  <c r="G140" i="13" s="1"/>
  <c r="O105" i="2"/>
  <c r="F140" i="13" s="1"/>
  <c r="M105" i="2"/>
  <c r="D140" i="13" s="1"/>
  <c r="L105" i="2"/>
  <c r="C140" i="13" s="1"/>
  <c r="P104" i="2"/>
  <c r="G125" i="13" s="1"/>
  <c r="O104" i="2"/>
  <c r="F125" i="13" s="1"/>
  <c r="M104" i="2"/>
  <c r="D125" i="13" s="1"/>
  <c r="L104" i="2"/>
  <c r="C125" i="13" s="1"/>
  <c r="P103" i="2"/>
  <c r="G58" i="13" s="1"/>
  <c r="O103" i="2"/>
  <c r="F58" i="13" s="1"/>
  <c r="M103" i="2"/>
  <c r="D58" i="13" s="1"/>
  <c r="L103" i="2"/>
  <c r="C58" i="13" s="1"/>
  <c r="P102" i="2"/>
  <c r="G84" i="13" s="1"/>
  <c r="O102" i="2"/>
  <c r="F84" i="13" s="1"/>
  <c r="M102" i="2"/>
  <c r="D84" i="13" s="1"/>
  <c r="L102" i="2"/>
  <c r="C84" i="13" s="1"/>
  <c r="P101" i="2"/>
  <c r="G119" i="13" s="1"/>
  <c r="O101" i="2"/>
  <c r="F119" i="13" s="1"/>
  <c r="M101" i="2"/>
  <c r="D119" i="13" s="1"/>
  <c r="L101" i="2"/>
  <c r="C119" i="13" s="1"/>
  <c r="P100" i="2"/>
  <c r="G73" i="13" s="1"/>
  <c r="O100" i="2"/>
  <c r="F73" i="13" s="1"/>
  <c r="M100" i="2"/>
  <c r="D73" i="13" s="1"/>
  <c r="L100" i="2"/>
  <c r="C73" i="13" s="1"/>
  <c r="P99" i="2"/>
  <c r="G57" i="13" s="1"/>
  <c r="O99" i="2"/>
  <c r="F57" i="13" s="1"/>
  <c r="M99" i="2"/>
  <c r="D57" i="13" s="1"/>
  <c r="L99" i="2"/>
  <c r="C57" i="13" s="1"/>
  <c r="P98" i="2"/>
  <c r="G83" i="13" s="1"/>
  <c r="O98" i="2"/>
  <c r="F83" i="13" s="1"/>
  <c r="M98" i="2"/>
  <c r="D83" i="13" s="1"/>
  <c r="L98" i="2"/>
  <c r="C83" i="13" s="1"/>
  <c r="P97" i="2"/>
  <c r="G41" i="13" s="1"/>
  <c r="O97" i="2"/>
  <c r="F41" i="13" s="1"/>
  <c r="M97" i="2"/>
  <c r="D41" i="13" s="1"/>
  <c r="L97" i="2"/>
  <c r="C41" i="13" s="1"/>
  <c r="P96" i="2"/>
  <c r="G72" i="13" s="1"/>
  <c r="O96" i="2"/>
  <c r="F72" i="13" s="1"/>
  <c r="M96" i="2"/>
  <c r="D72" i="13" s="1"/>
  <c r="L96" i="2"/>
  <c r="C72" i="13" s="1"/>
  <c r="P95" i="2"/>
  <c r="G56" i="13" s="1"/>
  <c r="O95" i="2"/>
  <c r="F56" i="13" s="1"/>
  <c r="M95" i="2"/>
  <c r="D56" i="13" s="1"/>
  <c r="L95" i="2"/>
  <c r="C56" i="13" s="1"/>
  <c r="P94" i="2"/>
  <c r="G82" i="13" s="1"/>
  <c r="O94" i="2"/>
  <c r="F82" i="13" s="1"/>
  <c r="M94" i="2"/>
  <c r="D82" i="13" s="1"/>
  <c r="L94" i="2"/>
  <c r="C82" i="13" s="1"/>
  <c r="P93" i="2"/>
  <c r="G133" i="13" s="1"/>
  <c r="O93" i="2"/>
  <c r="F133" i="13" s="1"/>
  <c r="M93" i="2"/>
  <c r="D133" i="13" s="1"/>
  <c r="L93" i="2"/>
  <c r="C133" i="13" s="1"/>
  <c r="P92" i="2"/>
  <c r="G114" i="13" s="1"/>
  <c r="O92" i="2"/>
  <c r="F114" i="13" s="1"/>
  <c r="M92" i="2"/>
  <c r="D114" i="13" s="1"/>
  <c r="L92" i="2"/>
  <c r="C114" i="13" s="1"/>
  <c r="P91" i="2"/>
  <c r="G11" i="13" s="1"/>
  <c r="O91" i="2"/>
  <c r="F11" i="13" s="1"/>
  <c r="M91" i="2"/>
  <c r="D11" i="13" s="1"/>
  <c r="L91" i="2"/>
  <c r="C11" i="13" s="1"/>
  <c r="P90" i="2"/>
  <c r="G23" i="13" s="1"/>
  <c r="O90" i="2"/>
  <c r="F23" i="13" s="1"/>
  <c r="M90" i="2"/>
  <c r="D23" i="13" s="1"/>
  <c r="L90" i="2"/>
  <c r="C23" i="13" s="1"/>
  <c r="P89" i="2"/>
  <c r="G5" i="13" s="1"/>
  <c r="O89" i="2"/>
  <c r="F5" i="13" s="1"/>
  <c r="M89" i="2"/>
  <c r="D5" i="13" s="1"/>
  <c r="L89" i="2"/>
  <c r="C5" i="13" s="1"/>
  <c r="P88" i="2"/>
  <c r="G17" i="13" s="1"/>
  <c r="O88" i="2"/>
  <c r="F17" i="13" s="1"/>
  <c r="M88" i="2"/>
  <c r="D17" i="13" s="1"/>
  <c r="L88" i="2"/>
  <c r="C17" i="13" s="1"/>
  <c r="P87" i="2"/>
  <c r="G55" i="13" s="1"/>
  <c r="O87" i="2"/>
  <c r="F55" i="13" s="1"/>
  <c r="M87" i="2"/>
  <c r="D55" i="13" s="1"/>
  <c r="L87" i="2"/>
  <c r="C55" i="13" s="1"/>
  <c r="R71" i="2"/>
  <c r="M51" i="13" s="1"/>
  <c r="P71" i="2"/>
  <c r="G51" i="13" s="1"/>
  <c r="O71" i="2"/>
  <c r="F51" i="13" s="1"/>
  <c r="M71" i="2"/>
  <c r="D51" i="13" s="1"/>
  <c r="L71" i="2"/>
  <c r="C51" i="13" s="1"/>
  <c r="R70" i="2"/>
  <c r="M137" i="13" s="1"/>
  <c r="P70" i="2"/>
  <c r="G137" i="13" s="1"/>
  <c r="O70" i="2"/>
  <c r="F137" i="13" s="1"/>
  <c r="M70" i="2"/>
  <c r="D137" i="13" s="1"/>
  <c r="L70" i="2"/>
  <c r="C137" i="13" s="1"/>
  <c r="R69" i="2"/>
  <c r="M112" i="13" s="1"/>
  <c r="P69" i="2"/>
  <c r="G112" i="13" s="1"/>
  <c r="O69" i="2"/>
  <c r="F112" i="13" s="1"/>
  <c r="M69" i="2"/>
  <c r="D112" i="13" s="1"/>
  <c r="L69" i="2"/>
  <c r="C112" i="13" s="1"/>
  <c r="R68" i="2"/>
  <c r="M16" i="13" s="1"/>
  <c r="P68" i="2"/>
  <c r="G16" i="13" s="1"/>
  <c r="O68" i="2"/>
  <c r="F16" i="13" s="1"/>
  <c r="M68" i="2"/>
  <c r="D16" i="13" s="1"/>
  <c r="L68" i="2"/>
  <c r="C16" i="13" s="1"/>
  <c r="R67" i="2"/>
  <c r="M10" i="13" s="1"/>
  <c r="P67" i="2"/>
  <c r="G10" i="13" s="1"/>
  <c r="O67" i="2"/>
  <c r="F10" i="13" s="1"/>
  <c r="M67" i="2"/>
  <c r="D10" i="13" s="1"/>
  <c r="L67" i="2"/>
  <c r="C10" i="13" s="1"/>
  <c r="R66" i="2"/>
  <c r="M22" i="13" s="1"/>
  <c r="P66" i="2"/>
  <c r="G22" i="13" s="1"/>
  <c r="O66" i="2"/>
  <c r="F22" i="13" s="1"/>
  <c r="M66" i="2"/>
  <c r="D22" i="13" s="1"/>
  <c r="L66" i="2"/>
  <c r="C22" i="13" s="1"/>
  <c r="R65" i="2"/>
  <c r="M4" i="13" s="1"/>
  <c r="P65" i="2"/>
  <c r="G4" i="13" s="1"/>
  <c r="O65" i="2"/>
  <c r="F4" i="13" s="1"/>
  <c r="M65" i="2"/>
  <c r="D4" i="13" s="1"/>
  <c r="L65" i="2"/>
  <c r="C4" i="13" s="1"/>
  <c r="R64" i="2"/>
  <c r="M68" i="13" s="1"/>
  <c r="P64" i="2"/>
  <c r="G68" i="13" s="1"/>
  <c r="O64" i="2"/>
  <c r="F68" i="13" s="1"/>
  <c r="M64" i="2"/>
  <c r="D68" i="13" s="1"/>
  <c r="L64" i="2"/>
  <c r="C68" i="13" s="1"/>
  <c r="R63" i="2"/>
  <c r="M145" i="13" s="1"/>
  <c r="P63" i="2"/>
  <c r="G145" i="13" s="1"/>
  <c r="O63" i="2"/>
  <c r="F145" i="13" s="1"/>
  <c r="M63" i="2"/>
  <c r="D145" i="13" s="1"/>
  <c r="L63" i="2"/>
  <c r="C145" i="13" s="1"/>
  <c r="R62" i="2"/>
  <c r="M158" i="13" s="1"/>
  <c r="P62" i="2"/>
  <c r="G158" i="13" s="1"/>
  <c r="O62" i="2"/>
  <c r="F158" i="13" s="1"/>
  <c r="M62" i="2"/>
  <c r="D158" i="13" s="1"/>
  <c r="L62" i="2"/>
  <c r="C158" i="13" s="1"/>
  <c r="R61" i="2"/>
  <c r="M161" i="13" s="1"/>
  <c r="P61" i="2"/>
  <c r="G161" i="13" s="1"/>
  <c r="O61" i="2"/>
  <c r="F161" i="13" s="1"/>
  <c r="M61" i="2"/>
  <c r="D161" i="13" s="1"/>
  <c r="L61" i="2"/>
  <c r="C161" i="13" s="1"/>
  <c r="R60" i="2"/>
  <c r="M67" i="13" s="1"/>
  <c r="P60" i="2"/>
  <c r="G67" i="13" s="1"/>
  <c r="O60" i="2"/>
  <c r="F67" i="13" s="1"/>
  <c r="M60" i="2"/>
  <c r="D67" i="13" s="1"/>
  <c r="L60" i="2"/>
  <c r="C67" i="13" s="1"/>
  <c r="R59" i="2"/>
  <c r="M144" i="13" s="1"/>
  <c r="P59" i="2"/>
  <c r="G144" i="13" s="1"/>
  <c r="O59" i="2"/>
  <c r="F144" i="13" s="1"/>
  <c r="M59" i="2"/>
  <c r="D144" i="13" s="1"/>
  <c r="L59" i="2"/>
  <c r="C144" i="13" s="1"/>
  <c r="R58" i="2"/>
  <c r="M127" i="13" s="1"/>
  <c r="P58" i="2"/>
  <c r="G127" i="13" s="1"/>
  <c r="O58" i="2"/>
  <c r="F127" i="13" s="1"/>
  <c r="M58" i="2"/>
  <c r="D127" i="13" s="1"/>
  <c r="L58" i="2"/>
  <c r="C127" i="13" s="1"/>
  <c r="R57" i="2"/>
  <c r="M38" i="13" s="1"/>
  <c r="P57" i="2"/>
  <c r="G38" i="13" s="1"/>
  <c r="O57" i="2"/>
  <c r="F38" i="13" s="1"/>
  <c r="M57" i="2"/>
  <c r="D38" i="13" s="1"/>
  <c r="L57" i="2"/>
  <c r="C38" i="13" s="1"/>
  <c r="R56" i="2"/>
  <c r="M66" i="13" s="1"/>
  <c r="P56" i="2"/>
  <c r="G66" i="13" s="1"/>
  <c r="O56" i="2"/>
  <c r="F66" i="13" s="1"/>
  <c r="M56" i="2"/>
  <c r="D66" i="13" s="1"/>
  <c r="L56" i="2"/>
  <c r="C66" i="13" s="1"/>
  <c r="R55" i="2"/>
  <c r="M121" i="13" s="1"/>
  <c r="P55" i="2"/>
  <c r="G121" i="13" s="1"/>
  <c r="O55" i="2"/>
  <c r="F121" i="13" s="1"/>
  <c r="M55" i="2"/>
  <c r="D121" i="13" s="1"/>
  <c r="L55" i="2"/>
  <c r="C121" i="13" s="1"/>
  <c r="R54" i="2"/>
  <c r="M80" i="13" s="1"/>
  <c r="P54" i="2"/>
  <c r="G80" i="13" s="1"/>
  <c r="O54" i="2"/>
  <c r="F80" i="13" s="1"/>
  <c r="M54" i="2"/>
  <c r="D80" i="13" s="1"/>
  <c r="L54" i="2"/>
  <c r="C80" i="13" s="1"/>
  <c r="R53" i="2"/>
  <c r="M37" i="13" s="1"/>
  <c r="P53" i="2"/>
  <c r="G37" i="13" s="1"/>
  <c r="O53" i="2"/>
  <c r="F37" i="13" s="1"/>
  <c r="M53" i="2"/>
  <c r="D37" i="13" s="1"/>
  <c r="L53" i="2"/>
  <c r="C37" i="13" s="1"/>
  <c r="R52" i="2"/>
  <c r="M65" i="13" s="1"/>
  <c r="P52" i="2"/>
  <c r="G65" i="13" s="1"/>
  <c r="O52" i="2"/>
  <c r="F65" i="13" s="1"/>
  <c r="M52" i="2"/>
  <c r="D65" i="13" s="1"/>
  <c r="L52" i="2"/>
  <c r="C65" i="13" s="1"/>
  <c r="R51" i="2"/>
  <c r="M50" i="13" s="1"/>
  <c r="P51" i="2"/>
  <c r="G50" i="13" s="1"/>
  <c r="O51" i="2"/>
  <c r="F50" i="13" s="1"/>
  <c r="M51" i="2"/>
  <c r="D50" i="13" s="1"/>
  <c r="L51" i="2"/>
  <c r="C50" i="13" s="1"/>
  <c r="R50" i="2"/>
  <c r="M79" i="13" s="1"/>
  <c r="P50" i="2"/>
  <c r="G79" i="13" s="1"/>
  <c r="O50" i="2"/>
  <c r="F79" i="13" s="1"/>
  <c r="M50" i="2"/>
  <c r="D79" i="13" s="1"/>
  <c r="L50" i="2"/>
  <c r="C79" i="13" s="1"/>
  <c r="R49" i="2"/>
  <c r="M36" i="13" s="1"/>
  <c r="P49" i="2"/>
  <c r="G36" i="13" s="1"/>
  <c r="O49" i="2"/>
  <c r="F36" i="13" s="1"/>
  <c r="M49" i="2"/>
  <c r="D36" i="13" s="1"/>
  <c r="L49" i="2"/>
  <c r="C36" i="13" s="1"/>
  <c r="R48" i="2"/>
  <c r="M64" i="13" s="1"/>
  <c r="P48" i="2"/>
  <c r="G64" i="13" s="1"/>
  <c r="O48" i="2"/>
  <c r="F64" i="13" s="1"/>
  <c r="M48" i="2"/>
  <c r="D64" i="13" s="1"/>
  <c r="L48" i="2"/>
  <c r="C64" i="13" s="1"/>
  <c r="R47" i="2"/>
  <c r="M134" i="13" s="1"/>
  <c r="P47" i="2"/>
  <c r="G134" i="13" s="1"/>
  <c r="O47" i="2"/>
  <c r="F134" i="13" s="1"/>
  <c r="M47" i="2"/>
  <c r="D134" i="13" s="1"/>
  <c r="L47" i="2"/>
  <c r="C134" i="13" s="1"/>
  <c r="R46" i="2"/>
  <c r="M115" i="13" s="1"/>
  <c r="P46" i="2"/>
  <c r="G115" i="13" s="1"/>
  <c r="O46" i="2"/>
  <c r="F115" i="13" s="1"/>
  <c r="M46" i="2"/>
  <c r="D115" i="13" s="1"/>
  <c r="L46" i="2"/>
  <c r="C115" i="13" s="1"/>
  <c r="R45" i="2"/>
  <c r="M3" i="13" s="1"/>
  <c r="P45" i="2"/>
  <c r="G3" i="13" s="1"/>
  <c r="O45" i="2"/>
  <c r="F3" i="13" s="1"/>
  <c r="M45" i="2"/>
  <c r="D3" i="13" s="1"/>
  <c r="L45" i="2"/>
  <c r="C3" i="13" s="1"/>
  <c r="R44" i="2"/>
  <c r="M15" i="13" s="1"/>
  <c r="P44" i="2"/>
  <c r="G15" i="13" s="1"/>
  <c r="O44" i="2"/>
  <c r="F15" i="13" s="1"/>
  <c r="M44" i="2"/>
  <c r="D15" i="13" s="1"/>
  <c r="L44" i="2"/>
  <c r="C15" i="13" s="1"/>
  <c r="R43" i="2"/>
  <c r="M9" i="13" s="1"/>
  <c r="P43" i="2"/>
  <c r="G9" i="13" s="1"/>
  <c r="O43" i="2"/>
  <c r="F9" i="13" s="1"/>
  <c r="M43" i="2"/>
  <c r="D9" i="13" s="1"/>
  <c r="L43" i="2"/>
  <c r="C9" i="13" s="1"/>
  <c r="P42" i="2"/>
  <c r="G21" i="13" s="1"/>
  <c r="O42" i="2"/>
  <c r="F21" i="13" s="1"/>
  <c r="M42" i="2"/>
  <c r="D21" i="13" s="1"/>
  <c r="L42" i="2"/>
  <c r="C21" i="13" s="1"/>
  <c r="P41" i="2"/>
  <c r="G35" i="13" s="1"/>
  <c r="O41" i="2"/>
  <c r="F35" i="13" s="1"/>
  <c r="M41" i="2"/>
  <c r="D35" i="13" s="1"/>
  <c r="L41" i="2"/>
  <c r="C35" i="13" s="1"/>
  <c r="K71" i="2"/>
  <c r="B51" i="13" s="1"/>
  <c r="K70" i="2"/>
  <c r="B137" i="13" s="1"/>
  <c r="K69" i="2"/>
  <c r="B112" i="13" s="1"/>
  <c r="K68" i="2"/>
  <c r="B16" i="13" s="1"/>
  <c r="K67" i="2"/>
  <c r="B10" i="13" s="1"/>
  <c r="K66" i="2"/>
  <c r="B22" i="13" s="1"/>
  <c r="K65" i="2"/>
  <c r="B4" i="13" s="1"/>
  <c r="K64" i="2"/>
  <c r="B68" i="13" s="1"/>
  <c r="K63" i="2"/>
  <c r="B145" i="13" s="1"/>
  <c r="K62" i="2"/>
  <c r="B158" i="13" s="1"/>
  <c r="K61" i="2"/>
  <c r="B161" i="13" s="1"/>
  <c r="K60" i="2"/>
  <c r="B67" i="13" s="1"/>
  <c r="K59" i="2"/>
  <c r="B144" i="13" s="1"/>
  <c r="K58" i="2"/>
  <c r="B127" i="13" s="1"/>
  <c r="K57" i="2"/>
  <c r="B38" i="13" s="1"/>
  <c r="K56" i="2"/>
  <c r="B66" i="13" s="1"/>
  <c r="K55" i="2"/>
  <c r="B121" i="13" s="1"/>
  <c r="K54" i="2"/>
  <c r="B80" i="13" s="1"/>
  <c r="K53" i="2"/>
  <c r="B37" i="13" s="1"/>
  <c r="K52" i="2"/>
  <c r="B65" i="13" s="1"/>
  <c r="K51" i="2"/>
  <c r="B50" i="13" s="1"/>
  <c r="K50" i="2"/>
  <c r="B79" i="13" s="1"/>
  <c r="K49" i="2"/>
  <c r="B36" i="13" s="1"/>
  <c r="K48" i="2"/>
  <c r="B64" i="13" s="1"/>
  <c r="K47" i="2"/>
  <c r="B134" i="13" s="1"/>
  <c r="K46" i="2"/>
  <c r="B115" i="13" s="1"/>
  <c r="K45" i="2"/>
  <c r="B3" i="13" s="1"/>
  <c r="K44" i="2"/>
  <c r="B15" i="13" s="1"/>
  <c r="K43" i="2"/>
  <c r="B9" i="13" s="1"/>
  <c r="K42" i="2"/>
  <c r="B21" i="13" s="1"/>
  <c r="K41" i="2"/>
  <c r="B35" i="13" s="1"/>
  <c r="R25" i="2"/>
  <c r="M92" i="13" s="1"/>
  <c r="P25" i="2"/>
  <c r="G92" i="13" s="1"/>
  <c r="L25" i="2"/>
  <c r="C92" i="13" s="1"/>
  <c r="K25" i="2"/>
  <c r="B92" i="13" s="1"/>
  <c r="R24" i="2"/>
  <c r="M138" i="13" s="1"/>
  <c r="P24" i="2"/>
  <c r="G138" i="13" s="1"/>
  <c r="O24" i="2"/>
  <c r="F138" i="13" s="1"/>
  <c r="M24" i="2"/>
  <c r="D138" i="13" s="1"/>
  <c r="L24" i="2"/>
  <c r="C138" i="13" s="1"/>
  <c r="K24" i="2"/>
  <c r="B138" i="13" s="1"/>
  <c r="R23" i="2"/>
  <c r="M117" i="13" s="1"/>
  <c r="P23" i="2"/>
  <c r="G117" i="13" s="1"/>
  <c r="O23" i="2"/>
  <c r="F117" i="13" s="1"/>
  <c r="M23" i="2"/>
  <c r="D117" i="13" s="1"/>
  <c r="L23" i="2"/>
  <c r="C117" i="13" s="1"/>
  <c r="K23" i="2"/>
  <c r="B117" i="13" s="1"/>
  <c r="R22" i="2"/>
  <c r="M28" i="13" s="1"/>
  <c r="P22" i="2"/>
  <c r="G28" i="13" s="1"/>
  <c r="O22" i="2"/>
  <c r="F28" i="13" s="1"/>
  <c r="M22" i="2"/>
  <c r="D28" i="13" s="1"/>
  <c r="L22" i="2"/>
  <c r="C28" i="13" s="1"/>
  <c r="K22" i="2"/>
  <c r="B28" i="13" s="1"/>
  <c r="R21" i="2"/>
  <c r="M26" i="13" s="1"/>
  <c r="P21" i="2"/>
  <c r="G26" i="13" s="1"/>
  <c r="O21" i="2"/>
  <c r="F26" i="13" s="1"/>
  <c r="M21" i="2"/>
  <c r="D26" i="13" s="1"/>
  <c r="L21" i="2"/>
  <c r="C26" i="13" s="1"/>
  <c r="K21" i="2"/>
  <c r="B26" i="13" s="1"/>
  <c r="R20" i="2"/>
  <c r="M27" i="13" s="1"/>
  <c r="P20" i="2"/>
  <c r="G27" i="13" s="1"/>
  <c r="O20" i="2"/>
  <c r="F27" i="13" s="1"/>
  <c r="M20" i="2"/>
  <c r="D27" i="13" s="1"/>
  <c r="L20" i="2"/>
  <c r="C27" i="13" s="1"/>
  <c r="K20" i="2"/>
  <c r="B27" i="13" s="1"/>
  <c r="R19" i="2"/>
  <c r="M29" i="13" s="1"/>
  <c r="P19" i="2"/>
  <c r="G29" i="13" s="1"/>
  <c r="O19" i="2"/>
  <c r="F29" i="13" s="1"/>
  <c r="M19" i="2"/>
  <c r="D29" i="13" s="1"/>
  <c r="L19" i="2"/>
  <c r="C29" i="13" s="1"/>
  <c r="K19" i="2"/>
  <c r="B29" i="13" s="1"/>
  <c r="R18" i="2"/>
  <c r="M109" i="13" s="1"/>
  <c r="P18" i="2"/>
  <c r="G109" i="13" s="1"/>
  <c r="O18" i="2"/>
  <c r="F109" i="13" s="1"/>
  <c r="M18" i="2"/>
  <c r="D109" i="13" s="1"/>
  <c r="L18" i="2"/>
  <c r="C109" i="13" s="1"/>
  <c r="K18" i="2"/>
  <c r="B109" i="13" s="1"/>
  <c r="R17" i="2"/>
  <c r="M139" i="13" s="1"/>
  <c r="P17" i="2"/>
  <c r="G139" i="13" s="1"/>
  <c r="O17" i="2"/>
  <c r="F139" i="13" s="1"/>
  <c r="M17" i="2"/>
  <c r="D139" i="13" s="1"/>
  <c r="L17" i="2"/>
  <c r="C139" i="13" s="1"/>
  <c r="K17" i="2"/>
  <c r="B139" i="13" s="1"/>
  <c r="R16" i="2"/>
  <c r="M159" i="13" s="1"/>
  <c r="P16" i="2"/>
  <c r="G159" i="13" s="1"/>
  <c r="O16" i="2"/>
  <c r="F159" i="13" s="1"/>
  <c r="M16" i="2"/>
  <c r="D159" i="13" s="1"/>
  <c r="L16" i="2"/>
  <c r="C159" i="13" s="1"/>
  <c r="K16" i="2"/>
  <c r="B159" i="13" s="1"/>
  <c r="R15" i="2"/>
  <c r="M166" i="13" s="1"/>
  <c r="P15" i="2"/>
  <c r="G166" i="13" s="1"/>
  <c r="O15" i="2"/>
  <c r="F166" i="13" s="1"/>
  <c r="M15" i="2"/>
  <c r="D166" i="13" s="1"/>
  <c r="L15" i="2"/>
  <c r="C166" i="13" s="1"/>
  <c r="K15" i="2"/>
  <c r="B166" i="13" s="1"/>
  <c r="R14" i="2"/>
  <c r="M108" i="13" s="1"/>
  <c r="P14" i="2"/>
  <c r="G108" i="13" s="1"/>
  <c r="O14" i="2"/>
  <c r="F108" i="13" s="1"/>
  <c r="M14" i="2"/>
  <c r="D108" i="13" s="1"/>
  <c r="L14" i="2"/>
  <c r="C108" i="13" s="1"/>
  <c r="K14" i="2"/>
  <c r="B108" i="13" s="1"/>
  <c r="R13" i="2"/>
  <c r="M152" i="13" s="1"/>
  <c r="P13" i="2"/>
  <c r="G152" i="13" s="1"/>
  <c r="O13" i="2"/>
  <c r="F152" i="13" s="1"/>
  <c r="M13" i="2"/>
  <c r="D152" i="13" s="1"/>
  <c r="L13" i="2"/>
  <c r="C152" i="13" s="1"/>
  <c r="K13" i="2"/>
  <c r="B152" i="13" s="1"/>
  <c r="R12" i="2"/>
  <c r="M124" i="13" s="1"/>
  <c r="P12" i="2"/>
  <c r="G124" i="13" s="1"/>
  <c r="O12" i="2"/>
  <c r="F124" i="13" s="1"/>
  <c r="M12" i="2"/>
  <c r="D124" i="13" s="1"/>
  <c r="L12" i="2"/>
  <c r="C124" i="13" s="1"/>
  <c r="K12" i="2"/>
  <c r="B124" i="13" s="1"/>
  <c r="R11" i="2"/>
  <c r="M110" i="13" s="1"/>
  <c r="P11" i="2"/>
  <c r="G110" i="13" s="1"/>
  <c r="O11" i="2"/>
  <c r="F110" i="13" s="1"/>
  <c r="M11" i="2"/>
  <c r="D110" i="13" s="1"/>
  <c r="L11" i="2"/>
  <c r="C110" i="13" s="1"/>
  <c r="K11" i="2"/>
  <c r="B110" i="13" s="1"/>
  <c r="R10" i="2"/>
  <c r="M78" i="13" s="1"/>
  <c r="P10" i="2"/>
  <c r="G78" i="13" s="1"/>
  <c r="O10" i="2"/>
  <c r="F78" i="13" s="1"/>
  <c r="M10" i="2"/>
  <c r="D78" i="13" s="1"/>
  <c r="L10" i="2"/>
  <c r="C78" i="13" s="1"/>
  <c r="K10" i="2"/>
  <c r="B78" i="13" s="1"/>
  <c r="R9" i="2"/>
  <c r="M131" i="13" s="1"/>
  <c r="P9" i="2"/>
  <c r="G131" i="13" s="1"/>
  <c r="O9" i="2"/>
  <c r="F131" i="13" s="1"/>
  <c r="M9" i="2"/>
  <c r="D131" i="13" s="1"/>
  <c r="L9" i="2"/>
  <c r="C131" i="13" s="1"/>
  <c r="K9" i="2"/>
  <c r="B131" i="13" s="1"/>
  <c r="R8" i="2"/>
  <c r="M106" i="13" s="1"/>
  <c r="P8" i="2"/>
  <c r="G106" i="13" s="1"/>
  <c r="O8" i="2"/>
  <c r="F106" i="13" s="1"/>
  <c r="M8" i="2"/>
  <c r="D106" i="13" s="1"/>
  <c r="L8" i="2"/>
  <c r="C106" i="13" s="1"/>
  <c r="K8" i="2"/>
  <c r="B106" i="13" s="1"/>
  <c r="R7" i="2"/>
  <c r="M104" i="13" s="1"/>
  <c r="P7" i="2"/>
  <c r="G104" i="13" s="1"/>
  <c r="O7" i="2"/>
  <c r="F104" i="13" s="1"/>
  <c r="M7" i="2"/>
  <c r="D104" i="13" s="1"/>
  <c r="L7" i="2"/>
  <c r="C104" i="13" s="1"/>
  <c r="K7" i="2"/>
  <c r="B104" i="13" s="1"/>
  <c r="R6" i="2"/>
  <c r="M107" i="13" s="1"/>
  <c r="P6" i="2"/>
  <c r="G107" i="13" s="1"/>
  <c r="O6" i="2"/>
  <c r="F107" i="13" s="1"/>
  <c r="M6" i="2"/>
  <c r="D107" i="13" s="1"/>
  <c r="L6" i="2"/>
  <c r="C107" i="13" s="1"/>
  <c r="K6" i="2"/>
  <c r="B107" i="13" s="1"/>
  <c r="R5" i="2"/>
  <c r="M102" i="13" s="1"/>
  <c r="P5" i="2"/>
  <c r="G102" i="13" s="1"/>
  <c r="O5" i="2"/>
  <c r="F102" i="13" s="1"/>
  <c r="M5" i="2"/>
  <c r="D102" i="13" s="1"/>
  <c r="L5" i="2"/>
  <c r="C102" i="13" s="1"/>
  <c r="K5" i="2"/>
  <c r="B102" i="13" s="1"/>
  <c r="R4" i="2"/>
  <c r="M105" i="13" s="1"/>
  <c r="P4" i="2"/>
  <c r="G105" i="13" s="1"/>
  <c r="O4" i="2"/>
  <c r="F105" i="13" s="1"/>
  <c r="M4" i="2"/>
  <c r="D105" i="13" s="1"/>
  <c r="L4" i="2"/>
  <c r="C105" i="13" s="1"/>
  <c r="K4" i="2"/>
  <c r="B105" i="13" s="1"/>
  <c r="R3" i="2"/>
  <c r="M103" i="13" s="1"/>
  <c r="P3" i="2"/>
  <c r="G103" i="13" s="1"/>
  <c r="O3" i="2"/>
  <c r="F103" i="13" s="1"/>
  <c r="M3" i="2"/>
  <c r="D103" i="13" s="1"/>
  <c r="L3" i="2"/>
  <c r="C103" i="13" s="1"/>
  <c r="K3" i="2"/>
  <c r="B103" i="13" s="1"/>
  <c r="R2" i="2"/>
  <c r="P2" i="2"/>
  <c r="AG2" i="2" s="1"/>
  <c r="O2" i="2"/>
  <c r="M2" i="2"/>
  <c r="L2" i="2"/>
  <c r="K2" i="2"/>
  <c r="E131" i="13" l="1"/>
  <c r="V292" i="2"/>
  <c r="J292" i="13" s="1"/>
  <c r="AG26" i="2"/>
  <c r="V189" i="2"/>
  <c r="J189" i="13" s="1"/>
  <c r="V225" i="2"/>
  <c r="J225" i="13" s="1"/>
  <c r="V242" i="2"/>
  <c r="J242" i="13" s="1"/>
  <c r="V235" i="2"/>
  <c r="J235" i="13" s="1"/>
  <c r="V247" i="2"/>
  <c r="J247" i="13" s="1"/>
  <c r="AG29" i="2"/>
  <c r="V180" i="2"/>
  <c r="J180" i="13" s="1"/>
  <c r="V192" i="2"/>
  <c r="J192" i="13" s="1"/>
  <c r="V204" i="2"/>
  <c r="J204" i="13" s="1"/>
  <c r="V216" i="2"/>
  <c r="J216" i="13" s="1"/>
  <c r="V228" i="2"/>
  <c r="J228" i="13" s="1"/>
  <c r="V240" i="2"/>
  <c r="J240" i="13" s="1"/>
  <c r="V252" i="2"/>
  <c r="J252" i="13" s="1"/>
  <c r="V264" i="2"/>
  <c r="J264" i="13" s="1"/>
  <c r="V276" i="2"/>
  <c r="J276" i="13" s="1"/>
  <c r="V288" i="2"/>
  <c r="J288" i="13" s="1"/>
  <c r="V300" i="2"/>
  <c r="J300" i="13" s="1"/>
  <c r="AG41" i="2"/>
  <c r="V184" i="2"/>
  <c r="J184" i="13" s="1"/>
  <c r="AG92" i="2"/>
  <c r="AG107" i="2"/>
  <c r="AG110" i="2"/>
  <c r="AG113" i="2"/>
  <c r="AG122" i="2"/>
  <c r="AG125" i="2"/>
  <c r="AG128" i="2"/>
  <c r="AG137" i="2"/>
  <c r="AG140" i="2"/>
  <c r="AG143" i="2"/>
  <c r="AG146" i="2"/>
  <c r="AG149" i="2"/>
  <c r="AG158" i="2"/>
  <c r="AG161" i="2"/>
  <c r="AG164" i="2"/>
  <c r="AG73" i="2"/>
  <c r="AG76" i="2"/>
  <c r="AG79" i="2"/>
  <c r="AG85" i="2"/>
  <c r="V233" i="2"/>
  <c r="J233" i="13" s="1"/>
  <c r="V245" i="2"/>
  <c r="J245" i="13" s="1"/>
  <c r="V269" i="2"/>
  <c r="J269" i="13" s="1"/>
  <c r="V281" i="2"/>
  <c r="J281" i="13" s="1"/>
  <c r="V293" i="2"/>
  <c r="J293" i="13" s="1"/>
  <c r="AG45" i="2"/>
  <c r="AG57" i="2"/>
  <c r="AG69" i="2"/>
  <c r="AG27" i="2"/>
  <c r="U127" i="2" a="1"/>
  <c r="U127" i="2" s="1"/>
  <c r="I122" i="13" s="1"/>
  <c r="V178" i="2"/>
  <c r="J178" i="13" s="1"/>
  <c r="V190" i="2"/>
  <c r="J190" i="13" s="1"/>
  <c r="V202" i="2"/>
  <c r="J202" i="13" s="1"/>
  <c r="V214" i="2"/>
  <c r="J214" i="13" s="1"/>
  <c r="V226" i="2"/>
  <c r="J226" i="13" s="1"/>
  <c r="V238" i="2"/>
  <c r="J238" i="13" s="1"/>
  <c r="V250" i="2"/>
  <c r="J250" i="13" s="1"/>
  <c r="V262" i="2"/>
  <c r="J262" i="13" s="1"/>
  <c r="V274" i="2"/>
  <c r="J274" i="13" s="1"/>
  <c r="V286" i="2"/>
  <c r="J286" i="13" s="1"/>
  <c r="V298" i="2"/>
  <c r="J298" i="13" s="1"/>
  <c r="AG63" i="2"/>
  <c r="AG44" i="2"/>
  <c r="AG68" i="2"/>
  <c r="AG136" i="2"/>
  <c r="AG157" i="2"/>
  <c r="V201" i="2"/>
  <c r="J201" i="13" s="1"/>
  <c r="V237" i="2"/>
  <c r="J237" i="13" s="1"/>
  <c r="V273" i="2"/>
  <c r="J273" i="13" s="1"/>
  <c r="V297" i="2"/>
  <c r="J297" i="13" s="1"/>
  <c r="AG35" i="2"/>
  <c r="U48" i="2" a="1"/>
  <c r="U48" i="2" s="1"/>
  <c r="I64" i="13" s="1"/>
  <c r="AG64" i="2"/>
  <c r="AG95" i="2"/>
  <c r="AG152" i="2"/>
  <c r="AG82" i="2"/>
  <c r="V197" i="2"/>
  <c r="J197" i="13" s="1"/>
  <c r="V209" i="2"/>
  <c r="J209" i="13" s="1"/>
  <c r="AG50" i="2"/>
  <c r="AG62" i="2"/>
  <c r="U8" i="2" a="1"/>
  <c r="U8" i="2" s="1"/>
  <c r="I106" i="13" s="1"/>
  <c r="V183" i="2"/>
  <c r="J183" i="13" s="1"/>
  <c r="V195" i="2"/>
  <c r="J195" i="13" s="1"/>
  <c r="V207" i="2"/>
  <c r="J207" i="13" s="1"/>
  <c r="V219" i="2"/>
  <c r="J219" i="13" s="1"/>
  <c r="V231" i="2"/>
  <c r="J231" i="13" s="1"/>
  <c r="V243" i="2"/>
  <c r="J243" i="13" s="1"/>
  <c r="V255" i="2"/>
  <c r="J255" i="13" s="1"/>
  <c r="V267" i="2"/>
  <c r="J267" i="13" s="1"/>
  <c r="V279" i="2"/>
  <c r="J279" i="13" s="1"/>
  <c r="V291" i="2"/>
  <c r="J291" i="13" s="1"/>
  <c r="AG112" i="2"/>
  <c r="AG72" i="2"/>
  <c r="U38" i="2" a="1"/>
  <c r="U38" i="2" s="1"/>
  <c r="I164" i="13" s="1"/>
  <c r="V213" i="2"/>
  <c r="J213" i="13" s="1"/>
  <c r="V261" i="2"/>
  <c r="J261" i="13" s="1"/>
  <c r="AG5" i="2"/>
  <c r="V206" i="2"/>
  <c r="J206" i="13" s="1"/>
  <c r="V218" i="2"/>
  <c r="J218" i="13" s="1"/>
  <c r="V290" i="2"/>
  <c r="J290" i="13" s="1"/>
  <c r="AG54" i="2"/>
  <c r="AG31" i="2"/>
  <c r="AG33" i="2"/>
  <c r="AG39" i="2"/>
  <c r="V199" i="2"/>
  <c r="J199" i="13" s="1"/>
  <c r="V295" i="2"/>
  <c r="J295" i="13" s="1"/>
  <c r="AG42" i="2"/>
  <c r="AG52" i="2"/>
  <c r="AG101" i="2"/>
  <c r="AG116" i="2"/>
  <c r="AG134" i="2"/>
  <c r="AG155" i="2"/>
  <c r="V257" i="2"/>
  <c r="J257" i="13" s="1"/>
  <c r="AG4" i="2"/>
  <c r="AG22" i="2"/>
  <c r="AG67" i="2"/>
  <c r="V188" i="2"/>
  <c r="J188" i="13" s="1"/>
  <c r="V200" i="2"/>
  <c r="J200" i="13" s="1"/>
  <c r="V212" i="2"/>
  <c r="J212" i="13" s="1"/>
  <c r="V224" i="2"/>
  <c r="J224" i="13" s="1"/>
  <c r="V236" i="2"/>
  <c r="J236" i="13" s="1"/>
  <c r="V248" i="2"/>
  <c r="J248" i="13" s="1"/>
  <c r="V260" i="2"/>
  <c r="J260" i="13" s="1"/>
  <c r="V272" i="2"/>
  <c r="J272" i="13" s="1"/>
  <c r="V284" i="2"/>
  <c r="J284" i="13" s="1"/>
  <c r="V296" i="2"/>
  <c r="J296" i="13" s="1"/>
  <c r="V176" i="2"/>
  <c r="J176" i="13" s="1"/>
  <c r="V244" i="2"/>
  <c r="J244" i="13" s="1"/>
  <c r="AG94" i="2"/>
  <c r="AG103" i="2"/>
  <c r="AG118" i="2"/>
  <c r="AG124" i="2"/>
  <c r="AG133" i="2"/>
  <c r="AG142" i="2"/>
  <c r="AG151" i="2"/>
  <c r="AG166" i="2"/>
  <c r="AG75" i="2"/>
  <c r="AG84" i="2"/>
  <c r="V182" i="2"/>
  <c r="J182" i="13" s="1"/>
  <c r="V194" i="2"/>
  <c r="J194" i="13" s="1"/>
  <c r="V230" i="2"/>
  <c r="J230" i="13" s="1"/>
  <c r="V278" i="2"/>
  <c r="J278" i="13" s="1"/>
  <c r="V223" i="2"/>
  <c r="J223" i="13" s="1"/>
  <c r="V259" i="2"/>
  <c r="J259" i="13" s="1"/>
  <c r="V271" i="2"/>
  <c r="J271" i="13" s="1"/>
  <c r="V283" i="2"/>
  <c r="J283" i="13" s="1"/>
  <c r="AG89" i="2"/>
  <c r="AG98" i="2"/>
  <c r="AG131" i="2"/>
  <c r="V185" i="2"/>
  <c r="J185" i="13" s="1"/>
  <c r="V221" i="2"/>
  <c r="J221" i="13" s="1"/>
  <c r="AG10" i="2"/>
  <c r="AG12" i="2"/>
  <c r="AG18" i="2"/>
  <c r="AG20" i="2"/>
  <c r="AG24" i="2"/>
  <c r="AG43" i="2"/>
  <c r="AG87" i="2"/>
  <c r="AG90" i="2"/>
  <c r="AG93" i="2"/>
  <c r="AG96" i="2"/>
  <c r="AG99" i="2"/>
  <c r="AG102" i="2"/>
  <c r="AG105" i="2"/>
  <c r="AG108" i="2"/>
  <c r="AG111" i="2"/>
  <c r="AG114" i="2"/>
  <c r="AG117" i="2"/>
  <c r="AG120" i="2"/>
  <c r="AG123" i="2"/>
  <c r="AG126" i="2"/>
  <c r="AG129" i="2"/>
  <c r="AG132" i="2"/>
  <c r="AG135" i="2"/>
  <c r="AG138" i="2"/>
  <c r="AG141" i="2"/>
  <c r="AG144" i="2"/>
  <c r="AG147" i="2"/>
  <c r="AG150" i="2"/>
  <c r="AG153" i="2"/>
  <c r="AG156" i="2"/>
  <c r="AG159" i="2"/>
  <c r="AG162" i="2"/>
  <c r="AG165" i="2"/>
  <c r="AG74" i="2"/>
  <c r="AG77" i="2"/>
  <c r="AG80" i="2"/>
  <c r="AG86" i="2"/>
  <c r="AG30" i="2"/>
  <c r="AG32" i="2"/>
  <c r="AG34" i="2"/>
  <c r="AG36" i="2"/>
  <c r="AG38" i="2"/>
  <c r="AG40" i="2"/>
  <c r="V181" i="2"/>
  <c r="J181" i="13" s="1"/>
  <c r="V193" i="2"/>
  <c r="J193" i="13" s="1"/>
  <c r="V205" i="2"/>
  <c r="J205" i="13" s="1"/>
  <c r="V217" i="2"/>
  <c r="J217" i="13" s="1"/>
  <c r="V229" i="2"/>
  <c r="J229" i="13" s="1"/>
  <c r="V241" i="2"/>
  <c r="J241" i="13" s="1"/>
  <c r="V253" i="2"/>
  <c r="J253" i="13" s="1"/>
  <c r="V265" i="2"/>
  <c r="J265" i="13" s="1"/>
  <c r="V277" i="2"/>
  <c r="J277" i="13" s="1"/>
  <c r="V289" i="2"/>
  <c r="J289" i="13" s="1"/>
  <c r="AG51" i="2"/>
  <c r="V208" i="2"/>
  <c r="J208" i="13" s="1"/>
  <c r="V220" i="2"/>
  <c r="J220" i="13" s="1"/>
  <c r="V232" i="2"/>
  <c r="J232" i="13" s="1"/>
  <c r="V268" i="2"/>
  <c r="J268" i="13" s="1"/>
  <c r="AG56" i="2"/>
  <c r="AG88" i="2"/>
  <c r="AG91" i="2"/>
  <c r="AG100" i="2"/>
  <c r="AG106" i="2"/>
  <c r="AG115" i="2"/>
  <c r="AG121" i="2"/>
  <c r="AG130" i="2"/>
  <c r="AG139" i="2"/>
  <c r="AG145" i="2"/>
  <c r="AG154" i="2"/>
  <c r="AG160" i="2"/>
  <c r="AG163" i="2"/>
  <c r="AG78" i="2"/>
  <c r="V249" i="2"/>
  <c r="J249" i="13" s="1"/>
  <c r="V285" i="2"/>
  <c r="J285" i="13" s="1"/>
  <c r="V266" i="2"/>
  <c r="J266" i="13" s="1"/>
  <c r="AG37" i="2"/>
  <c r="V187" i="2"/>
  <c r="J187" i="13" s="1"/>
  <c r="AG104" i="2"/>
  <c r="AG8" i="2"/>
  <c r="AG55" i="2"/>
  <c r="AG48" i="2"/>
  <c r="AG60" i="2"/>
  <c r="AG53" i="2"/>
  <c r="AG65" i="2"/>
  <c r="U123" i="2" a="1"/>
  <c r="U123" i="2" s="1"/>
  <c r="I60" i="13" s="1"/>
  <c r="U111" i="2" a="1"/>
  <c r="U111" i="2" s="1"/>
  <c r="I12" i="13" s="1"/>
  <c r="U50" i="2" a="1"/>
  <c r="U50" i="2" s="1"/>
  <c r="I79" i="13" s="1"/>
  <c r="V186" i="2"/>
  <c r="J186" i="13" s="1"/>
  <c r="V198" i="2"/>
  <c r="J198" i="13" s="1"/>
  <c r="V210" i="2"/>
  <c r="J210" i="13" s="1"/>
  <c r="V222" i="2"/>
  <c r="J222" i="13" s="1"/>
  <c r="V234" i="2"/>
  <c r="J234" i="13" s="1"/>
  <c r="V246" i="2"/>
  <c r="J246" i="13" s="1"/>
  <c r="V258" i="2"/>
  <c r="J258" i="13" s="1"/>
  <c r="V270" i="2"/>
  <c r="J270" i="13" s="1"/>
  <c r="V282" i="2"/>
  <c r="J282" i="13" s="1"/>
  <c r="V294" i="2"/>
  <c r="J294" i="13" s="1"/>
  <c r="V196" i="2"/>
  <c r="J196" i="13" s="1"/>
  <c r="V256" i="2"/>
  <c r="J256" i="13" s="1"/>
  <c r="V280" i="2"/>
  <c r="J280" i="13" s="1"/>
  <c r="AG97" i="2"/>
  <c r="AG109" i="2"/>
  <c r="AG127" i="2"/>
  <c r="AG148" i="2"/>
  <c r="AG81" i="2"/>
  <c r="AG3" i="2"/>
  <c r="AG49" i="2"/>
  <c r="AG61" i="2"/>
  <c r="V254" i="2"/>
  <c r="J254" i="13" s="1"/>
  <c r="V211" i="2"/>
  <c r="J211" i="13" s="1"/>
  <c r="AG47" i="2"/>
  <c r="AG59" i="2"/>
  <c r="AG71" i="2"/>
  <c r="AG119" i="2"/>
  <c r="AG70" i="2"/>
  <c r="AG28" i="2"/>
  <c r="V179" i="2"/>
  <c r="J179" i="13" s="1"/>
  <c r="V191" i="2"/>
  <c r="J191" i="13" s="1"/>
  <c r="V203" i="2"/>
  <c r="J203" i="13" s="1"/>
  <c r="V215" i="2"/>
  <c r="J215" i="13" s="1"/>
  <c r="V227" i="2"/>
  <c r="J227" i="13" s="1"/>
  <c r="V239" i="2"/>
  <c r="J239" i="13" s="1"/>
  <c r="V251" i="2"/>
  <c r="J251" i="13" s="1"/>
  <c r="V263" i="2"/>
  <c r="J263" i="13" s="1"/>
  <c r="V275" i="2"/>
  <c r="J275" i="13" s="1"/>
  <c r="V287" i="2"/>
  <c r="J287" i="13" s="1"/>
  <c r="V299" i="2"/>
  <c r="J299" i="13" s="1"/>
  <c r="V174" i="2"/>
  <c r="J174" i="13" s="1"/>
  <c r="V169" i="2"/>
  <c r="J169" i="13" s="1"/>
  <c r="V173" i="2"/>
  <c r="J173" i="13" s="1"/>
  <c r="V177" i="2"/>
  <c r="J177" i="13" s="1"/>
  <c r="V175" i="2"/>
  <c r="J175" i="13" s="1"/>
  <c r="G59" i="5"/>
  <c r="H59" i="5" s="1"/>
  <c r="E49" i="4"/>
  <c r="G49" i="5"/>
  <c r="E54" i="4"/>
  <c r="G54" i="5"/>
  <c r="G64" i="5"/>
  <c r="V171" i="2"/>
  <c r="J171" i="13" s="1"/>
  <c r="V172" i="2"/>
  <c r="J172" i="13" s="1"/>
  <c r="V168" i="2"/>
  <c r="J168" i="13" s="1"/>
  <c r="AF484" i="2"/>
  <c r="AF209" i="2"/>
  <c r="AF204" i="2"/>
  <c r="AF217" i="2"/>
  <c r="AF235" i="2"/>
  <c r="AF184" i="2"/>
  <c r="AF396" i="2"/>
  <c r="AF364" i="2"/>
  <c r="AF387" i="2"/>
  <c r="AF346" i="2"/>
  <c r="AF402" i="2"/>
  <c r="AF358" i="2"/>
  <c r="AF372" i="2"/>
  <c r="AF250" i="2"/>
  <c r="AF404" i="2"/>
  <c r="AF172" i="2"/>
  <c r="AF338" i="2"/>
  <c r="AF301" i="2"/>
  <c r="AF266" i="2"/>
  <c r="AF195" i="2"/>
  <c r="AF201" i="2"/>
  <c r="AF212" i="2"/>
  <c r="AF222" i="2"/>
  <c r="AF227" i="2"/>
  <c r="AF238" i="2"/>
  <c r="AF241" i="2"/>
  <c r="AF253" i="2"/>
  <c r="AF258" i="2"/>
  <c r="AF269" i="2"/>
  <c r="AF277" i="2"/>
  <c r="AF285" i="2"/>
  <c r="AF288" i="2"/>
  <c r="AF293" i="2"/>
  <c r="AF296" i="2"/>
  <c r="AF304" i="2"/>
  <c r="AF314" i="2"/>
  <c r="AF319" i="2"/>
  <c r="AF325" i="2"/>
  <c r="AF328" i="2"/>
  <c r="AF349" i="2"/>
  <c r="AF394" i="2"/>
  <c r="AF417" i="2"/>
  <c r="AF421" i="2"/>
  <c r="AF274" i="2"/>
  <c r="AF376" i="2"/>
  <c r="AF189" i="2"/>
  <c r="AF343" i="2"/>
  <c r="AF353" i="2"/>
  <c r="AF485" i="2"/>
  <c r="AF169" i="2"/>
  <c r="AF186" i="2"/>
  <c r="AF200" i="2"/>
  <c r="AF206" i="2"/>
  <c r="AF211" i="2"/>
  <c r="AF229" i="2"/>
  <c r="AF237" i="2"/>
  <c r="AF240" i="2"/>
  <c r="AF249" i="2"/>
  <c r="AF252" i="2"/>
  <c r="AF260" i="2"/>
  <c r="AF268" i="2"/>
  <c r="AF287" i="2"/>
  <c r="AF308" i="2"/>
  <c r="AF321" i="2"/>
  <c r="AF332" i="2"/>
  <c r="AF345" i="2"/>
  <c r="AF355" i="2"/>
  <c r="AF380" i="2"/>
  <c r="AF460" i="2"/>
  <c r="AF464" i="2"/>
  <c r="AF497" i="2"/>
  <c r="AF181" i="2"/>
  <c r="AF224" i="2"/>
  <c r="AF232" i="2"/>
  <c r="AF263" i="2"/>
  <c r="AF175" i="2"/>
  <c r="AE175" i="2" s="1"/>
  <c r="AF327" i="2"/>
  <c r="AF454" i="2"/>
  <c r="AF171" i="2"/>
  <c r="AF183" i="2"/>
  <c r="AF221" i="2"/>
  <c r="AF226" i="2"/>
  <c r="AF231" i="2"/>
  <c r="AF257" i="2"/>
  <c r="AF265" i="2"/>
  <c r="AF273" i="2"/>
  <c r="AF276" i="2"/>
  <c r="AF284" i="2"/>
  <c r="AF292" i="2"/>
  <c r="AF313" i="2"/>
  <c r="AF318" i="2"/>
  <c r="AF369" i="2"/>
  <c r="AF391" i="2"/>
  <c r="AF462" i="2"/>
  <c r="AF197" i="2"/>
  <c r="AF214" i="2"/>
  <c r="AF311" i="2"/>
  <c r="AF446" i="2"/>
  <c r="AF174" i="2"/>
  <c r="AE174" i="2" s="1"/>
  <c r="AF177" i="2"/>
  <c r="AE177" i="2" s="1"/>
  <c r="AF180" i="2"/>
  <c r="AF194" i="2"/>
  <c r="AF196" i="2"/>
  <c r="AF208" i="2"/>
  <c r="AF234" i="2"/>
  <c r="AF239" i="2"/>
  <c r="AF245" i="2"/>
  <c r="AF297" i="2"/>
  <c r="AF324" i="2"/>
  <c r="AF337" i="2"/>
  <c r="AF342" i="2"/>
  <c r="AF350" i="2"/>
  <c r="AF382" i="2"/>
  <c r="AF399" i="2"/>
  <c r="AF408" i="2"/>
  <c r="AF410" i="2"/>
  <c r="AF420" i="2"/>
  <c r="AF433" i="2"/>
  <c r="AF306" i="2"/>
  <c r="AF322" i="2"/>
  <c r="AF192" i="2"/>
  <c r="AF255" i="2"/>
  <c r="AF290" i="2"/>
  <c r="AF316" i="2"/>
  <c r="AF330" i="2"/>
  <c r="AF470" i="2"/>
  <c r="AF188" i="2"/>
  <c r="AF191" i="2"/>
  <c r="AF199" i="2"/>
  <c r="AF202" i="2"/>
  <c r="AF213" i="2"/>
  <c r="AF216" i="2"/>
  <c r="AF223" i="2"/>
  <c r="AF248" i="2"/>
  <c r="AF251" i="2"/>
  <c r="AF254" i="2"/>
  <c r="AF259" i="2"/>
  <c r="AF262" i="2"/>
  <c r="AF281" i="2"/>
  <c r="AF300" i="2"/>
  <c r="AF305" i="2"/>
  <c r="AF315" i="2"/>
  <c r="AF320" i="2"/>
  <c r="AF339" i="2"/>
  <c r="AF361" i="2"/>
  <c r="AF363" i="2"/>
  <c r="AF371" i="2"/>
  <c r="AF438" i="2"/>
  <c r="AF246" i="2"/>
  <c r="AF279" i="2"/>
  <c r="AF295" i="2"/>
  <c r="AF340" i="2"/>
  <c r="AF458" i="2"/>
  <c r="AF205" i="2"/>
  <c r="AF218" i="2"/>
  <c r="AF228" i="2"/>
  <c r="AF236" i="2"/>
  <c r="AF242" i="2"/>
  <c r="AF270" i="2"/>
  <c r="AF275" i="2"/>
  <c r="AF278" i="2"/>
  <c r="AF294" i="2"/>
  <c r="AF302" i="2"/>
  <c r="AF307" i="2"/>
  <c r="AF310" i="2"/>
  <c r="AF326" i="2"/>
  <c r="AF329" i="2"/>
  <c r="AF334" i="2"/>
  <c r="AF352" i="2"/>
  <c r="AF359" i="2"/>
  <c r="AF377" i="2"/>
  <c r="AF388" i="2"/>
  <c r="AF426" i="2"/>
  <c r="AF443" i="2"/>
  <c r="AF374" i="2"/>
  <c r="AF178" i="2"/>
  <c r="AF219" i="2"/>
  <c r="AF243" i="2"/>
  <c r="AF282" i="2"/>
  <c r="AF303" i="2"/>
  <c r="AF335" i="2"/>
  <c r="AF427" i="2"/>
  <c r="AF168" i="2"/>
  <c r="AF185" i="2"/>
  <c r="AF210" i="2"/>
  <c r="AF225" i="2"/>
  <c r="AF264" i="2"/>
  <c r="AF267" i="2"/>
  <c r="AF283" i="2"/>
  <c r="AF289" i="2"/>
  <c r="AF291" i="2"/>
  <c r="AF323" i="2"/>
  <c r="AF331" i="2"/>
  <c r="AF344" i="2"/>
  <c r="AF347" i="2"/>
  <c r="AF405" i="2"/>
  <c r="AF449" i="2"/>
  <c r="AF455" i="2"/>
  <c r="AF459" i="2"/>
  <c r="AF469" i="2"/>
  <c r="AF473" i="2"/>
  <c r="AF480" i="2"/>
  <c r="AF271" i="2"/>
  <c r="AF448" i="2"/>
  <c r="AF203" i="2"/>
  <c r="AF298" i="2"/>
  <c r="AF500" i="2"/>
  <c r="AF489" i="2"/>
  <c r="AF477" i="2"/>
  <c r="AF468" i="2"/>
  <c r="AF463" i="2"/>
  <c r="AF453" i="2"/>
  <c r="AF450" i="2"/>
  <c r="AF447" i="2"/>
  <c r="AF439" i="2"/>
  <c r="AF436" i="2"/>
  <c r="AF413" i="2"/>
  <c r="AF397" i="2"/>
  <c r="AF392" i="2"/>
  <c r="AF386" i="2"/>
  <c r="AF383" i="2"/>
  <c r="AF375" i="2"/>
  <c r="AF367" i="2"/>
  <c r="AF362" i="2"/>
  <c r="AF356" i="2"/>
  <c r="AF483" i="2"/>
  <c r="AF474" i="2"/>
  <c r="AF445" i="2"/>
  <c r="AF442" i="2"/>
  <c r="AF424" i="2"/>
  <c r="AF419" i="2"/>
  <c r="AF406" i="2"/>
  <c r="AF403" i="2"/>
  <c r="AF395" i="2"/>
  <c r="AF389" i="2"/>
  <c r="AF378" i="2"/>
  <c r="AF370" i="2"/>
  <c r="AF348" i="2"/>
  <c r="AF498" i="2"/>
  <c r="AF495" i="2"/>
  <c r="AF478" i="2"/>
  <c r="AF461" i="2"/>
  <c r="AF456" i="2"/>
  <c r="AF434" i="2"/>
  <c r="AF428" i="2"/>
  <c r="AF416" i="2"/>
  <c r="AF411" i="2"/>
  <c r="AF381" i="2"/>
  <c r="AF365" i="2"/>
  <c r="AF493" i="2"/>
  <c r="AF481" i="2"/>
  <c r="AF471" i="2"/>
  <c r="AF466" i="2"/>
  <c r="AF440" i="2"/>
  <c r="AF431" i="2"/>
  <c r="AF425" i="2"/>
  <c r="AF422" i="2"/>
  <c r="AF400" i="2"/>
  <c r="AF393" i="2"/>
  <c r="AF384" i="2"/>
  <c r="AF357" i="2"/>
  <c r="AF354" i="2"/>
  <c r="AF351" i="2"/>
  <c r="AF490" i="2"/>
  <c r="AF487" i="2"/>
  <c r="AF475" i="2"/>
  <c r="AF451" i="2"/>
  <c r="AF437" i="2"/>
  <c r="AF414" i="2"/>
  <c r="AF409" i="2"/>
  <c r="AF398" i="2"/>
  <c r="AF373" i="2"/>
  <c r="AF368" i="2"/>
  <c r="AF360" i="2"/>
  <c r="AF499" i="2"/>
  <c r="AF482" i="2"/>
  <c r="AF457" i="2"/>
  <c r="AF432" i="2"/>
  <c r="AF429" i="2"/>
  <c r="AF412" i="2"/>
  <c r="AF401" i="2"/>
  <c r="AF385" i="2"/>
  <c r="AF366" i="2"/>
  <c r="AF494" i="2"/>
  <c r="AF491" i="2"/>
  <c r="AF488" i="2"/>
  <c r="AF479" i="2"/>
  <c r="AF476" i="2"/>
  <c r="AF472" i="2"/>
  <c r="AF467" i="2"/>
  <c r="AF452" i="2"/>
  <c r="AF444" i="2"/>
  <c r="AF441" i="2"/>
  <c r="AF435" i="2"/>
  <c r="AF418" i="2"/>
  <c r="AF170" i="2"/>
  <c r="AF182" i="2"/>
  <c r="AF193" i="2"/>
  <c r="AF215" i="2"/>
  <c r="AF220" i="2"/>
  <c r="AF230" i="2"/>
  <c r="AF256" i="2"/>
  <c r="AF272" i="2"/>
  <c r="AF286" i="2"/>
  <c r="AF299" i="2"/>
  <c r="AF312" i="2"/>
  <c r="AF341" i="2"/>
  <c r="AF379" i="2"/>
  <c r="AF390" i="2"/>
  <c r="AF415" i="2"/>
  <c r="AF430" i="2"/>
  <c r="AF465" i="2"/>
  <c r="AF486" i="2"/>
  <c r="AF492" i="2"/>
  <c r="AF496" i="2"/>
  <c r="AF173" i="2"/>
  <c r="AE173" i="2" s="1"/>
  <c r="AF176" i="2"/>
  <c r="AE176" i="2" s="1"/>
  <c r="AF179" i="2"/>
  <c r="AF187" i="2"/>
  <c r="AF190" i="2"/>
  <c r="AF198" i="2"/>
  <c r="AF207" i="2"/>
  <c r="AF233" i="2"/>
  <c r="AF244" i="2"/>
  <c r="AF247" i="2"/>
  <c r="AF261" i="2"/>
  <c r="AF280" i="2"/>
  <c r="AF309" i="2"/>
  <c r="AF317" i="2"/>
  <c r="AF333" i="2"/>
  <c r="AF336" i="2"/>
  <c r="AF407" i="2"/>
  <c r="AF423" i="2"/>
  <c r="V170" i="2"/>
  <c r="J170" i="13" s="1"/>
  <c r="AF54" i="2"/>
  <c r="L120" i="5"/>
  <c r="BH115" i="5"/>
  <c r="BH120" i="5"/>
  <c r="AF3" i="2"/>
  <c r="AF32" i="2"/>
  <c r="AF66" i="2"/>
  <c r="AF7" i="2"/>
  <c r="AF9" i="2"/>
  <c r="AF13" i="2"/>
  <c r="AF15" i="2"/>
  <c r="AF19" i="2"/>
  <c r="AF21" i="2"/>
  <c r="AF23" i="2"/>
  <c r="AF49" i="2"/>
  <c r="AF57" i="2"/>
  <c r="AF26" i="2"/>
  <c r="AF25" i="2"/>
  <c r="AF18" i="2"/>
  <c r="AF82" i="2"/>
  <c r="AF46" i="2"/>
  <c r="AF41" i="2"/>
  <c r="AF30" i="2"/>
  <c r="AF34" i="2"/>
  <c r="AF36" i="2"/>
  <c r="AF40" i="2"/>
  <c r="AF28" i="2"/>
  <c r="AF64" i="2"/>
  <c r="AF104" i="2"/>
  <c r="AF125" i="2"/>
  <c r="AF143" i="2"/>
  <c r="AF101" i="2"/>
  <c r="AF110" i="2"/>
  <c r="AF128" i="2"/>
  <c r="AF161" i="2"/>
  <c r="AF71" i="2"/>
  <c r="AF4" i="2"/>
  <c r="AF6" i="2"/>
  <c r="AF8" i="2"/>
  <c r="AF10" i="2"/>
  <c r="AF12" i="2"/>
  <c r="AF14" i="2"/>
  <c r="AF16" i="2"/>
  <c r="AF20" i="2"/>
  <c r="AF22" i="2"/>
  <c r="AF24" i="2"/>
  <c r="AG14" i="2"/>
  <c r="AF47" i="2"/>
  <c r="AF51" i="2"/>
  <c r="AF100" i="2"/>
  <c r="AF68" i="2"/>
  <c r="AF106" i="2"/>
  <c r="AF112" i="2"/>
  <c r="AF136" i="2"/>
  <c r="AF151" i="2"/>
  <c r="AF154" i="2"/>
  <c r="AF166" i="2"/>
  <c r="AF5" i="2"/>
  <c r="AF11" i="2"/>
  <c r="AF17" i="2"/>
  <c r="AF80" i="2"/>
  <c r="AG6" i="2"/>
  <c r="AF74" i="2"/>
  <c r="AF92" i="2"/>
  <c r="AF139" i="2"/>
  <c r="AF155" i="2"/>
  <c r="AF165" i="2"/>
  <c r="AG9" i="2"/>
  <c r="AG19" i="2"/>
  <c r="AF38" i="2"/>
  <c r="AF115" i="2"/>
  <c r="AF89" i="2"/>
  <c r="AF107" i="2"/>
  <c r="AF122" i="2"/>
  <c r="AF146" i="2"/>
  <c r="AF158" i="2"/>
  <c r="AF119" i="2"/>
  <c r="AF69" i="2"/>
  <c r="AF72" i="2"/>
  <c r="AF75" i="2"/>
  <c r="AF78" i="2"/>
  <c r="AF84" i="2"/>
  <c r="AG7" i="2"/>
  <c r="AF35" i="2"/>
  <c r="AF43" i="2"/>
  <c r="AF76" i="2"/>
  <c r="AF85" i="2"/>
  <c r="AF93" i="2"/>
  <c r="AF50" i="2"/>
  <c r="AF62" i="2"/>
  <c r="AF117" i="2"/>
  <c r="AF132" i="2"/>
  <c r="AF159" i="2"/>
  <c r="AF60" i="2"/>
  <c r="AF79" i="2"/>
  <c r="AF86" i="2"/>
  <c r="AF126" i="2"/>
  <c r="AG15" i="2"/>
  <c r="AG23" i="2"/>
  <c r="AF147" i="2"/>
  <c r="AF52" i="2"/>
  <c r="AF98" i="2"/>
  <c r="AF116" i="2"/>
  <c r="AF137" i="2"/>
  <c r="AF149" i="2"/>
  <c r="AF45" i="2"/>
  <c r="AF81" i="2"/>
  <c r="AF48" i="2"/>
  <c r="AF90" i="2"/>
  <c r="AF96" i="2"/>
  <c r="AF99" i="2"/>
  <c r="AF102" i="2"/>
  <c r="AF105" i="2"/>
  <c r="AF108" i="2"/>
  <c r="AF111" i="2"/>
  <c r="AF123" i="2"/>
  <c r="AF138" i="2"/>
  <c r="AF141" i="2"/>
  <c r="AF150" i="2"/>
  <c r="AF156" i="2"/>
  <c r="AF31" i="2"/>
  <c r="AF29" i="2"/>
  <c r="AG11" i="2"/>
  <c r="AG17" i="2"/>
  <c r="AG83" i="2"/>
  <c r="AG66" i="2"/>
  <c r="AF67" i="2"/>
  <c r="AF148" i="2"/>
  <c r="AF95" i="2"/>
  <c r="AF113" i="2"/>
  <c r="AF134" i="2"/>
  <c r="AF140" i="2"/>
  <c r="AF152" i="2"/>
  <c r="AF164" i="2"/>
  <c r="AF53" i="2"/>
  <c r="AF73" i="2"/>
  <c r="AG21" i="2"/>
  <c r="AG46" i="2"/>
  <c r="AF61" i="2"/>
  <c r="AF135" i="2"/>
  <c r="AF131" i="2"/>
  <c r="AF58" i="2"/>
  <c r="AF70" i="2"/>
  <c r="AF83" i="2"/>
  <c r="AF27" i="2"/>
  <c r="AF87" i="2"/>
  <c r="AG13" i="2"/>
  <c r="AF39" i="2"/>
  <c r="AF55" i="2"/>
  <c r="AF120" i="2"/>
  <c r="AF144" i="2"/>
  <c r="AF153" i="2"/>
  <c r="AF42" i="2"/>
  <c r="AF63" i="2"/>
  <c r="AF114" i="2"/>
  <c r="AF59" i="2"/>
  <c r="AG58" i="2"/>
  <c r="AG25" i="2"/>
  <c r="AF44" i="2"/>
  <c r="AF56" i="2"/>
  <c r="AF88" i="2"/>
  <c r="AF91" i="2"/>
  <c r="AF94" i="2"/>
  <c r="AF97" i="2"/>
  <c r="AF103" i="2"/>
  <c r="AF109" i="2"/>
  <c r="AF118" i="2"/>
  <c r="AF121" i="2"/>
  <c r="AF124" i="2"/>
  <c r="AF127" i="2"/>
  <c r="AF130" i="2"/>
  <c r="AF133" i="2"/>
  <c r="AF142" i="2"/>
  <c r="AF145" i="2"/>
  <c r="AF157" i="2"/>
  <c r="AF160" i="2"/>
  <c r="AF163" i="2"/>
  <c r="AF65" i="2"/>
  <c r="AF129" i="2"/>
  <c r="AF162" i="2"/>
  <c r="AF33" i="2"/>
  <c r="AF37" i="2"/>
  <c r="AG16" i="2"/>
  <c r="AF77" i="2"/>
  <c r="AF167" i="2"/>
  <c r="AJ115" i="5"/>
  <c r="BD115" i="5"/>
  <c r="H120" i="5"/>
  <c r="P120" i="5"/>
  <c r="G69" i="5"/>
  <c r="AJ69" i="5" s="1"/>
  <c r="G19" i="5"/>
  <c r="L19" i="5" s="1"/>
  <c r="E19" i="4"/>
  <c r="G14" i="5"/>
  <c r="BD14" i="5" s="1"/>
  <c r="E14" i="4"/>
  <c r="G84" i="5"/>
  <c r="AZ84" i="5" s="1"/>
  <c r="G89" i="5"/>
  <c r="G74" i="5"/>
  <c r="G79" i="5"/>
  <c r="G99" i="5"/>
  <c r="G44" i="5"/>
  <c r="G39" i="5"/>
  <c r="E29" i="4"/>
  <c r="G29" i="5"/>
  <c r="H29" i="5" s="1"/>
  <c r="G94" i="5"/>
  <c r="G34" i="5"/>
  <c r="E34" i="4"/>
  <c r="AF115" i="5"/>
  <c r="BD120" i="5"/>
  <c r="G24" i="5"/>
  <c r="H24" i="5" s="1"/>
  <c r="AN115" i="5"/>
  <c r="AZ115" i="5"/>
  <c r="H115" i="5"/>
  <c r="AF120" i="5"/>
  <c r="T120" i="5"/>
  <c r="L115" i="5"/>
  <c r="AJ120" i="5"/>
  <c r="P115" i="5"/>
  <c r="AN120" i="5"/>
  <c r="T115" i="5"/>
  <c r="U119" i="2" a="1"/>
  <c r="U119" i="2" s="1"/>
  <c r="I59" i="13" s="1"/>
  <c r="U70" i="2" a="1"/>
  <c r="U70" i="2" s="1"/>
  <c r="I137" i="13" s="1"/>
  <c r="U58" i="2" a="1"/>
  <c r="U58" i="2" s="1"/>
  <c r="I127" i="13" s="1"/>
  <c r="U166" i="2" a="1"/>
  <c r="U166" i="2" s="1"/>
  <c r="I33" i="13" s="1"/>
  <c r="U164" i="2" a="1"/>
  <c r="U164" i="2" s="1"/>
  <c r="I32" i="13" s="1"/>
  <c r="U152" i="2" a="1"/>
  <c r="U152" i="2" s="1"/>
  <c r="I62" i="13" s="1"/>
  <c r="U140" i="2" a="1"/>
  <c r="U140" i="2" s="1"/>
  <c r="I75" i="13" s="1"/>
  <c r="T104" i="2" a="1"/>
  <c r="T104" i="2" s="1"/>
  <c r="H125" i="13" s="1"/>
  <c r="T92" i="2" a="1"/>
  <c r="T92" i="2" s="1"/>
  <c r="H114" i="13" s="1"/>
  <c r="U46" i="2" a="1"/>
  <c r="U46" i="2" s="1"/>
  <c r="I115" i="13" s="1"/>
  <c r="U34" i="2" a="1"/>
  <c r="U34" i="2" s="1"/>
  <c r="I100" i="13" s="1"/>
  <c r="U18" i="2" a="1"/>
  <c r="U18" i="2" s="1"/>
  <c r="I109" i="13" s="1"/>
  <c r="U154" i="2" a="1"/>
  <c r="U154" i="2" s="1"/>
  <c r="I157" i="13" s="1"/>
  <c r="U130" i="2" a="1"/>
  <c r="U130" i="2" s="1"/>
  <c r="I165" i="13" s="1"/>
  <c r="U106" i="2" a="1"/>
  <c r="U106" i="2" s="1"/>
  <c r="I85" i="13" s="1"/>
  <c r="U94" i="2" a="1"/>
  <c r="U94" i="2" s="1"/>
  <c r="I82" i="13" s="1"/>
  <c r="U142" i="2" a="1"/>
  <c r="U142" i="2" s="1"/>
  <c r="I90" i="13" s="1"/>
  <c r="U118" i="2" a="1"/>
  <c r="U118" i="2" s="1"/>
  <c r="I87" i="13" s="1"/>
  <c r="U82" i="2" a="1"/>
  <c r="U82" i="2" s="1"/>
  <c r="I150" i="13" s="1"/>
  <c r="T68" i="2" a="1"/>
  <c r="T68" i="2" s="1"/>
  <c r="H16" i="13" s="1"/>
  <c r="T55" i="2" a="1"/>
  <c r="T55" i="2" s="1"/>
  <c r="H121" i="13" s="1"/>
  <c r="T139" i="2" a="1"/>
  <c r="T139" i="2" s="1"/>
  <c r="H135" i="13" s="1"/>
  <c r="T91" i="2" a="1"/>
  <c r="T91" i="2" s="1"/>
  <c r="H11" i="13" s="1"/>
  <c r="U33" i="2" a="1"/>
  <c r="U33" i="2" s="1"/>
  <c r="I94" i="13" s="1"/>
  <c r="U19" i="2" a="1"/>
  <c r="U19" i="2" s="1"/>
  <c r="I29" i="13" s="1"/>
  <c r="U159" i="2" a="1"/>
  <c r="U159" i="2" s="1"/>
  <c r="I8" i="13" s="1"/>
  <c r="U147" i="2" a="1"/>
  <c r="U147" i="2" s="1"/>
  <c r="I123" i="13" s="1"/>
  <c r="U135" i="2" a="1"/>
  <c r="U135" i="2" s="1"/>
  <c r="I13" i="13" s="1"/>
  <c r="U99" i="2" a="1"/>
  <c r="U99" i="2" s="1"/>
  <c r="I57" i="13" s="1"/>
  <c r="U87" i="2" a="1"/>
  <c r="U87" i="2" s="1"/>
  <c r="I55" i="13" s="1"/>
  <c r="U41" i="2" a="1"/>
  <c r="U41" i="2" s="1"/>
  <c r="I35" i="13" s="1"/>
  <c r="U73" i="2" a="1"/>
  <c r="U73" i="2" s="1"/>
  <c r="I39" i="13" s="1"/>
  <c r="U39" i="2" a="1"/>
  <c r="U39" i="2" s="1"/>
  <c r="I154" i="13" s="1"/>
  <c r="U25" i="2" a="1"/>
  <c r="U25" i="2" s="1"/>
  <c r="I92" i="13" s="1"/>
  <c r="U143" i="2" a="1"/>
  <c r="U143" i="2" s="1"/>
  <c r="I61" i="13" s="1"/>
  <c r="U3" i="2" a="1"/>
  <c r="U3" i="2" s="1"/>
  <c r="I103" i="13" s="1"/>
  <c r="T69" i="2" a="1"/>
  <c r="T69" i="2" s="1"/>
  <c r="H112" i="13" s="1"/>
  <c r="T57" i="2" a="1"/>
  <c r="T57" i="2" s="1"/>
  <c r="H38" i="13" s="1"/>
  <c r="U165" i="2" a="1"/>
  <c r="U165" i="2" s="1"/>
  <c r="I30" i="13" s="1"/>
  <c r="T8" i="2" a="1"/>
  <c r="T8" i="2" s="1"/>
  <c r="H106" i="13" s="1"/>
  <c r="T49" i="2" a="1"/>
  <c r="T49" i="2" s="1"/>
  <c r="H36" i="13" s="1"/>
  <c r="U49" i="2" a="1"/>
  <c r="U49" i="2" s="1"/>
  <c r="I36" i="13" s="1"/>
  <c r="U55" i="2" a="1"/>
  <c r="U55" i="2" s="1"/>
  <c r="I121" i="13" s="1"/>
  <c r="U128" i="2" a="1"/>
  <c r="U128" i="2" s="1"/>
  <c r="I148" i="13" s="1"/>
  <c r="U67" i="2" a="1"/>
  <c r="U67" i="2" s="1"/>
  <c r="I10" i="13" s="1"/>
  <c r="T67" i="2" a="1"/>
  <c r="T67" i="2" s="1"/>
  <c r="H10" i="13" s="1"/>
  <c r="T116" i="2" a="1"/>
  <c r="T116" i="2" s="1"/>
  <c r="H136" i="13" s="1"/>
  <c r="T34" i="2" a="1"/>
  <c r="T34" i="2" s="1"/>
  <c r="H100" i="13" s="1"/>
  <c r="U116" i="2" a="1"/>
  <c r="U116" i="2" s="1"/>
  <c r="I136" i="13" s="1"/>
  <c r="T37" i="2" a="1"/>
  <c r="T37" i="2" s="1"/>
  <c r="H34" i="13" s="1"/>
  <c r="U92" i="2" a="1"/>
  <c r="U92" i="2" s="1"/>
  <c r="I114" i="13" s="1"/>
  <c r="U104" i="2" a="1"/>
  <c r="U104" i="2" s="1"/>
  <c r="I125" i="13" s="1"/>
  <c r="T46" i="2" a="1"/>
  <c r="T46" i="2" s="1"/>
  <c r="H115" i="13" s="1"/>
  <c r="T128" i="2" a="1"/>
  <c r="T128" i="2" s="1"/>
  <c r="H148" i="13" s="1"/>
  <c r="T97" i="2" a="1"/>
  <c r="T97" i="2" s="1"/>
  <c r="H41" i="13" s="1"/>
  <c r="U97" i="2" a="1"/>
  <c r="U97" i="2" s="1"/>
  <c r="I41" i="13" s="1"/>
  <c r="U158" i="2" a="1"/>
  <c r="U158" i="2" s="1"/>
  <c r="I20" i="13" s="1"/>
  <c r="T146" i="2" a="1"/>
  <c r="T146" i="2" s="1"/>
  <c r="H91" i="13" s="1"/>
  <c r="T134" i="2" a="1"/>
  <c r="T134" i="2" s="1"/>
  <c r="H25" i="13" s="1"/>
  <c r="U122" i="2" a="1"/>
  <c r="U122" i="2" s="1"/>
  <c r="I88" i="13" s="1"/>
  <c r="T110" i="2" a="1"/>
  <c r="T110" i="2" s="1"/>
  <c r="H86" i="13" s="1"/>
  <c r="U98" i="2" a="1"/>
  <c r="U98" i="2" s="1"/>
  <c r="I83" i="13" s="1"/>
  <c r="U61" i="2" a="1"/>
  <c r="U61" i="2" s="1"/>
  <c r="I161" i="13" s="1"/>
  <c r="T61" i="2" a="1"/>
  <c r="T61" i="2" s="1"/>
  <c r="H161" i="13" s="1"/>
  <c r="U109" i="2" a="1"/>
  <c r="U109" i="2" s="1"/>
  <c r="I141" i="13" s="1"/>
  <c r="T73" i="2" a="1"/>
  <c r="T73" i="2" s="1"/>
  <c r="H39" i="13" s="1"/>
  <c r="U157" i="2" a="1"/>
  <c r="U157" i="2" s="1"/>
  <c r="I2" i="13" s="1"/>
  <c r="T145" i="2" a="1"/>
  <c r="T145" i="2" s="1"/>
  <c r="H48" i="13" s="1"/>
  <c r="T133" i="2" a="1"/>
  <c r="T133" i="2" s="1"/>
  <c r="H46" i="13" s="1"/>
  <c r="U13" i="2" a="1"/>
  <c r="U13" i="2" s="1"/>
  <c r="I152" i="13" s="1"/>
  <c r="T13" i="2" a="1"/>
  <c r="T13" i="2" s="1"/>
  <c r="H152" i="13" s="1"/>
  <c r="U2" i="2" a="1"/>
  <c r="U2" i="2" s="1"/>
  <c r="T85" i="2" a="1"/>
  <c r="T85" i="2" s="1"/>
  <c r="H153" i="13" s="1"/>
  <c r="U71" i="2" a="1"/>
  <c r="U71" i="2" s="1"/>
  <c r="I51" i="13" s="1"/>
  <c r="U85" i="2" a="1"/>
  <c r="U85" i="2" s="1"/>
  <c r="I153" i="13" s="1"/>
  <c r="U59" i="2" a="1"/>
  <c r="U59" i="2" s="1"/>
  <c r="I144" i="13" s="1"/>
  <c r="T153" i="2" a="1"/>
  <c r="T153" i="2" s="1"/>
  <c r="H160" i="13" s="1"/>
  <c r="U141" i="2" a="1"/>
  <c r="U141" i="2" s="1"/>
  <c r="I47" i="13" s="1"/>
  <c r="T129" i="2" a="1"/>
  <c r="T129" i="2" s="1"/>
  <c r="H45" i="13" s="1"/>
  <c r="U129" i="2" a="1"/>
  <c r="U129" i="2" s="1"/>
  <c r="I45" i="13" s="1"/>
  <c r="U117" i="2" a="1"/>
  <c r="U117" i="2" s="1"/>
  <c r="I42" i="13" s="1"/>
  <c r="T93" i="2" a="1"/>
  <c r="T93" i="2" s="1"/>
  <c r="H133" i="13" s="1"/>
  <c r="U81" i="2" a="1"/>
  <c r="U81" i="2" s="1"/>
  <c r="I118" i="13" s="1"/>
  <c r="U47" i="2" a="1"/>
  <c r="U47" i="2" s="1"/>
  <c r="I134" i="13" s="1"/>
  <c r="U35" i="2" a="1"/>
  <c r="U35" i="2" s="1"/>
  <c r="I120" i="13" s="1"/>
  <c r="U68" i="2" a="1"/>
  <c r="U68" i="2" s="1"/>
  <c r="I16" i="13" s="1"/>
  <c r="U56" i="2" a="1"/>
  <c r="U56" i="2" s="1"/>
  <c r="I66" i="13" s="1"/>
  <c r="U5" i="2" a="1"/>
  <c r="U5" i="2" s="1"/>
  <c r="I102" i="13" s="1"/>
  <c r="U133" i="2" a="1"/>
  <c r="U133" i="2" s="1"/>
  <c r="I46" i="13" s="1"/>
  <c r="U132" i="2" a="1"/>
  <c r="U132" i="2" s="1"/>
  <c r="I149" i="13" s="1"/>
  <c r="T27" i="2" a="1"/>
  <c r="T27" i="2" s="1"/>
  <c r="H95" i="13" s="1"/>
  <c r="U27" i="2" a="1"/>
  <c r="U27" i="2" s="1"/>
  <c r="I95" i="13" s="1"/>
  <c r="U163" i="2" a="1"/>
  <c r="U163" i="2" s="1"/>
  <c r="I31" i="13" s="1"/>
  <c r="T163" i="2" a="1"/>
  <c r="T163" i="2" s="1"/>
  <c r="H31" i="13" s="1"/>
  <c r="U139" i="2" a="1"/>
  <c r="U139" i="2" s="1"/>
  <c r="I135" i="13" s="1"/>
  <c r="T127" i="2" a="1"/>
  <c r="T127" i="2" s="1"/>
  <c r="H122" i="13" s="1"/>
  <c r="T115" i="2" a="1"/>
  <c r="T115" i="2" s="1"/>
  <c r="H113" i="13" s="1"/>
  <c r="U103" i="2" a="1"/>
  <c r="U103" i="2" s="1"/>
  <c r="I58" i="13" s="1"/>
  <c r="T103" i="2" a="1"/>
  <c r="T103" i="2" s="1"/>
  <c r="H58" i="13" s="1"/>
  <c r="U91" i="2" a="1"/>
  <c r="U91" i="2" s="1"/>
  <c r="I11" i="13" s="1"/>
  <c r="T79" i="2" a="1"/>
  <c r="T79" i="2" s="1"/>
  <c r="H53" i="13" s="1"/>
  <c r="U79" i="2" a="1"/>
  <c r="U79" i="2" s="1"/>
  <c r="I53" i="13" s="1"/>
  <c r="T45" i="2" a="1"/>
  <c r="T45" i="2" s="1"/>
  <c r="H3" i="13" s="1"/>
  <c r="U45" i="2" a="1"/>
  <c r="U45" i="2" s="1"/>
  <c r="I3" i="13" s="1"/>
  <c r="T33" i="2" a="1"/>
  <c r="T33" i="2" s="1"/>
  <c r="H94" i="13" s="1"/>
  <c r="U66" i="2" a="1"/>
  <c r="U66" i="2" s="1"/>
  <c r="I22" i="13" s="1"/>
  <c r="U54" i="2" a="1"/>
  <c r="U54" i="2" s="1"/>
  <c r="I80" i="13" s="1"/>
  <c r="U7" i="2" a="1"/>
  <c r="U7" i="2" s="1"/>
  <c r="I104" i="13" s="1"/>
  <c r="T7" i="2" a="1"/>
  <c r="T7" i="2" s="1"/>
  <c r="H104" i="13" s="1"/>
  <c r="T19" i="2" a="1"/>
  <c r="T19" i="2" s="1"/>
  <c r="H29" i="13" s="1"/>
  <c r="U93" i="2" a="1"/>
  <c r="U93" i="2" s="1"/>
  <c r="I133" i="13" s="1"/>
  <c r="U145" i="2" a="1"/>
  <c r="U145" i="2" s="1"/>
  <c r="I48" i="13" s="1"/>
  <c r="U121" i="2" a="1"/>
  <c r="U121" i="2" s="1"/>
  <c r="I43" i="13" s="1"/>
  <c r="T121" i="2" a="1"/>
  <c r="T121" i="2" s="1"/>
  <c r="H43" i="13" s="1"/>
  <c r="U144" i="2" a="1"/>
  <c r="U144" i="2" s="1"/>
  <c r="I76" i="13" s="1"/>
  <c r="U120" i="2" a="1"/>
  <c r="U120" i="2" s="1"/>
  <c r="I74" i="13" s="1"/>
  <c r="T38" i="2" a="1"/>
  <c r="T38" i="2" s="1"/>
  <c r="H164" i="13" s="1"/>
  <c r="U162" i="2" a="1"/>
  <c r="U162" i="2" s="1"/>
  <c r="I132" i="13" s="1"/>
  <c r="U150" i="2" a="1"/>
  <c r="U150" i="2" s="1"/>
  <c r="I129" i="13" s="1"/>
  <c r="U138" i="2" a="1"/>
  <c r="U138" i="2" s="1"/>
  <c r="I116" i="13" s="1"/>
  <c r="U126" i="2" a="1"/>
  <c r="U126" i="2" s="1"/>
  <c r="I89" i="13" s="1"/>
  <c r="U114" i="2" a="1"/>
  <c r="U114" i="2" s="1"/>
  <c r="I24" i="13" s="1"/>
  <c r="U102" i="2" a="1"/>
  <c r="U102" i="2" s="1"/>
  <c r="I84" i="13" s="1"/>
  <c r="U90" i="2" a="1"/>
  <c r="U90" i="2" s="1"/>
  <c r="I23" i="13" s="1"/>
  <c r="U44" i="2" a="1"/>
  <c r="U44" i="2" s="1"/>
  <c r="I15" i="13" s="1"/>
  <c r="T44" i="2" a="1"/>
  <c r="T44" i="2" s="1"/>
  <c r="H15" i="13" s="1"/>
  <c r="U32" i="2" a="1"/>
  <c r="U32" i="2" s="1"/>
  <c r="I130" i="13" s="1"/>
  <c r="T32" i="2" a="1"/>
  <c r="T32" i="2" s="1"/>
  <c r="H130" i="13" s="1"/>
  <c r="U53" i="2" a="1"/>
  <c r="U53" i="2" s="1"/>
  <c r="I37" i="13" s="1"/>
  <c r="U20" i="2" a="1"/>
  <c r="U20" i="2" s="1"/>
  <c r="I27" i="13" s="1"/>
  <c r="T151" i="2" a="1"/>
  <c r="T151" i="2" s="1"/>
  <c r="H142" i="13" s="1"/>
  <c r="U21" i="2" a="1"/>
  <c r="U21" i="2" s="1"/>
  <c r="I26" i="13" s="1"/>
  <c r="T20" i="2" a="1"/>
  <c r="T20" i="2" s="1"/>
  <c r="H27" i="13" s="1"/>
  <c r="T56" i="2" a="1"/>
  <c r="T56" i="2" s="1"/>
  <c r="H66" i="13" s="1"/>
  <c r="U105" i="2" a="1"/>
  <c r="U105" i="2" s="1"/>
  <c r="I140" i="13" s="1"/>
  <c r="U151" i="2" a="1"/>
  <c r="U151" i="2" s="1"/>
  <c r="I142" i="13" s="1"/>
  <c r="T39" i="2" a="1"/>
  <c r="T39" i="2" s="1"/>
  <c r="H154" i="13" s="1"/>
  <c r="U156" i="2" a="1"/>
  <c r="U156" i="2" s="1"/>
  <c r="I63" i="13" s="1"/>
  <c r="U14" i="2" a="1"/>
  <c r="U14" i="2" s="1"/>
  <c r="I108" i="13" s="1"/>
  <c r="T14" i="2" a="1"/>
  <c r="T14" i="2" s="1"/>
  <c r="H108" i="13" s="1"/>
  <c r="U161" i="2" a="1"/>
  <c r="U161" i="2" s="1"/>
  <c r="I111" i="13" s="1"/>
  <c r="U125" i="2" a="1"/>
  <c r="U125" i="2" s="1"/>
  <c r="I44" i="13" s="1"/>
  <c r="U43" i="2" a="1"/>
  <c r="U43" i="2" s="1"/>
  <c r="I9" i="13" s="1"/>
  <c r="T43" i="2" a="1"/>
  <c r="T43" i="2" s="1"/>
  <c r="H9" i="13" s="1"/>
  <c r="U9" i="2" a="1"/>
  <c r="U9" i="2" s="1"/>
  <c r="I131" i="13" s="1"/>
  <c r="U160" i="2" a="1"/>
  <c r="U160" i="2" s="1"/>
  <c r="I14" i="13" s="1"/>
  <c r="U148" i="2" a="1"/>
  <c r="U148" i="2" s="1"/>
  <c r="I77" i="13" s="1"/>
  <c r="U136" i="2" a="1"/>
  <c r="U136" i="2" s="1"/>
  <c r="I19" i="13" s="1"/>
  <c r="U124" i="2" a="1"/>
  <c r="U124" i="2" s="1"/>
  <c r="I126" i="13" s="1"/>
  <c r="U112" i="2" a="1"/>
  <c r="U112" i="2" s="1"/>
  <c r="I18" i="13" s="1"/>
  <c r="U88" i="2" a="1"/>
  <c r="U88" i="2" s="1"/>
  <c r="I17" i="13" s="1"/>
  <c r="U42" i="2" a="1"/>
  <c r="U42" i="2" s="1"/>
  <c r="I21" i="13" s="1"/>
  <c r="U30" i="2" a="1"/>
  <c r="U30" i="2" s="1"/>
  <c r="I99" i="13" s="1"/>
  <c r="U63" i="2" a="1"/>
  <c r="U63" i="2" s="1"/>
  <c r="I145" i="13" s="1"/>
  <c r="T25" i="2" a="1"/>
  <c r="T25" i="2" s="1"/>
  <c r="H92" i="13" s="1"/>
  <c r="T109" i="2" a="1"/>
  <c r="T109" i="2" s="1"/>
  <c r="H141" i="13" s="1"/>
  <c r="U153" i="2" a="1"/>
  <c r="U153" i="2" s="1"/>
  <c r="I160" i="13" s="1"/>
  <c r="U31" i="2" a="1"/>
  <c r="U31" i="2" s="1"/>
  <c r="I96" i="13" s="1"/>
  <c r="T31" i="2" a="1"/>
  <c r="T31" i="2" s="1"/>
  <c r="H96" i="13" s="1"/>
  <c r="U64" i="2" a="1"/>
  <c r="U64" i="2" s="1"/>
  <c r="I68" i="13" s="1"/>
  <c r="T64" i="2" a="1"/>
  <c r="T64" i="2" s="1"/>
  <c r="H68" i="13" s="1"/>
  <c r="T52" i="2" a="1"/>
  <c r="T52" i="2" s="1"/>
  <c r="H65" i="13" s="1"/>
  <c r="U115" i="2" a="1"/>
  <c r="U115" i="2" s="1"/>
  <c r="I113" i="13" s="1"/>
  <c r="T157" i="2" a="1"/>
  <c r="T157" i="2" s="1"/>
  <c r="H2" i="13" s="1"/>
  <c r="U37" i="2" a="1"/>
  <c r="U37" i="2" s="1"/>
  <c r="I34" i="13" s="1"/>
  <c r="T152" i="2" a="1"/>
  <c r="T152" i="2" s="1"/>
  <c r="H62" i="13" s="1"/>
  <c r="U69" i="2" a="1"/>
  <c r="U69" i="2" s="1"/>
  <c r="I112" i="13" s="1"/>
  <c r="U57" i="2" a="1"/>
  <c r="U57" i="2" s="1"/>
  <c r="I38" i="13" s="1"/>
  <c r="T140" i="2" a="1"/>
  <c r="T140" i="2" s="1"/>
  <c r="H75" i="13" s="1"/>
  <c r="T80" i="2" a="1"/>
  <c r="T80" i="2" s="1"/>
  <c r="H71" i="13" s="1"/>
  <c r="U80" i="2" a="1"/>
  <c r="U80" i="2" s="1"/>
  <c r="I71" i="13" s="1"/>
  <c r="T164" i="2" a="1"/>
  <c r="T164" i="2" s="1"/>
  <c r="H32" i="13" s="1"/>
  <c r="T50" i="2" a="1"/>
  <c r="T50" i="2" s="1"/>
  <c r="H79" i="13" s="1"/>
  <c r="T74" i="2" a="1"/>
  <c r="T74" i="2" s="1"/>
  <c r="H81" i="13" s="1"/>
  <c r="T98" i="2" a="1"/>
  <c r="T98" i="2" s="1"/>
  <c r="H83" i="13" s="1"/>
  <c r="T122" i="2" a="1"/>
  <c r="T122" i="2" s="1"/>
  <c r="H88" i="13" s="1"/>
  <c r="T158" i="2" a="1"/>
  <c r="T158" i="2" s="1"/>
  <c r="H20" i="13" s="1"/>
  <c r="U26" i="2" a="1"/>
  <c r="U26" i="2" s="1"/>
  <c r="I98" i="13" s="1"/>
  <c r="U62" i="2" a="1"/>
  <c r="U62" i="2" s="1"/>
  <c r="I158" i="13" s="1"/>
  <c r="U74" i="2" a="1"/>
  <c r="U74" i="2" s="1"/>
  <c r="I81" i="13" s="1"/>
  <c r="U86" i="2" a="1"/>
  <c r="U86" i="2" s="1"/>
  <c r="I151" i="13" s="1"/>
  <c r="U110" i="2" a="1"/>
  <c r="U110" i="2" s="1"/>
  <c r="I86" i="13" s="1"/>
  <c r="U134" i="2" a="1"/>
  <c r="U134" i="2" s="1"/>
  <c r="I25" i="13" s="1"/>
  <c r="U146" i="2" a="1"/>
  <c r="U146" i="2" s="1"/>
  <c r="I91" i="13" s="1"/>
  <c r="T26" i="2" a="1"/>
  <c r="T26" i="2" s="1"/>
  <c r="H98" i="13" s="1"/>
  <c r="T62" i="2" a="1"/>
  <c r="T62" i="2" s="1"/>
  <c r="H158" i="13" s="1"/>
  <c r="T86" i="2" a="1"/>
  <c r="T86" i="2" s="1"/>
  <c r="H151" i="13" s="1"/>
  <c r="T3" i="2" a="1"/>
  <c r="T3" i="2" s="1"/>
  <c r="H103" i="13" s="1"/>
  <c r="T9" i="2" a="1"/>
  <c r="T9" i="2" s="1"/>
  <c r="H131" i="13" s="1"/>
  <c r="T15" i="2" a="1"/>
  <c r="T15" i="2" s="1"/>
  <c r="H166" i="13" s="1"/>
  <c r="T21" i="2" a="1"/>
  <c r="T21" i="2" s="1"/>
  <c r="H26" i="13" s="1"/>
  <c r="T51" i="2" a="1"/>
  <c r="T51" i="2" s="1"/>
  <c r="H50" i="13" s="1"/>
  <c r="T63" i="2" a="1"/>
  <c r="T63" i="2" s="1"/>
  <c r="H145" i="13" s="1"/>
  <c r="T75" i="2" a="1"/>
  <c r="T75" i="2" s="1"/>
  <c r="H52" i="13" s="1"/>
  <c r="T81" i="2" a="1"/>
  <c r="T81" i="2" s="1"/>
  <c r="H118" i="13" s="1"/>
  <c r="T87" i="2" a="1"/>
  <c r="T87" i="2" s="1"/>
  <c r="H55" i="13" s="1"/>
  <c r="T99" i="2" a="1"/>
  <c r="T99" i="2" s="1"/>
  <c r="H57" i="13" s="1"/>
  <c r="T105" i="2" a="1"/>
  <c r="T105" i="2" s="1"/>
  <c r="H140" i="13" s="1"/>
  <c r="T111" i="2" a="1"/>
  <c r="T111" i="2" s="1"/>
  <c r="H12" i="13" s="1"/>
  <c r="T117" i="2" a="1"/>
  <c r="T117" i="2" s="1"/>
  <c r="H42" i="13" s="1"/>
  <c r="T123" i="2" a="1"/>
  <c r="T123" i="2" s="1"/>
  <c r="H60" i="13" s="1"/>
  <c r="T135" i="2" a="1"/>
  <c r="T135" i="2" s="1"/>
  <c r="H13" i="13" s="1"/>
  <c r="T141" i="2" a="1"/>
  <c r="T141" i="2" s="1"/>
  <c r="H47" i="13" s="1"/>
  <c r="T147" i="2" a="1"/>
  <c r="T147" i="2" s="1"/>
  <c r="H123" i="13" s="1"/>
  <c r="T159" i="2" a="1"/>
  <c r="T159" i="2" s="1"/>
  <c r="H8" i="13" s="1"/>
  <c r="T165" i="2" a="1"/>
  <c r="T165" i="2" s="1"/>
  <c r="H30" i="13" s="1"/>
  <c r="U75" i="2" a="1"/>
  <c r="U75" i="2" s="1"/>
  <c r="I52" i="13" s="1"/>
  <c r="T4" i="2" a="1"/>
  <c r="T4" i="2" s="1"/>
  <c r="H105" i="13" s="1"/>
  <c r="T10" i="2" a="1"/>
  <c r="T10" i="2" s="1"/>
  <c r="H78" i="13" s="1"/>
  <c r="T16" i="2" a="1"/>
  <c r="T16" i="2" s="1"/>
  <c r="H159" i="13" s="1"/>
  <c r="T22" i="2" a="1"/>
  <c r="T22" i="2" s="1"/>
  <c r="H28" i="13" s="1"/>
  <c r="T28" i="2" a="1"/>
  <c r="T28" i="2" s="1"/>
  <c r="H97" i="13" s="1"/>
  <c r="T40" i="2" a="1"/>
  <c r="T40" i="2" s="1"/>
  <c r="H147" i="13" s="1"/>
  <c r="T58" i="2" a="1"/>
  <c r="T58" i="2" s="1"/>
  <c r="H127" i="13" s="1"/>
  <c r="T70" i="2" a="1"/>
  <c r="T70" i="2" s="1"/>
  <c r="H137" i="13" s="1"/>
  <c r="T76" i="2" a="1"/>
  <c r="T76" i="2" s="1"/>
  <c r="H70" i="13" s="1"/>
  <c r="T82" i="2" a="1"/>
  <c r="T82" i="2" s="1"/>
  <c r="H150" i="13" s="1"/>
  <c r="T88" i="2" a="1"/>
  <c r="T88" i="2" s="1"/>
  <c r="H17" i="13" s="1"/>
  <c r="T94" i="2" a="1"/>
  <c r="T94" i="2" s="1"/>
  <c r="H82" i="13" s="1"/>
  <c r="T100" i="2" a="1"/>
  <c r="T100" i="2" s="1"/>
  <c r="H73" i="13" s="1"/>
  <c r="T106" i="2" a="1"/>
  <c r="T106" i="2" s="1"/>
  <c r="H85" i="13" s="1"/>
  <c r="T112" i="2" a="1"/>
  <c r="T112" i="2" s="1"/>
  <c r="H18" i="13" s="1"/>
  <c r="T118" i="2" a="1"/>
  <c r="T118" i="2" s="1"/>
  <c r="H87" i="13" s="1"/>
  <c r="T124" i="2" a="1"/>
  <c r="T124" i="2" s="1"/>
  <c r="H126" i="13" s="1"/>
  <c r="T130" i="2" a="1"/>
  <c r="T130" i="2" s="1"/>
  <c r="H165" i="13" s="1"/>
  <c r="T136" i="2" a="1"/>
  <c r="T136" i="2" s="1"/>
  <c r="H19" i="13" s="1"/>
  <c r="T142" i="2" a="1"/>
  <c r="T142" i="2" s="1"/>
  <c r="H90" i="13" s="1"/>
  <c r="T148" i="2" a="1"/>
  <c r="T148" i="2" s="1"/>
  <c r="H77" i="13" s="1"/>
  <c r="T154" i="2" a="1"/>
  <c r="T154" i="2" s="1"/>
  <c r="H157" i="13" s="1"/>
  <c r="T160" i="2" a="1"/>
  <c r="T160" i="2" s="1"/>
  <c r="H14" i="13" s="1"/>
  <c r="T166" i="2" a="1"/>
  <c r="T166" i="2" s="1"/>
  <c r="H33" i="13" s="1"/>
  <c r="U4" i="2" a="1"/>
  <c r="U4" i="2" s="1"/>
  <c r="I105" i="13" s="1"/>
  <c r="U10" i="2" a="1"/>
  <c r="U10" i="2" s="1"/>
  <c r="I78" i="13" s="1"/>
  <c r="U16" i="2" a="1"/>
  <c r="U16" i="2" s="1"/>
  <c r="I159" i="13" s="1"/>
  <c r="U22" i="2" a="1"/>
  <c r="U22" i="2" s="1"/>
  <c r="I28" i="13" s="1"/>
  <c r="U28" i="2" a="1"/>
  <c r="U28" i="2" s="1"/>
  <c r="I97" i="13" s="1"/>
  <c r="U40" i="2" a="1"/>
  <c r="U40" i="2" s="1"/>
  <c r="I147" i="13" s="1"/>
  <c r="U52" i="2" a="1"/>
  <c r="U52" i="2" s="1"/>
  <c r="I65" i="13" s="1"/>
  <c r="U76" i="2" a="1"/>
  <c r="U76" i="2" s="1"/>
  <c r="I70" i="13" s="1"/>
  <c r="U100" i="2" a="1"/>
  <c r="U100" i="2" s="1"/>
  <c r="I73" i="13" s="1"/>
  <c r="U15" i="2" a="1"/>
  <c r="U15" i="2" s="1"/>
  <c r="I166" i="13" s="1"/>
  <c r="T5" i="2" a="1"/>
  <c r="T5" i="2" s="1"/>
  <c r="H102" i="13" s="1"/>
  <c r="T11" i="2" a="1"/>
  <c r="T11" i="2" s="1"/>
  <c r="H110" i="13" s="1"/>
  <c r="T17" i="2" a="1"/>
  <c r="T17" i="2" s="1"/>
  <c r="H139" i="13" s="1"/>
  <c r="T23" i="2" a="1"/>
  <c r="T23" i="2" s="1"/>
  <c r="H117" i="13" s="1"/>
  <c r="T29" i="2" a="1"/>
  <c r="T29" i="2" s="1"/>
  <c r="H93" i="13" s="1"/>
  <c r="T35" i="2" a="1"/>
  <c r="T35" i="2" s="1"/>
  <c r="H120" i="13" s="1"/>
  <c r="T41" i="2" a="1"/>
  <c r="T41" i="2" s="1"/>
  <c r="H35" i="13" s="1"/>
  <c r="T47" i="2" a="1"/>
  <c r="T47" i="2" s="1"/>
  <c r="H134" i="13" s="1"/>
  <c r="T53" i="2" a="1"/>
  <c r="T53" i="2" s="1"/>
  <c r="H37" i="13" s="1"/>
  <c r="T59" i="2" a="1"/>
  <c r="T59" i="2" s="1"/>
  <c r="H144" i="13" s="1"/>
  <c r="T65" i="2" a="1"/>
  <c r="T65" i="2" s="1"/>
  <c r="H4" i="13" s="1"/>
  <c r="T71" i="2" a="1"/>
  <c r="T71" i="2" s="1"/>
  <c r="H51" i="13" s="1"/>
  <c r="T77" i="2" a="1"/>
  <c r="T77" i="2" s="1"/>
  <c r="H40" i="13" s="1"/>
  <c r="T83" i="2" a="1"/>
  <c r="T83" i="2" s="1"/>
  <c r="H54" i="13" s="1"/>
  <c r="T89" i="2" a="1"/>
  <c r="T89" i="2" s="1"/>
  <c r="H5" i="13" s="1"/>
  <c r="T95" i="2" a="1"/>
  <c r="T95" i="2" s="1"/>
  <c r="H56" i="13" s="1"/>
  <c r="T101" i="2" a="1"/>
  <c r="T101" i="2" s="1"/>
  <c r="H119" i="13" s="1"/>
  <c r="T107" i="2" a="1"/>
  <c r="T107" i="2" s="1"/>
  <c r="H162" i="13" s="1"/>
  <c r="T113" i="2" a="1"/>
  <c r="T113" i="2" s="1"/>
  <c r="H6" i="13" s="1"/>
  <c r="T119" i="2" a="1"/>
  <c r="T119" i="2" s="1"/>
  <c r="H59" i="13" s="1"/>
  <c r="T125" i="2" a="1"/>
  <c r="T125" i="2" s="1"/>
  <c r="H44" i="13" s="1"/>
  <c r="T131" i="2" a="1"/>
  <c r="T131" i="2" s="1"/>
  <c r="H155" i="13" s="1"/>
  <c r="T137" i="2" a="1"/>
  <c r="T137" i="2" s="1"/>
  <c r="H7" i="13" s="1"/>
  <c r="T143" i="2" a="1"/>
  <c r="T143" i="2" s="1"/>
  <c r="H61" i="13" s="1"/>
  <c r="T149" i="2" a="1"/>
  <c r="T149" i="2" s="1"/>
  <c r="H49" i="13" s="1"/>
  <c r="T155" i="2" a="1"/>
  <c r="T155" i="2" s="1"/>
  <c r="H143" i="13" s="1"/>
  <c r="T161" i="2" a="1"/>
  <c r="T161" i="2" s="1"/>
  <c r="H111" i="13" s="1"/>
  <c r="U51" i="2" a="1"/>
  <c r="U51" i="2" s="1"/>
  <c r="I50" i="13" s="1"/>
  <c r="U11" i="2" a="1"/>
  <c r="U11" i="2" s="1"/>
  <c r="I110" i="13" s="1"/>
  <c r="U17" i="2" a="1"/>
  <c r="U17" i="2" s="1"/>
  <c r="I139" i="13" s="1"/>
  <c r="U23" i="2" a="1"/>
  <c r="U23" i="2" s="1"/>
  <c r="I117" i="13" s="1"/>
  <c r="U29" i="2" a="1"/>
  <c r="U29" i="2" s="1"/>
  <c r="I93" i="13" s="1"/>
  <c r="U65" i="2" a="1"/>
  <c r="U65" i="2" s="1"/>
  <c r="I4" i="13" s="1"/>
  <c r="U77" i="2" a="1"/>
  <c r="U77" i="2" s="1"/>
  <c r="I40" i="13" s="1"/>
  <c r="U83" i="2" a="1"/>
  <c r="U83" i="2" s="1"/>
  <c r="I54" i="13" s="1"/>
  <c r="U89" i="2" a="1"/>
  <c r="U89" i="2" s="1"/>
  <c r="I5" i="13" s="1"/>
  <c r="U95" i="2" a="1"/>
  <c r="U95" i="2" s="1"/>
  <c r="I56" i="13" s="1"/>
  <c r="U101" i="2" a="1"/>
  <c r="U101" i="2" s="1"/>
  <c r="I119" i="13" s="1"/>
  <c r="U107" i="2" a="1"/>
  <c r="U107" i="2" s="1"/>
  <c r="I162" i="13" s="1"/>
  <c r="U113" i="2" a="1"/>
  <c r="U113" i="2" s="1"/>
  <c r="I6" i="13" s="1"/>
  <c r="U131" i="2" a="1"/>
  <c r="U131" i="2" s="1"/>
  <c r="I155" i="13" s="1"/>
  <c r="U137" i="2" a="1"/>
  <c r="U137" i="2" s="1"/>
  <c r="I7" i="13" s="1"/>
  <c r="U149" i="2" a="1"/>
  <c r="U149" i="2" s="1"/>
  <c r="I49" i="13" s="1"/>
  <c r="U155" i="2" a="1"/>
  <c r="U155" i="2" s="1"/>
  <c r="I143" i="13" s="1"/>
  <c r="T6" i="2" a="1"/>
  <c r="T6" i="2" s="1"/>
  <c r="H107" i="13" s="1"/>
  <c r="T12" i="2" a="1"/>
  <c r="T12" i="2" s="1"/>
  <c r="H124" i="13" s="1"/>
  <c r="T18" i="2" a="1"/>
  <c r="T18" i="2" s="1"/>
  <c r="H109" i="13" s="1"/>
  <c r="T24" i="2" a="1"/>
  <c r="T24" i="2" s="1"/>
  <c r="H138" i="13" s="1"/>
  <c r="T30" i="2" a="1"/>
  <c r="T30" i="2" s="1"/>
  <c r="H99" i="13" s="1"/>
  <c r="T36" i="2" a="1"/>
  <c r="T36" i="2" s="1"/>
  <c r="H146" i="13" s="1"/>
  <c r="T42" i="2" a="1"/>
  <c r="T42" i="2" s="1"/>
  <c r="H21" i="13" s="1"/>
  <c r="T48" i="2" a="1"/>
  <c r="T48" i="2" s="1"/>
  <c r="H64" i="13" s="1"/>
  <c r="T54" i="2" a="1"/>
  <c r="T54" i="2" s="1"/>
  <c r="H80" i="13" s="1"/>
  <c r="T60" i="2" a="1"/>
  <c r="T60" i="2" s="1"/>
  <c r="H67" i="13" s="1"/>
  <c r="T66" i="2" a="1"/>
  <c r="T66" i="2" s="1"/>
  <c r="H22" i="13" s="1"/>
  <c r="T72" i="2" a="1"/>
  <c r="T72" i="2" s="1"/>
  <c r="H69" i="13" s="1"/>
  <c r="T78" i="2" a="1"/>
  <c r="T78" i="2" s="1"/>
  <c r="H128" i="13" s="1"/>
  <c r="T84" i="2" a="1"/>
  <c r="T84" i="2" s="1"/>
  <c r="H163" i="13" s="1"/>
  <c r="T90" i="2" a="1"/>
  <c r="T90" i="2" s="1"/>
  <c r="H23" i="13" s="1"/>
  <c r="T96" i="2" a="1"/>
  <c r="T96" i="2" s="1"/>
  <c r="H72" i="13" s="1"/>
  <c r="T102" i="2" a="1"/>
  <c r="T102" i="2" s="1"/>
  <c r="H84" i="13" s="1"/>
  <c r="T108" i="2" a="1"/>
  <c r="T108" i="2" s="1"/>
  <c r="H156" i="13" s="1"/>
  <c r="T114" i="2" a="1"/>
  <c r="T114" i="2" s="1"/>
  <c r="H24" i="13" s="1"/>
  <c r="T120" i="2" a="1"/>
  <c r="T120" i="2" s="1"/>
  <c r="H74" i="13" s="1"/>
  <c r="T126" i="2" a="1"/>
  <c r="T126" i="2" s="1"/>
  <c r="H89" i="13" s="1"/>
  <c r="T132" i="2" a="1"/>
  <c r="T132" i="2" s="1"/>
  <c r="H149" i="13" s="1"/>
  <c r="T138" i="2" a="1"/>
  <c r="T138" i="2" s="1"/>
  <c r="H116" i="13" s="1"/>
  <c r="T144" i="2" a="1"/>
  <c r="T144" i="2" s="1"/>
  <c r="H76" i="13" s="1"/>
  <c r="T150" i="2" a="1"/>
  <c r="T150" i="2" s="1"/>
  <c r="H129" i="13" s="1"/>
  <c r="T156" i="2" a="1"/>
  <c r="T156" i="2" s="1"/>
  <c r="H63" i="13" s="1"/>
  <c r="T162" i="2" a="1"/>
  <c r="T162" i="2" s="1"/>
  <c r="H132" i="13" s="1"/>
  <c r="U6" i="2" a="1"/>
  <c r="U6" i="2" s="1"/>
  <c r="I107" i="13" s="1"/>
  <c r="U12" i="2" a="1"/>
  <c r="U12" i="2" s="1"/>
  <c r="I124" i="13" s="1"/>
  <c r="U24" i="2" a="1"/>
  <c r="U24" i="2" s="1"/>
  <c r="I138" i="13" s="1"/>
  <c r="U36" i="2" a="1"/>
  <c r="U36" i="2" s="1"/>
  <c r="I146" i="13" s="1"/>
  <c r="U60" i="2" a="1"/>
  <c r="U60" i="2" s="1"/>
  <c r="I67" i="13" s="1"/>
  <c r="U72" i="2" a="1"/>
  <c r="U72" i="2" s="1"/>
  <c r="I69" i="13" s="1"/>
  <c r="U78" i="2" a="1"/>
  <c r="U78" i="2" s="1"/>
  <c r="I128" i="13" s="1"/>
  <c r="U84" i="2" a="1"/>
  <c r="U84" i="2" s="1"/>
  <c r="I163" i="13" s="1"/>
  <c r="U96" i="2" a="1"/>
  <c r="U96" i="2" s="1"/>
  <c r="I72" i="13" s="1"/>
  <c r="U108" i="2" a="1"/>
  <c r="U108" i="2" s="1"/>
  <c r="I156" i="13" s="1"/>
  <c r="D101" i="13"/>
  <c r="V167" i="2"/>
  <c r="J167" i="13" s="1"/>
  <c r="E22" i="14"/>
  <c r="E26" i="14"/>
  <c r="E10" i="14"/>
  <c r="E14" i="14"/>
  <c r="E18" i="14"/>
  <c r="E78" i="13" l="1"/>
  <c r="F8" i="11"/>
  <c r="E7" i="11"/>
  <c r="F137" i="11"/>
  <c r="F14" i="11"/>
  <c r="E22" i="11"/>
  <c r="F22" i="11"/>
  <c r="F10" i="11"/>
  <c r="F92" i="11"/>
  <c r="E10" i="11"/>
  <c r="F122" i="11"/>
  <c r="E26" i="11"/>
  <c r="F152" i="11"/>
  <c r="E14" i="11"/>
  <c r="F7" i="11"/>
  <c r="F16" i="11"/>
  <c r="F9" i="11"/>
  <c r="E16" i="11"/>
  <c r="E6" i="11"/>
  <c r="F4" i="11"/>
  <c r="E4" i="11"/>
  <c r="F23" i="11"/>
  <c r="E122" i="11"/>
  <c r="E107" i="11"/>
  <c r="E8" i="11"/>
  <c r="F107" i="11"/>
  <c r="E77" i="11"/>
  <c r="E23" i="11"/>
  <c r="F6" i="11"/>
  <c r="F77" i="11"/>
  <c r="AE60" i="2"/>
  <c r="AC60" i="2" s="1"/>
  <c r="AH60" i="2" s="1"/>
  <c r="F60" i="11"/>
  <c r="E60" i="11"/>
  <c r="D60" i="11"/>
  <c r="C60" i="11"/>
  <c r="A60" i="11"/>
  <c r="B60" i="11"/>
  <c r="G60" i="11" s="1"/>
  <c r="AE34" i="2"/>
  <c r="AD34" i="2" s="1"/>
  <c r="F34" i="11"/>
  <c r="E34" i="11"/>
  <c r="D34" i="11"/>
  <c r="C34" i="11"/>
  <c r="B34" i="11"/>
  <c r="G34" i="11" s="1"/>
  <c r="A34" i="11"/>
  <c r="AE24" i="2"/>
  <c r="AD24" i="2" s="1"/>
  <c r="A24" i="11"/>
  <c r="F24" i="11"/>
  <c r="E24" i="11"/>
  <c r="D24" i="11"/>
  <c r="C24" i="11"/>
  <c r="B24" i="11"/>
  <c r="G24" i="11" s="1"/>
  <c r="F19" i="11"/>
  <c r="AE37" i="2"/>
  <c r="AC37" i="2" s="1"/>
  <c r="AH37" i="2" s="1"/>
  <c r="B37" i="11"/>
  <c r="G37" i="11" s="1"/>
  <c r="A37" i="11"/>
  <c r="C37" i="11"/>
  <c r="E37" i="11"/>
  <c r="D37" i="11"/>
  <c r="F37" i="11"/>
  <c r="AE127" i="2"/>
  <c r="AC127" i="2" s="1"/>
  <c r="AH127" i="2" s="1"/>
  <c r="D127" i="11"/>
  <c r="C127" i="11"/>
  <c r="B127" i="11"/>
  <c r="G127" i="11" s="1"/>
  <c r="A127" i="11"/>
  <c r="E127" i="11"/>
  <c r="F127" i="11"/>
  <c r="AE39" i="2"/>
  <c r="AC39" i="2" s="1"/>
  <c r="AH39" i="2" s="1"/>
  <c r="B39" i="11"/>
  <c r="G39" i="11" s="1"/>
  <c r="A39" i="11"/>
  <c r="F39" i="11"/>
  <c r="E39" i="11"/>
  <c r="D39" i="11"/>
  <c r="C39" i="11"/>
  <c r="AE138" i="2"/>
  <c r="AC138" i="2" s="1"/>
  <c r="AH138" i="2" s="1"/>
  <c r="F138" i="11"/>
  <c r="E138" i="11"/>
  <c r="D138" i="11"/>
  <c r="C138" i="11"/>
  <c r="B138" i="11"/>
  <c r="G138" i="11" s="1"/>
  <c r="A138" i="11"/>
  <c r="AE149" i="2"/>
  <c r="AC149" i="2" s="1"/>
  <c r="AH149" i="2" s="1"/>
  <c r="F149" i="11"/>
  <c r="E149" i="11"/>
  <c r="D149" i="11"/>
  <c r="C149" i="11"/>
  <c r="B149" i="11"/>
  <c r="G149" i="11" s="1"/>
  <c r="A149" i="11"/>
  <c r="AE79" i="2"/>
  <c r="AC79" i="2" s="1"/>
  <c r="AH79" i="2" s="1"/>
  <c r="F79" i="11"/>
  <c r="E79" i="11"/>
  <c r="D79" i="11"/>
  <c r="C79" i="11"/>
  <c r="B79" i="11"/>
  <c r="G79" i="11" s="1"/>
  <c r="A79" i="11"/>
  <c r="AE115" i="2"/>
  <c r="AC115" i="2" s="1"/>
  <c r="AH115" i="2" s="1"/>
  <c r="F115" i="11"/>
  <c r="E115" i="11"/>
  <c r="D115" i="11"/>
  <c r="C115" i="11"/>
  <c r="B115" i="11"/>
  <c r="G115" i="11" s="1"/>
  <c r="A115" i="11"/>
  <c r="AE80" i="2"/>
  <c r="AD80" i="2" s="1"/>
  <c r="A80" i="11"/>
  <c r="F80" i="11"/>
  <c r="B80" i="11"/>
  <c r="G80" i="11" s="1"/>
  <c r="E80" i="11"/>
  <c r="D80" i="11"/>
  <c r="C80" i="11"/>
  <c r="AE51" i="2"/>
  <c r="AD51" i="2" s="1"/>
  <c r="F51" i="11"/>
  <c r="E51" i="11"/>
  <c r="D51" i="11"/>
  <c r="C51" i="11"/>
  <c r="B51" i="11"/>
  <c r="G51" i="11" s="1"/>
  <c r="A51" i="11"/>
  <c r="AE4" i="2"/>
  <c r="B4" i="11"/>
  <c r="A4" i="11"/>
  <c r="D4" i="11"/>
  <c r="C4" i="11"/>
  <c r="AE36" i="2"/>
  <c r="AD36" i="2" s="1"/>
  <c r="F36" i="11"/>
  <c r="E36" i="11"/>
  <c r="D36" i="11"/>
  <c r="C36" i="11"/>
  <c r="B36" i="11"/>
  <c r="G36" i="11" s="1"/>
  <c r="A36" i="11"/>
  <c r="AE21" i="2"/>
  <c r="AC21" i="2" s="1"/>
  <c r="AH21" i="2" s="1"/>
  <c r="C21" i="11"/>
  <c r="B21" i="11"/>
  <c r="G21" i="11" s="1"/>
  <c r="A21" i="11"/>
  <c r="F21" i="11"/>
  <c r="E21" i="11"/>
  <c r="D21" i="11"/>
  <c r="AE54" i="2"/>
  <c r="AC54" i="2" s="1"/>
  <c r="AH54" i="2" s="1"/>
  <c r="F54" i="11"/>
  <c r="E54" i="11"/>
  <c r="A54" i="11"/>
  <c r="C54" i="11"/>
  <c r="B54" i="11"/>
  <c r="G54" i="11" s="1"/>
  <c r="D54" i="11"/>
  <c r="AE33" i="2"/>
  <c r="AC33" i="2" s="1"/>
  <c r="AH33" i="2" s="1"/>
  <c r="D33" i="11"/>
  <c r="C33" i="11"/>
  <c r="B33" i="11"/>
  <c r="G33" i="11" s="1"/>
  <c r="A33" i="11"/>
  <c r="F33" i="11"/>
  <c r="E33" i="11"/>
  <c r="AE73" i="2"/>
  <c r="AC73" i="2" s="1"/>
  <c r="AH73" i="2" s="1"/>
  <c r="F73" i="11"/>
  <c r="E73" i="11"/>
  <c r="D73" i="11"/>
  <c r="C73" i="11"/>
  <c r="B73" i="11"/>
  <c r="G73" i="11" s="1"/>
  <c r="A73" i="11"/>
  <c r="AE123" i="2"/>
  <c r="AD123" i="2" s="1"/>
  <c r="F123" i="11"/>
  <c r="E123" i="11"/>
  <c r="D123" i="11"/>
  <c r="C123" i="11"/>
  <c r="B123" i="11"/>
  <c r="G123" i="11" s="1"/>
  <c r="A123" i="11"/>
  <c r="AE38" i="2"/>
  <c r="AC38" i="2" s="1"/>
  <c r="AH38" i="2" s="1"/>
  <c r="F38" i="11"/>
  <c r="E38" i="11"/>
  <c r="D38" i="11"/>
  <c r="C38" i="11"/>
  <c r="B38" i="11"/>
  <c r="G38" i="11" s="1"/>
  <c r="A38" i="11"/>
  <c r="AE47" i="2"/>
  <c r="AC47" i="2" s="1"/>
  <c r="AH47" i="2" s="1"/>
  <c r="F47" i="11"/>
  <c r="E47" i="11"/>
  <c r="D47" i="11"/>
  <c r="C47" i="11"/>
  <c r="B47" i="11"/>
  <c r="G47" i="11" s="1"/>
  <c r="A47" i="11"/>
  <c r="AE71" i="2"/>
  <c r="AD71" i="2" s="1"/>
  <c r="F71" i="11"/>
  <c r="E71" i="11"/>
  <c r="D71" i="11"/>
  <c r="C71" i="11"/>
  <c r="B71" i="11"/>
  <c r="G71" i="11" s="1"/>
  <c r="A71" i="11"/>
  <c r="AE19" i="2"/>
  <c r="B19" i="11"/>
  <c r="A19" i="11"/>
  <c r="D19" i="11"/>
  <c r="C19" i="11"/>
  <c r="AE121" i="2"/>
  <c r="AC121" i="2" s="1"/>
  <c r="AH121" i="2" s="1"/>
  <c r="D121" i="11"/>
  <c r="C121" i="11"/>
  <c r="B121" i="11"/>
  <c r="G121" i="11" s="1"/>
  <c r="A121" i="11"/>
  <c r="E121" i="11"/>
  <c r="F121" i="11"/>
  <c r="AE116" i="2"/>
  <c r="AD116" i="2" s="1"/>
  <c r="A116" i="11"/>
  <c r="F116" i="11"/>
  <c r="B116" i="11"/>
  <c r="G116" i="11" s="1"/>
  <c r="E116" i="11"/>
  <c r="D116" i="11"/>
  <c r="C116" i="11"/>
  <c r="AE118" i="2"/>
  <c r="AD118" i="2" s="1"/>
  <c r="F118" i="11"/>
  <c r="E118" i="11"/>
  <c r="A118" i="11"/>
  <c r="D118" i="11"/>
  <c r="C118" i="11"/>
  <c r="B118" i="11"/>
  <c r="G118" i="11" s="1"/>
  <c r="AE75" i="2"/>
  <c r="AD75" i="2" s="1"/>
  <c r="F75" i="11"/>
  <c r="E75" i="11"/>
  <c r="D75" i="11"/>
  <c r="C75" i="11"/>
  <c r="B75" i="11"/>
  <c r="G75" i="11" s="1"/>
  <c r="A75" i="11"/>
  <c r="E19" i="11"/>
  <c r="AE65" i="2"/>
  <c r="AC65" i="2" s="1"/>
  <c r="AH65" i="2" s="1"/>
  <c r="A65" i="11"/>
  <c r="F65" i="11"/>
  <c r="B65" i="11"/>
  <c r="G65" i="11" s="1"/>
  <c r="E65" i="11"/>
  <c r="D65" i="11"/>
  <c r="C65" i="11"/>
  <c r="AE109" i="2"/>
  <c r="AC109" i="2" s="1"/>
  <c r="AH109" i="2" s="1"/>
  <c r="F109" i="11"/>
  <c r="E109" i="11"/>
  <c r="D109" i="11"/>
  <c r="C109" i="11"/>
  <c r="B109" i="11"/>
  <c r="G109" i="11" s="1"/>
  <c r="A109" i="11"/>
  <c r="AE59" i="2"/>
  <c r="AD59" i="2" s="1"/>
  <c r="D59" i="11"/>
  <c r="C59" i="11"/>
  <c r="B59" i="11"/>
  <c r="G59" i="11" s="1"/>
  <c r="A59" i="11"/>
  <c r="E59" i="11"/>
  <c r="F59" i="11"/>
  <c r="AE83" i="2"/>
  <c r="AC83" i="2" s="1"/>
  <c r="AH83" i="2" s="1"/>
  <c r="F83" i="11"/>
  <c r="E83" i="11"/>
  <c r="D83" i="11"/>
  <c r="C83" i="11"/>
  <c r="B83" i="11"/>
  <c r="G83" i="11" s="1"/>
  <c r="A83" i="11"/>
  <c r="AE152" i="2"/>
  <c r="A152" i="11"/>
  <c r="B152" i="11"/>
  <c r="D152" i="11"/>
  <c r="C152" i="11"/>
  <c r="AE105" i="2"/>
  <c r="AD105" i="2" s="1"/>
  <c r="F105" i="11"/>
  <c r="E105" i="11"/>
  <c r="D105" i="11"/>
  <c r="B105" i="11"/>
  <c r="G105" i="11" s="1"/>
  <c r="C105" i="11"/>
  <c r="A105" i="11"/>
  <c r="AE52" i="2"/>
  <c r="AC52" i="2" s="1"/>
  <c r="AH52" i="2" s="1"/>
  <c r="A52" i="11"/>
  <c r="F52" i="11"/>
  <c r="E52" i="11"/>
  <c r="D52" i="11"/>
  <c r="C52" i="11"/>
  <c r="B52" i="11"/>
  <c r="G52" i="11" s="1"/>
  <c r="AE117" i="2"/>
  <c r="AC117" i="2" s="1"/>
  <c r="AH117" i="2" s="1"/>
  <c r="F117" i="11"/>
  <c r="E117" i="11"/>
  <c r="D117" i="11"/>
  <c r="C117" i="11"/>
  <c r="B117" i="11"/>
  <c r="G117" i="11" s="1"/>
  <c r="A117" i="11"/>
  <c r="AE72" i="2"/>
  <c r="C72" i="11"/>
  <c r="B72" i="11"/>
  <c r="A72" i="11"/>
  <c r="D72" i="11"/>
  <c r="F72" i="11"/>
  <c r="E72" i="11"/>
  <c r="AE166" i="2"/>
  <c r="AC166" i="2" s="1"/>
  <c r="AH166" i="2" s="1"/>
  <c r="F166" i="11"/>
  <c r="E166" i="11"/>
  <c r="D166" i="11"/>
  <c r="C166" i="11"/>
  <c r="A166" i="11"/>
  <c r="B166" i="11"/>
  <c r="G166" i="11" s="1"/>
  <c r="AE22" i="2"/>
  <c r="B22" i="11"/>
  <c r="C22" i="11"/>
  <c r="A22" i="11"/>
  <c r="D22" i="11"/>
  <c r="AE110" i="2"/>
  <c r="AC110" i="2" s="1"/>
  <c r="AH110" i="2" s="1"/>
  <c r="D110" i="11"/>
  <c r="C110" i="11"/>
  <c r="B110" i="11"/>
  <c r="G110" i="11" s="1"/>
  <c r="A110" i="11"/>
  <c r="E110" i="11"/>
  <c r="F110" i="11"/>
  <c r="AE46" i="2"/>
  <c r="AC46" i="2" s="1"/>
  <c r="AH46" i="2" s="1"/>
  <c r="E46" i="11"/>
  <c r="D46" i="11"/>
  <c r="C46" i="11"/>
  <c r="B46" i="11"/>
  <c r="G46" i="11" s="1"/>
  <c r="A46" i="11"/>
  <c r="F46" i="11"/>
  <c r="AE9" i="2"/>
  <c r="D9" i="11"/>
  <c r="C9" i="11"/>
  <c r="B9" i="11"/>
  <c r="A9" i="11"/>
  <c r="AE78" i="2"/>
  <c r="AD78" i="2" s="1"/>
  <c r="B78" i="11"/>
  <c r="G78" i="11" s="1"/>
  <c r="A78" i="11"/>
  <c r="C78" i="11"/>
  <c r="F78" i="11"/>
  <c r="E78" i="11"/>
  <c r="D78" i="11"/>
  <c r="AE30" i="2"/>
  <c r="AC30" i="2" s="1"/>
  <c r="AH30" i="2" s="1"/>
  <c r="F30" i="11"/>
  <c r="E30" i="11"/>
  <c r="D30" i="11"/>
  <c r="C30" i="11"/>
  <c r="B30" i="11"/>
  <c r="G30" i="11" s="1"/>
  <c r="A30" i="11"/>
  <c r="AE108" i="2"/>
  <c r="AC108" i="2" s="1"/>
  <c r="AH108" i="2" s="1"/>
  <c r="F108" i="11"/>
  <c r="E108" i="11"/>
  <c r="D108" i="11"/>
  <c r="C108" i="11"/>
  <c r="B108" i="11"/>
  <c r="G108" i="11" s="1"/>
  <c r="A108" i="11"/>
  <c r="AE41" i="2"/>
  <c r="AC41" i="2" s="1"/>
  <c r="AH41" i="2" s="1"/>
  <c r="A41" i="11"/>
  <c r="F41" i="11"/>
  <c r="E41" i="11"/>
  <c r="D41" i="11"/>
  <c r="C41" i="11"/>
  <c r="B41" i="11"/>
  <c r="G41" i="11" s="1"/>
  <c r="AE163" i="2"/>
  <c r="AD163" i="2" s="1"/>
  <c r="E163" i="11"/>
  <c r="D163" i="11"/>
  <c r="C163" i="11"/>
  <c r="B163" i="11"/>
  <c r="G163" i="11" s="1"/>
  <c r="A163" i="11"/>
  <c r="F163" i="11"/>
  <c r="AE103" i="2"/>
  <c r="AC103" i="2" s="1"/>
  <c r="AH103" i="2" s="1"/>
  <c r="F103" i="11"/>
  <c r="E103" i="11"/>
  <c r="A103" i="11"/>
  <c r="D103" i="11"/>
  <c r="C103" i="11"/>
  <c r="B103" i="11"/>
  <c r="G103" i="11" s="1"/>
  <c r="AE114" i="2"/>
  <c r="AC114" i="2" s="1"/>
  <c r="AH114" i="2" s="1"/>
  <c r="B114" i="11"/>
  <c r="G114" i="11" s="1"/>
  <c r="A114" i="11"/>
  <c r="C114" i="11"/>
  <c r="F114" i="11"/>
  <c r="E114" i="11"/>
  <c r="D114" i="11"/>
  <c r="AE140" i="2"/>
  <c r="AC140" i="2" s="1"/>
  <c r="AH140" i="2" s="1"/>
  <c r="F140" i="11"/>
  <c r="E140" i="11"/>
  <c r="D140" i="11"/>
  <c r="C140" i="11"/>
  <c r="B140" i="11"/>
  <c r="G140" i="11" s="1"/>
  <c r="A140" i="11"/>
  <c r="AE102" i="2"/>
  <c r="AC102" i="2" s="1"/>
  <c r="AH102" i="2" s="1"/>
  <c r="F102" i="11"/>
  <c r="E102" i="11"/>
  <c r="D102" i="11"/>
  <c r="C102" i="11"/>
  <c r="B102" i="11"/>
  <c r="G102" i="11" s="1"/>
  <c r="A102" i="11"/>
  <c r="AE147" i="2"/>
  <c r="AD147" i="2" s="1"/>
  <c r="F147" i="11"/>
  <c r="E147" i="11"/>
  <c r="D147" i="11"/>
  <c r="C147" i="11"/>
  <c r="B147" i="11"/>
  <c r="G147" i="11" s="1"/>
  <c r="A147" i="11"/>
  <c r="AE62" i="2"/>
  <c r="AC62" i="2" s="1"/>
  <c r="AH62" i="2" s="1"/>
  <c r="F62" i="11"/>
  <c r="E62" i="11"/>
  <c r="D62" i="11"/>
  <c r="C62" i="11"/>
  <c r="B62" i="11"/>
  <c r="G62" i="11" s="1"/>
  <c r="A62" i="11"/>
  <c r="AE69" i="2"/>
  <c r="AC69" i="2" s="1"/>
  <c r="AH69" i="2" s="1"/>
  <c r="F69" i="11"/>
  <c r="E69" i="11"/>
  <c r="D69" i="11"/>
  <c r="C69" i="11"/>
  <c r="B69" i="11"/>
  <c r="G69" i="11" s="1"/>
  <c r="A69" i="11"/>
  <c r="AE154" i="2"/>
  <c r="AC154" i="2" s="1"/>
  <c r="AH154" i="2" s="1"/>
  <c r="C154" i="11"/>
  <c r="B154" i="11"/>
  <c r="G154" i="11" s="1"/>
  <c r="A154" i="11"/>
  <c r="D154" i="11"/>
  <c r="F154" i="11"/>
  <c r="E154" i="11"/>
  <c r="AE20" i="2"/>
  <c r="AD20" i="2" s="1"/>
  <c r="F20" i="11"/>
  <c r="C20" i="11"/>
  <c r="D20" i="11"/>
  <c r="E20" i="11"/>
  <c r="B20" i="11"/>
  <c r="G20" i="11" s="1"/>
  <c r="A20" i="11"/>
  <c r="AE101" i="2"/>
  <c r="AC101" i="2" s="1"/>
  <c r="AH101" i="2" s="1"/>
  <c r="A101" i="11"/>
  <c r="F101" i="11"/>
  <c r="B101" i="11"/>
  <c r="G101" i="11" s="1"/>
  <c r="E101" i="11"/>
  <c r="D101" i="11"/>
  <c r="C101" i="11"/>
  <c r="AE82" i="2"/>
  <c r="AC82" i="2" s="1"/>
  <c r="AH82" i="2" s="1"/>
  <c r="A82" i="11"/>
  <c r="F82" i="11"/>
  <c r="B82" i="11"/>
  <c r="G82" i="11" s="1"/>
  <c r="E82" i="11"/>
  <c r="D82" i="11"/>
  <c r="C82" i="11"/>
  <c r="AE7" i="2"/>
  <c r="B7" i="11"/>
  <c r="A7" i="11"/>
  <c r="D7" i="11"/>
  <c r="C7" i="11"/>
  <c r="AE124" i="2"/>
  <c r="AD124" i="2" s="1"/>
  <c r="F124" i="11"/>
  <c r="E124" i="11"/>
  <c r="D124" i="11"/>
  <c r="C124" i="11"/>
  <c r="B124" i="11"/>
  <c r="G124" i="11" s="1"/>
  <c r="A124" i="11"/>
  <c r="AE98" i="2"/>
  <c r="AD98" i="2" s="1"/>
  <c r="F98" i="11"/>
  <c r="E98" i="11"/>
  <c r="D98" i="11"/>
  <c r="C98" i="11"/>
  <c r="B98" i="11"/>
  <c r="G98" i="11" s="1"/>
  <c r="A98" i="11"/>
  <c r="AE13" i="2"/>
  <c r="AC13" i="2" s="1"/>
  <c r="AH13" i="2" s="1"/>
  <c r="F13" i="11"/>
  <c r="E13" i="11"/>
  <c r="B13" i="11"/>
  <c r="G13" i="11" s="1"/>
  <c r="C13" i="11"/>
  <c r="D13" i="11"/>
  <c r="A13" i="11"/>
  <c r="AE160" i="2"/>
  <c r="AD160" i="2" s="1"/>
  <c r="F160" i="11"/>
  <c r="E160" i="11"/>
  <c r="A160" i="11"/>
  <c r="D160" i="11"/>
  <c r="C160" i="11"/>
  <c r="B160" i="11"/>
  <c r="G160" i="11" s="1"/>
  <c r="AE97" i="2"/>
  <c r="AC97" i="2" s="1"/>
  <c r="AH97" i="2" s="1"/>
  <c r="B97" i="11"/>
  <c r="G97" i="11" s="1"/>
  <c r="A97" i="11"/>
  <c r="C97" i="11"/>
  <c r="D97" i="11"/>
  <c r="E97" i="11"/>
  <c r="F97" i="11"/>
  <c r="AE63" i="2"/>
  <c r="AD63" i="2" s="1"/>
  <c r="B63" i="11"/>
  <c r="G63" i="11" s="1"/>
  <c r="A63" i="11"/>
  <c r="C63" i="11"/>
  <c r="F63" i="11"/>
  <c r="E63" i="11"/>
  <c r="D63" i="11"/>
  <c r="AE70" i="2"/>
  <c r="AD70" i="2" s="1"/>
  <c r="D70" i="11"/>
  <c r="C70" i="11"/>
  <c r="B70" i="11"/>
  <c r="G70" i="11" s="1"/>
  <c r="A70" i="11"/>
  <c r="E70" i="11"/>
  <c r="F70" i="11"/>
  <c r="AE134" i="2"/>
  <c r="AC134" i="2" s="1"/>
  <c r="AH134" i="2" s="1"/>
  <c r="F134" i="11"/>
  <c r="E134" i="11"/>
  <c r="D134" i="11"/>
  <c r="C134" i="11"/>
  <c r="B134" i="11"/>
  <c r="G134" i="11" s="1"/>
  <c r="A134" i="11"/>
  <c r="AE99" i="2"/>
  <c r="AC99" i="2" s="1"/>
  <c r="AH99" i="2" s="1"/>
  <c r="B99" i="11"/>
  <c r="G99" i="11" s="1"/>
  <c r="A99" i="11"/>
  <c r="C99" i="11"/>
  <c r="F99" i="11"/>
  <c r="E99" i="11"/>
  <c r="D99" i="11"/>
  <c r="AE50" i="2"/>
  <c r="AD50" i="2" s="1"/>
  <c r="B50" i="11"/>
  <c r="G50" i="11" s="1"/>
  <c r="A50" i="11"/>
  <c r="F50" i="11"/>
  <c r="E50" i="11"/>
  <c r="D50" i="11"/>
  <c r="C50" i="11"/>
  <c r="AE119" i="2"/>
  <c r="AC119" i="2" s="1"/>
  <c r="AH119" i="2" s="1"/>
  <c r="E119" i="11"/>
  <c r="D119" i="11"/>
  <c r="C119" i="11"/>
  <c r="B119" i="11"/>
  <c r="G119" i="11" s="1"/>
  <c r="A119" i="11"/>
  <c r="F119" i="11"/>
  <c r="AE165" i="2"/>
  <c r="AC165" i="2" s="1"/>
  <c r="AH165" i="2" s="1"/>
  <c r="D165" i="11"/>
  <c r="C165" i="11"/>
  <c r="B165" i="11"/>
  <c r="G165" i="11" s="1"/>
  <c r="A165" i="11"/>
  <c r="E165" i="11"/>
  <c r="F165" i="11"/>
  <c r="AE151" i="2"/>
  <c r="AD151" i="2" s="1"/>
  <c r="F151" i="11"/>
  <c r="E151" i="11"/>
  <c r="D151" i="11"/>
  <c r="C151" i="11"/>
  <c r="B151" i="11"/>
  <c r="G151" i="11" s="1"/>
  <c r="A151" i="11"/>
  <c r="AE16" i="2"/>
  <c r="D16" i="11"/>
  <c r="C16" i="11"/>
  <c r="B16" i="11"/>
  <c r="A16" i="11"/>
  <c r="AE143" i="2"/>
  <c r="AC143" i="2" s="1"/>
  <c r="AH143" i="2" s="1"/>
  <c r="F143" i="11"/>
  <c r="E143" i="11"/>
  <c r="D143" i="11"/>
  <c r="B143" i="11"/>
  <c r="G143" i="11" s="1"/>
  <c r="A143" i="11"/>
  <c r="C143" i="11"/>
  <c r="AE18" i="2"/>
  <c r="AC18" i="2" s="1"/>
  <c r="AH18" i="2" s="1"/>
  <c r="F18" i="11"/>
  <c r="E18" i="11"/>
  <c r="D18" i="11"/>
  <c r="A18" i="11"/>
  <c r="B18" i="11"/>
  <c r="G18" i="11" s="1"/>
  <c r="C18" i="11"/>
  <c r="AE66" i="2"/>
  <c r="AD66" i="2" s="1"/>
  <c r="F66" i="11"/>
  <c r="E66" i="11"/>
  <c r="D66" i="11"/>
  <c r="C66" i="11"/>
  <c r="B66" i="11"/>
  <c r="G66" i="11" s="1"/>
  <c r="A66" i="11"/>
  <c r="AE84" i="2"/>
  <c r="AC84" i="2" s="1"/>
  <c r="AH84" i="2" s="1"/>
  <c r="F84" i="11"/>
  <c r="E84" i="11"/>
  <c r="A84" i="11"/>
  <c r="D84" i="11"/>
  <c r="C84" i="11"/>
  <c r="B84" i="11"/>
  <c r="G84" i="11" s="1"/>
  <c r="AE53" i="2"/>
  <c r="AC53" i="2" s="1"/>
  <c r="AH53" i="2" s="1"/>
  <c r="F53" i="11"/>
  <c r="E53" i="11"/>
  <c r="D53" i="11"/>
  <c r="C53" i="11"/>
  <c r="B53" i="11"/>
  <c r="G53" i="11" s="1"/>
  <c r="A53" i="11"/>
  <c r="AE157" i="2"/>
  <c r="AD157" i="2" s="1"/>
  <c r="F157" i="11"/>
  <c r="E157" i="11"/>
  <c r="D157" i="11"/>
  <c r="C157" i="11"/>
  <c r="B157" i="11"/>
  <c r="G157" i="11" s="1"/>
  <c r="A157" i="11"/>
  <c r="AE94" i="2"/>
  <c r="AD94" i="2" s="1"/>
  <c r="F94" i="11"/>
  <c r="E94" i="11"/>
  <c r="D94" i="11"/>
  <c r="C94" i="11"/>
  <c r="B94" i="11"/>
  <c r="G94" i="11" s="1"/>
  <c r="A94" i="11"/>
  <c r="AE42" i="2"/>
  <c r="AC42" i="2" s="1"/>
  <c r="AH42" i="2" s="1"/>
  <c r="F42" i="11"/>
  <c r="E42" i="11"/>
  <c r="D42" i="11"/>
  <c r="C42" i="11"/>
  <c r="B42" i="11"/>
  <c r="G42" i="11" s="1"/>
  <c r="A42" i="11"/>
  <c r="AE58" i="2"/>
  <c r="AC58" i="2" s="1"/>
  <c r="AH58" i="2" s="1"/>
  <c r="F58" i="11"/>
  <c r="E58" i="11"/>
  <c r="D58" i="11"/>
  <c r="B58" i="11"/>
  <c r="G58" i="11" s="1"/>
  <c r="A58" i="11"/>
  <c r="C58" i="11"/>
  <c r="AE113" i="2"/>
  <c r="AC113" i="2" s="1"/>
  <c r="AH113" i="2" s="1"/>
  <c r="F113" i="11"/>
  <c r="E113" i="11"/>
  <c r="D113" i="11"/>
  <c r="C113" i="11"/>
  <c r="B113" i="11"/>
  <c r="G113" i="11" s="1"/>
  <c r="A113" i="11"/>
  <c r="AE29" i="2"/>
  <c r="AC29" i="2" s="1"/>
  <c r="AH29" i="2" s="1"/>
  <c r="F29" i="11"/>
  <c r="E29" i="11"/>
  <c r="D29" i="11"/>
  <c r="C29" i="11"/>
  <c r="B29" i="11"/>
  <c r="G29" i="11" s="1"/>
  <c r="A29" i="11"/>
  <c r="AE96" i="2"/>
  <c r="AC96" i="2" s="1"/>
  <c r="AH96" i="2" s="1"/>
  <c r="F96" i="11"/>
  <c r="E96" i="11"/>
  <c r="D96" i="11"/>
  <c r="C96" i="11"/>
  <c r="B96" i="11"/>
  <c r="G96" i="11" s="1"/>
  <c r="A96" i="11"/>
  <c r="AE93" i="2"/>
  <c r="AC93" i="2" s="1"/>
  <c r="AH93" i="2" s="1"/>
  <c r="D93" i="11"/>
  <c r="C93" i="11"/>
  <c r="B93" i="11"/>
  <c r="G93" i="11" s="1"/>
  <c r="A93" i="11"/>
  <c r="E93" i="11"/>
  <c r="F93" i="11"/>
  <c r="AE158" i="2"/>
  <c r="AC158" i="2" s="1"/>
  <c r="AH158" i="2" s="1"/>
  <c r="A158" i="11"/>
  <c r="F158" i="11"/>
  <c r="B158" i="11"/>
  <c r="G158" i="11" s="1"/>
  <c r="C158" i="11"/>
  <c r="E158" i="11"/>
  <c r="D158" i="11"/>
  <c r="AE155" i="2"/>
  <c r="AC155" i="2" s="1"/>
  <c r="AH155" i="2" s="1"/>
  <c r="F155" i="11"/>
  <c r="E155" i="11"/>
  <c r="D155" i="11"/>
  <c r="C155" i="11"/>
  <c r="B155" i="11"/>
  <c r="G155" i="11" s="1"/>
  <c r="A155" i="11"/>
  <c r="AE136" i="2"/>
  <c r="AD136" i="2" s="1"/>
  <c r="E136" i="11"/>
  <c r="D136" i="11"/>
  <c r="C136" i="11"/>
  <c r="B136" i="11"/>
  <c r="G136" i="11" s="1"/>
  <c r="A136" i="11"/>
  <c r="F136" i="11"/>
  <c r="AE14" i="2"/>
  <c r="C14" i="11"/>
  <c r="B14" i="11"/>
  <c r="A14" i="11"/>
  <c r="D14" i="11"/>
  <c r="AE125" i="2"/>
  <c r="AD125" i="2" s="1"/>
  <c r="E125" i="11"/>
  <c r="D125" i="11"/>
  <c r="C125" i="11"/>
  <c r="B125" i="11"/>
  <c r="G125" i="11" s="1"/>
  <c r="A125" i="11"/>
  <c r="F125" i="11"/>
  <c r="AE25" i="2"/>
  <c r="AC25" i="2" s="1"/>
  <c r="AH25" i="2" s="1"/>
  <c r="F25" i="11"/>
  <c r="E25" i="11"/>
  <c r="D25" i="11"/>
  <c r="C25" i="11"/>
  <c r="B25" i="11"/>
  <c r="G25" i="11" s="1"/>
  <c r="A25" i="11"/>
  <c r="AE32" i="2"/>
  <c r="AC32" i="2" s="1"/>
  <c r="AH32" i="2" s="1"/>
  <c r="F32" i="11"/>
  <c r="E32" i="11"/>
  <c r="D32" i="11"/>
  <c r="C32" i="11"/>
  <c r="B32" i="11"/>
  <c r="G32" i="11" s="1"/>
  <c r="A32" i="11"/>
  <c r="AE111" i="2"/>
  <c r="AC111" i="2" s="1"/>
  <c r="AH111" i="2" s="1"/>
  <c r="F111" i="11"/>
  <c r="E111" i="11"/>
  <c r="D111" i="11"/>
  <c r="C111" i="11"/>
  <c r="B111" i="11"/>
  <c r="G111" i="11" s="1"/>
  <c r="A111" i="11"/>
  <c r="F15" i="11"/>
  <c r="AE131" i="2"/>
  <c r="AD131" i="2" s="1"/>
  <c r="A131" i="11"/>
  <c r="F131" i="11"/>
  <c r="B131" i="11"/>
  <c r="G131" i="11" s="1"/>
  <c r="E131" i="11"/>
  <c r="D131" i="11"/>
  <c r="C131" i="11"/>
  <c r="AE31" i="2"/>
  <c r="AC31" i="2" s="1"/>
  <c r="AH31" i="2" s="1"/>
  <c r="E31" i="11"/>
  <c r="D31" i="11"/>
  <c r="C31" i="11"/>
  <c r="B31" i="11"/>
  <c r="G31" i="11" s="1"/>
  <c r="A31" i="11"/>
  <c r="F31" i="11"/>
  <c r="AE90" i="2"/>
  <c r="AC90" i="2" s="1"/>
  <c r="AH90" i="2" s="1"/>
  <c r="F90" i="11"/>
  <c r="E90" i="11"/>
  <c r="D90" i="11"/>
  <c r="C90" i="11"/>
  <c r="B90" i="11"/>
  <c r="G90" i="11" s="1"/>
  <c r="A90" i="11"/>
  <c r="AE112" i="2"/>
  <c r="AC112" i="2" s="1"/>
  <c r="AH112" i="2" s="1"/>
  <c r="C112" i="11"/>
  <c r="B112" i="11"/>
  <c r="G112" i="11" s="1"/>
  <c r="A112" i="11"/>
  <c r="D112" i="11"/>
  <c r="E112" i="11"/>
  <c r="F112" i="11"/>
  <c r="AE12" i="2"/>
  <c r="D12" i="11"/>
  <c r="C12" i="11"/>
  <c r="B12" i="11"/>
  <c r="A12" i="11"/>
  <c r="F12" i="11"/>
  <c r="E12" i="11"/>
  <c r="AE104" i="2"/>
  <c r="AD104" i="2" s="1"/>
  <c r="E104" i="11"/>
  <c r="D104" i="11"/>
  <c r="C104" i="11"/>
  <c r="B104" i="11"/>
  <c r="G104" i="11" s="1"/>
  <c r="A104" i="11"/>
  <c r="F104" i="11"/>
  <c r="AE26" i="2"/>
  <c r="D26" i="11"/>
  <c r="B26" i="11"/>
  <c r="A26" i="11"/>
  <c r="C26" i="11"/>
  <c r="AE3" i="2"/>
  <c r="AC3" i="2" s="1"/>
  <c r="AH3" i="2" s="1"/>
  <c r="F3" i="11"/>
  <c r="E3" i="11"/>
  <c r="D3" i="11"/>
  <c r="C3" i="11"/>
  <c r="B3" i="11"/>
  <c r="G3" i="11" s="1"/>
  <c r="A3" i="11"/>
  <c r="AE137" i="2"/>
  <c r="D137" i="11"/>
  <c r="C137" i="11"/>
  <c r="B137" i="11"/>
  <c r="A137" i="11"/>
  <c r="AE11" i="2"/>
  <c r="AC11" i="2" s="1"/>
  <c r="AH11" i="2" s="1"/>
  <c r="F11" i="11"/>
  <c r="C11" i="11"/>
  <c r="E11" i="11"/>
  <c r="D11" i="11"/>
  <c r="B11" i="11"/>
  <c r="G11" i="11" s="1"/>
  <c r="A11" i="11"/>
  <c r="AE164" i="2"/>
  <c r="AC164" i="2" s="1"/>
  <c r="AH164" i="2" s="1"/>
  <c r="F164" i="11"/>
  <c r="E164" i="11"/>
  <c r="D164" i="11"/>
  <c r="C164" i="11"/>
  <c r="B164" i="11"/>
  <c r="G164" i="11" s="1"/>
  <c r="A164" i="11"/>
  <c r="AE85" i="2"/>
  <c r="AC85" i="2" s="1"/>
  <c r="AH85" i="2" s="1"/>
  <c r="E85" i="11"/>
  <c r="D85" i="11"/>
  <c r="C85" i="11"/>
  <c r="B85" i="11"/>
  <c r="G85" i="11" s="1"/>
  <c r="A85" i="11"/>
  <c r="F85" i="11"/>
  <c r="F5" i="11"/>
  <c r="AE142" i="2"/>
  <c r="AD142" i="2" s="1"/>
  <c r="F142" i="11"/>
  <c r="E142" i="11"/>
  <c r="D142" i="11"/>
  <c r="C142" i="11"/>
  <c r="B142" i="11"/>
  <c r="G142" i="11" s="1"/>
  <c r="A142" i="11"/>
  <c r="AE88" i="2"/>
  <c r="AD88" i="2" s="1"/>
  <c r="F88" i="11"/>
  <c r="E88" i="11"/>
  <c r="D88" i="11"/>
  <c r="C88" i="11"/>
  <c r="B88" i="11"/>
  <c r="G88" i="11" s="1"/>
  <c r="A88" i="11"/>
  <c r="AE144" i="2"/>
  <c r="AC144" i="2" s="1"/>
  <c r="AH144" i="2" s="1"/>
  <c r="E144" i="11"/>
  <c r="D144" i="11"/>
  <c r="C144" i="11"/>
  <c r="B144" i="11"/>
  <c r="G144" i="11" s="1"/>
  <c r="A144" i="11"/>
  <c r="F144" i="11"/>
  <c r="AE135" i="2"/>
  <c r="AD135" i="2" s="1"/>
  <c r="F135" i="11"/>
  <c r="E135" i="11"/>
  <c r="A135" i="11"/>
  <c r="B135" i="11"/>
  <c r="G135" i="11" s="1"/>
  <c r="C135" i="11"/>
  <c r="D135" i="11"/>
  <c r="AE148" i="2"/>
  <c r="AC148" i="2" s="1"/>
  <c r="AH148" i="2" s="1"/>
  <c r="C148" i="11"/>
  <c r="B148" i="11"/>
  <c r="G148" i="11" s="1"/>
  <c r="A148" i="11"/>
  <c r="D148" i="11"/>
  <c r="E148" i="11"/>
  <c r="F148" i="11"/>
  <c r="AE156" i="2"/>
  <c r="AD156" i="2" s="1"/>
  <c r="B156" i="11"/>
  <c r="G156" i="11" s="1"/>
  <c r="A156" i="11"/>
  <c r="C156" i="11"/>
  <c r="F156" i="11"/>
  <c r="E156" i="11"/>
  <c r="D156" i="11"/>
  <c r="AE48" i="2"/>
  <c r="AC48" i="2" s="1"/>
  <c r="AH48" i="2" s="1"/>
  <c r="D48" i="11"/>
  <c r="C48" i="11"/>
  <c r="B48" i="11"/>
  <c r="G48" i="11" s="1"/>
  <c r="A48" i="11"/>
  <c r="E48" i="11"/>
  <c r="F48" i="11"/>
  <c r="AE76" i="2"/>
  <c r="AC76" i="2" s="1"/>
  <c r="AH76" i="2" s="1"/>
  <c r="F76" i="11"/>
  <c r="E76" i="11"/>
  <c r="A76" i="11"/>
  <c r="D76" i="11"/>
  <c r="C76" i="11"/>
  <c r="B76" i="11"/>
  <c r="G76" i="11" s="1"/>
  <c r="AE122" i="2"/>
  <c r="D122" i="11"/>
  <c r="C122" i="11"/>
  <c r="B122" i="11"/>
  <c r="A122" i="11"/>
  <c r="AE92" i="2"/>
  <c r="D92" i="11"/>
  <c r="C92" i="11"/>
  <c r="B92" i="11"/>
  <c r="A92" i="11"/>
  <c r="AE106" i="2"/>
  <c r="AD106" i="2" s="1"/>
  <c r="E106" i="11"/>
  <c r="D106" i="11"/>
  <c r="C106" i="11"/>
  <c r="B106" i="11"/>
  <c r="G106" i="11" s="1"/>
  <c r="A106" i="11"/>
  <c r="F106" i="11"/>
  <c r="AE10" i="2"/>
  <c r="B10" i="11"/>
  <c r="A10" i="11"/>
  <c r="D10" i="11"/>
  <c r="C10" i="11"/>
  <c r="AE64" i="2"/>
  <c r="AC64" i="2" s="1"/>
  <c r="AH64" i="2" s="1"/>
  <c r="F64" i="11"/>
  <c r="E64" i="11"/>
  <c r="D64" i="11"/>
  <c r="C64" i="11"/>
  <c r="B64" i="11"/>
  <c r="G64" i="11" s="1"/>
  <c r="A64" i="11"/>
  <c r="AE57" i="2"/>
  <c r="AC57" i="2" s="1"/>
  <c r="AH57" i="2" s="1"/>
  <c r="E57" i="11"/>
  <c r="D57" i="11"/>
  <c r="C57" i="11"/>
  <c r="B57" i="11"/>
  <c r="G57" i="11" s="1"/>
  <c r="A57" i="11"/>
  <c r="F57" i="11"/>
  <c r="AE17" i="2"/>
  <c r="C17" i="11"/>
  <c r="B17" i="11"/>
  <c r="A17" i="11"/>
  <c r="F17" i="11"/>
  <c r="E17" i="11"/>
  <c r="D17" i="11"/>
  <c r="AE5" i="2"/>
  <c r="A5" i="11"/>
  <c r="D5" i="11"/>
  <c r="C5" i="11"/>
  <c r="B5" i="11"/>
  <c r="AE146" i="2"/>
  <c r="AC146" i="2" s="1"/>
  <c r="AH146" i="2" s="1"/>
  <c r="D146" i="11"/>
  <c r="C146" i="11"/>
  <c r="B146" i="11"/>
  <c r="G146" i="11" s="1"/>
  <c r="A146" i="11"/>
  <c r="E146" i="11"/>
  <c r="F146" i="11"/>
  <c r="F26" i="11"/>
  <c r="AE133" i="2"/>
  <c r="AD133" i="2" s="1"/>
  <c r="F133" i="11"/>
  <c r="E133" i="11"/>
  <c r="A133" i="11"/>
  <c r="D133" i="11"/>
  <c r="B133" i="11"/>
  <c r="G133" i="11" s="1"/>
  <c r="C133" i="11"/>
  <c r="AE150" i="2"/>
  <c r="AD150" i="2" s="1"/>
  <c r="B150" i="11"/>
  <c r="G150" i="11" s="1"/>
  <c r="A150" i="11"/>
  <c r="C150" i="11"/>
  <c r="E150" i="11"/>
  <c r="D150" i="11"/>
  <c r="F150" i="11"/>
  <c r="AE107" i="2"/>
  <c r="D107" i="11"/>
  <c r="C107" i="11"/>
  <c r="B107" i="11"/>
  <c r="A107" i="11"/>
  <c r="AE68" i="2"/>
  <c r="AD68" i="2" s="1"/>
  <c r="E68" i="11"/>
  <c r="D68" i="11"/>
  <c r="C68" i="11"/>
  <c r="B68" i="11"/>
  <c r="G68" i="11" s="1"/>
  <c r="A68" i="11"/>
  <c r="F68" i="11"/>
  <c r="AE28" i="2"/>
  <c r="AC28" i="2" s="1"/>
  <c r="AH28" i="2" s="1"/>
  <c r="F28" i="11"/>
  <c r="E28" i="11"/>
  <c r="D28" i="11"/>
  <c r="C28" i="11"/>
  <c r="B28" i="11"/>
  <c r="G28" i="11" s="1"/>
  <c r="A28" i="11"/>
  <c r="AE49" i="2"/>
  <c r="AC49" i="2" s="1"/>
  <c r="AH49" i="2" s="1"/>
  <c r="F49" i="11"/>
  <c r="E49" i="11"/>
  <c r="D49" i="11"/>
  <c r="C49" i="11"/>
  <c r="B49" i="11"/>
  <c r="G49" i="11" s="1"/>
  <c r="A49" i="11"/>
  <c r="AE162" i="2"/>
  <c r="AC162" i="2" s="1"/>
  <c r="AH162" i="2" s="1"/>
  <c r="F162" i="11"/>
  <c r="E162" i="11"/>
  <c r="D162" i="11"/>
  <c r="C162" i="11"/>
  <c r="B162" i="11"/>
  <c r="G162" i="11" s="1"/>
  <c r="A162" i="11"/>
  <c r="AE87" i="2"/>
  <c r="AC87" i="2" s="1"/>
  <c r="AH87" i="2" s="1"/>
  <c r="E87" i="11"/>
  <c r="D87" i="11"/>
  <c r="C87" i="11"/>
  <c r="B87" i="11"/>
  <c r="G87" i="11" s="1"/>
  <c r="A87" i="11"/>
  <c r="F87" i="11"/>
  <c r="AE159" i="2"/>
  <c r="AD159" i="2" s="1"/>
  <c r="F159" i="11"/>
  <c r="E159" i="11"/>
  <c r="D159" i="11"/>
  <c r="C159" i="11"/>
  <c r="B159" i="11"/>
  <c r="G159" i="11" s="1"/>
  <c r="A159" i="11"/>
  <c r="AE161" i="2"/>
  <c r="AD161" i="2" s="1"/>
  <c r="F161" i="11"/>
  <c r="E161" i="11"/>
  <c r="D161" i="11"/>
  <c r="C161" i="11"/>
  <c r="B161" i="11"/>
  <c r="G161" i="11" s="1"/>
  <c r="A161" i="11"/>
  <c r="AE15" i="2"/>
  <c r="D15" i="11"/>
  <c r="C15" i="11"/>
  <c r="B15" i="11"/>
  <c r="A15" i="11"/>
  <c r="AE129" i="2"/>
  <c r="AD129" i="2" s="1"/>
  <c r="B129" i="11"/>
  <c r="G129" i="11" s="1"/>
  <c r="A129" i="11"/>
  <c r="C129" i="11"/>
  <c r="F129" i="11"/>
  <c r="E129" i="11"/>
  <c r="D129" i="11"/>
  <c r="AE27" i="2"/>
  <c r="AD27" i="2" s="1"/>
  <c r="F27" i="11"/>
  <c r="E27" i="11"/>
  <c r="D27" i="11"/>
  <c r="C27" i="11"/>
  <c r="B27" i="11"/>
  <c r="G27" i="11" s="1"/>
  <c r="A27" i="11"/>
  <c r="AE132" i="2"/>
  <c r="AC132" i="2" s="1"/>
  <c r="AH132" i="2" s="1"/>
  <c r="F132" i="11"/>
  <c r="E132" i="11"/>
  <c r="D132" i="11"/>
  <c r="C132" i="11"/>
  <c r="B132" i="11"/>
  <c r="G132" i="11" s="1"/>
  <c r="A132" i="11"/>
  <c r="AE128" i="2"/>
  <c r="AC128" i="2" s="1"/>
  <c r="AH128" i="2" s="1"/>
  <c r="F128" i="11"/>
  <c r="E128" i="11"/>
  <c r="D128" i="11"/>
  <c r="C128" i="11"/>
  <c r="B128" i="11"/>
  <c r="G128" i="11" s="1"/>
  <c r="A128" i="11"/>
  <c r="E5" i="11"/>
  <c r="E137" i="11"/>
  <c r="AE145" i="2"/>
  <c r="AC145" i="2" s="1"/>
  <c r="AH145" i="2" s="1"/>
  <c r="F145" i="11"/>
  <c r="E145" i="11"/>
  <c r="D145" i="11"/>
  <c r="C145" i="11"/>
  <c r="B145" i="11"/>
  <c r="G145" i="11" s="1"/>
  <c r="A145" i="11"/>
  <c r="AE91" i="2"/>
  <c r="AC91" i="2" s="1"/>
  <c r="AH91" i="2" s="1"/>
  <c r="C91" i="11"/>
  <c r="B91" i="11"/>
  <c r="G91" i="11" s="1"/>
  <c r="A91" i="11"/>
  <c r="D91" i="11"/>
  <c r="F91" i="11"/>
  <c r="E91" i="11"/>
  <c r="AE153" i="2"/>
  <c r="AD153" i="2" s="1"/>
  <c r="F153" i="11"/>
  <c r="E153" i="11"/>
  <c r="D153" i="11"/>
  <c r="C153" i="11"/>
  <c r="B153" i="11"/>
  <c r="G153" i="11" s="1"/>
  <c r="A153" i="11"/>
  <c r="AE95" i="2"/>
  <c r="AC95" i="2" s="1"/>
  <c r="AH95" i="2" s="1"/>
  <c r="C95" i="11"/>
  <c r="B95" i="11"/>
  <c r="G95" i="11" s="1"/>
  <c r="A95" i="11"/>
  <c r="D95" i="11"/>
  <c r="E95" i="11"/>
  <c r="F95" i="11"/>
  <c r="AE139" i="2"/>
  <c r="AC139" i="2" s="1"/>
  <c r="AH139" i="2" s="1"/>
  <c r="A139" i="11"/>
  <c r="F139" i="11"/>
  <c r="B139" i="11"/>
  <c r="G139" i="11" s="1"/>
  <c r="E139" i="11"/>
  <c r="D139" i="11"/>
  <c r="C139" i="11"/>
  <c r="E15" i="11"/>
  <c r="E152" i="11"/>
  <c r="AE77" i="2"/>
  <c r="D77" i="11"/>
  <c r="C77" i="11"/>
  <c r="B77" i="11"/>
  <c r="A77" i="11"/>
  <c r="AE56" i="2"/>
  <c r="AD56" i="2" s="1"/>
  <c r="F56" i="11"/>
  <c r="E56" i="11"/>
  <c r="D56" i="11"/>
  <c r="C56" i="11"/>
  <c r="B56" i="11"/>
  <c r="G56" i="11" s="1"/>
  <c r="A56" i="11"/>
  <c r="AE120" i="2"/>
  <c r="AD120" i="2" s="1"/>
  <c r="F120" i="11"/>
  <c r="E120" i="11"/>
  <c r="D120" i="11"/>
  <c r="B120" i="11"/>
  <c r="G120" i="11" s="1"/>
  <c r="A120" i="11"/>
  <c r="C120" i="11"/>
  <c r="AE61" i="2"/>
  <c r="AC61" i="2" s="1"/>
  <c r="AH61" i="2" s="1"/>
  <c r="C61" i="11"/>
  <c r="B61" i="11"/>
  <c r="G61" i="11" s="1"/>
  <c r="A61" i="11"/>
  <c r="D61" i="11"/>
  <c r="F61" i="11"/>
  <c r="E61" i="11"/>
  <c r="AE67" i="2"/>
  <c r="AC67" i="2" s="1"/>
  <c r="AH67" i="2" s="1"/>
  <c r="F67" i="11"/>
  <c r="E67" i="11"/>
  <c r="A67" i="11"/>
  <c r="B67" i="11"/>
  <c r="G67" i="11" s="1"/>
  <c r="C67" i="11"/>
  <c r="D67" i="11"/>
  <c r="AE81" i="2"/>
  <c r="AC81" i="2" s="1"/>
  <c r="AH81" i="2" s="1"/>
  <c r="F81" i="11"/>
  <c r="E81" i="11"/>
  <c r="D81" i="11"/>
  <c r="C81" i="11"/>
  <c r="B81" i="11"/>
  <c r="G81" i="11" s="1"/>
  <c r="A81" i="11"/>
  <c r="AE126" i="2"/>
  <c r="AD126" i="2" s="1"/>
  <c r="F126" i="11"/>
  <c r="E126" i="11"/>
  <c r="D126" i="11"/>
  <c r="C126" i="11"/>
  <c r="B126" i="11"/>
  <c r="G126" i="11" s="1"/>
  <c r="A126" i="11"/>
  <c r="AE43" i="2"/>
  <c r="AC43" i="2" s="1"/>
  <c r="AH43" i="2" s="1"/>
  <c r="F43" i="11"/>
  <c r="E43" i="11"/>
  <c r="A43" i="11"/>
  <c r="C43" i="11"/>
  <c r="D43" i="11"/>
  <c r="B43" i="11"/>
  <c r="G43" i="11" s="1"/>
  <c r="AE74" i="2"/>
  <c r="AD74" i="2" s="1"/>
  <c r="A74" i="11"/>
  <c r="F74" i="11"/>
  <c r="B74" i="11"/>
  <c r="G74" i="11" s="1"/>
  <c r="D74" i="11"/>
  <c r="C74" i="11"/>
  <c r="E74" i="11"/>
  <c r="AE8" i="2"/>
  <c r="C8" i="11"/>
  <c r="A8" i="11"/>
  <c r="B8" i="11"/>
  <c r="D8" i="11"/>
  <c r="E9" i="11"/>
  <c r="AE130" i="2"/>
  <c r="AD130" i="2" s="1"/>
  <c r="F130" i="11"/>
  <c r="E130" i="11"/>
  <c r="D130" i="11"/>
  <c r="C130" i="11"/>
  <c r="B130" i="11"/>
  <c r="G130" i="11" s="1"/>
  <c r="A130" i="11"/>
  <c r="AE44" i="2"/>
  <c r="AD44" i="2" s="1"/>
  <c r="E44" i="11"/>
  <c r="D44" i="11"/>
  <c r="C44" i="11"/>
  <c r="B44" i="11"/>
  <c r="G44" i="11" s="1"/>
  <c r="A44" i="11"/>
  <c r="F44" i="11"/>
  <c r="AE55" i="2"/>
  <c r="AC55" i="2" s="1"/>
  <c r="AH55" i="2" s="1"/>
  <c r="F55" i="11"/>
  <c r="E55" i="11"/>
  <c r="D55" i="11"/>
  <c r="C55" i="11"/>
  <c r="B55" i="11"/>
  <c r="G55" i="11" s="1"/>
  <c r="A55" i="11"/>
  <c r="AE141" i="2"/>
  <c r="AC141" i="2" s="1"/>
  <c r="AH141" i="2" s="1"/>
  <c r="F141" i="11"/>
  <c r="E141" i="11"/>
  <c r="A141" i="11"/>
  <c r="D141" i="11"/>
  <c r="B141" i="11"/>
  <c r="G141" i="11" s="1"/>
  <c r="C141" i="11"/>
  <c r="AE45" i="2"/>
  <c r="AC45" i="2" s="1"/>
  <c r="AH45" i="2" s="1"/>
  <c r="F45" i="11"/>
  <c r="E45" i="11"/>
  <c r="D45" i="11"/>
  <c r="C45" i="11"/>
  <c r="B45" i="11"/>
  <c r="G45" i="11" s="1"/>
  <c r="A45" i="11"/>
  <c r="AE86" i="2"/>
  <c r="AC86" i="2" s="1"/>
  <c r="AH86" i="2" s="1"/>
  <c r="F86" i="11"/>
  <c r="E86" i="11"/>
  <c r="D86" i="11"/>
  <c r="C86" i="11"/>
  <c r="B86" i="11"/>
  <c r="G86" i="11" s="1"/>
  <c r="A86" i="11"/>
  <c r="AE35" i="2"/>
  <c r="AC35" i="2" s="1"/>
  <c r="AH35" i="2" s="1"/>
  <c r="C35" i="11"/>
  <c r="B35" i="11"/>
  <c r="G35" i="11" s="1"/>
  <c r="A35" i="11"/>
  <c r="F35" i="11"/>
  <c r="E35" i="11"/>
  <c r="D35" i="11"/>
  <c r="AE89" i="2"/>
  <c r="AD89" i="2" s="1"/>
  <c r="D89" i="11"/>
  <c r="C89" i="11"/>
  <c r="B89" i="11"/>
  <c r="G89" i="11" s="1"/>
  <c r="A89" i="11"/>
  <c r="E89" i="11"/>
  <c r="F89" i="11"/>
  <c r="AE100" i="2"/>
  <c r="AC100" i="2" s="1"/>
  <c r="AH100" i="2" s="1"/>
  <c r="F100" i="11"/>
  <c r="E100" i="11"/>
  <c r="D100" i="11"/>
  <c r="C100" i="11"/>
  <c r="B100" i="11"/>
  <c r="G100" i="11" s="1"/>
  <c r="A100" i="11"/>
  <c r="AE6" i="2"/>
  <c r="D6" i="11"/>
  <c r="C6" i="11"/>
  <c r="B6" i="11"/>
  <c r="A6" i="11"/>
  <c r="AE40" i="2"/>
  <c r="AC40" i="2" s="1"/>
  <c r="AH40" i="2" s="1"/>
  <c r="F40" i="11"/>
  <c r="E40" i="11"/>
  <c r="D40" i="11"/>
  <c r="C40" i="11"/>
  <c r="B40" i="11"/>
  <c r="G40" i="11" s="1"/>
  <c r="A40" i="11"/>
  <c r="AE23" i="2"/>
  <c r="D23" i="11"/>
  <c r="C23" i="11"/>
  <c r="B23" i="11"/>
  <c r="A23" i="11"/>
  <c r="F424" i="11"/>
  <c r="E424" i="11"/>
  <c r="D424" i="11"/>
  <c r="C424" i="11"/>
  <c r="B424" i="11"/>
  <c r="G424" i="11" s="1"/>
  <c r="A424" i="11"/>
  <c r="C337" i="11"/>
  <c r="A337" i="11"/>
  <c r="F337" i="11"/>
  <c r="E337" i="11"/>
  <c r="D337" i="11"/>
  <c r="B337" i="11"/>
  <c r="G337" i="11" s="1"/>
  <c r="F486" i="11"/>
  <c r="E486" i="11"/>
  <c r="A486" i="11"/>
  <c r="D486" i="11"/>
  <c r="C486" i="11"/>
  <c r="B486" i="11"/>
  <c r="G486" i="11" s="1"/>
  <c r="F203" i="11"/>
  <c r="E203" i="11"/>
  <c r="D203" i="11"/>
  <c r="C203" i="11"/>
  <c r="B203" i="11"/>
  <c r="G203" i="11" s="1"/>
  <c r="A203" i="11"/>
  <c r="F265" i="11"/>
  <c r="C265" i="11"/>
  <c r="D265" i="11"/>
  <c r="B265" i="11"/>
  <c r="G265" i="11" s="1"/>
  <c r="A265" i="11"/>
  <c r="E265" i="11"/>
  <c r="F220" i="11"/>
  <c r="E220" i="11"/>
  <c r="D220" i="11"/>
  <c r="C220" i="11"/>
  <c r="B220" i="11"/>
  <c r="G220" i="11" s="1"/>
  <c r="A220" i="11"/>
  <c r="E303" i="11"/>
  <c r="D303" i="11"/>
  <c r="B303" i="11"/>
  <c r="G303" i="11" s="1"/>
  <c r="A303" i="11"/>
  <c r="F303" i="11"/>
  <c r="C303" i="11"/>
  <c r="AE167" i="2"/>
  <c r="D167" i="11"/>
  <c r="C167" i="11"/>
  <c r="B167" i="11"/>
  <c r="A167" i="11"/>
  <c r="F167" i="11"/>
  <c r="E167" i="11"/>
  <c r="F280" i="11"/>
  <c r="E280" i="11"/>
  <c r="C280" i="11"/>
  <c r="D280" i="11"/>
  <c r="B280" i="11"/>
  <c r="G280" i="11" s="1"/>
  <c r="A280" i="11"/>
  <c r="F496" i="11"/>
  <c r="E496" i="11"/>
  <c r="D496" i="11"/>
  <c r="C496" i="11"/>
  <c r="B496" i="11"/>
  <c r="G496" i="11" s="1"/>
  <c r="A496" i="11"/>
  <c r="B272" i="11"/>
  <c r="G272" i="11" s="1"/>
  <c r="F272" i="11"/>
  <c r="C272" i="11"/>
  <c r="A272" i="11"/>
  <c r="E272" i="11"/>
  <c r="D272" i="11"/>
  <c r="E452" i="11"/>
  <c r="D452" i="11"/>
  <c r="C452" i="11"/>
  <c r="B452" i="11"/>
  <c r="G452" i="11" s="1"/>
  <c r="A452" i="11"/>
  <c r="F452" i="11"/>
  <c r="F429" i="11"/>
  <c r="E429" i="11"/>
  <c r="D429" i="11"/>
  <c r="C429" i="11"/>
  <c r="B429" i="11"/>
  <c r="G429" i="11" s="1"/>
  <c r="A429" i="11"/>
  <c r="F451" i="11"/>
  <c r="E451" i="11"/>
  <c r="A451" i="11"/>
  <c r="D451" i="11"/>
  <c r="C451" i="11"/>
  <c r="B451" i="11"/>
  <c r="G451" i="11" s="1"/>
  <c r="F431" i="11"/>
  <c r="E431" i="11"/>
  <c r="D431" i="11"/>
  <c r="C431" i="11"/>
  <c r="B431" i="11"/>
  <c r="G431" i="11" s="1"/>
  <c r="A431" i="11"/>
  <c r="C456" i="11"/>
  <c r="B456" i="11"/>
  <c r="G456" i="11" s="1"/>
  <c r="A456" i="11"/>
  <c r="D456" i="11"/>
  <c r="E456" i="11"/>
  <c r="F456" i="11"/>
  <c r="C419" i="11"/>
  <c r="B419" i="11"/>
  <c r="G419" i="11" s="1"/>
  <c r="A419" i="11"/>
  <c r="D419" i="11"/>
  <c r="F419" i="11"/>
  <c r="E419" i="11"/>
  <c r="F392" i="11"/>
  <c r="D392" i="11"/>
  <c r="C392" i="11"/>
  <c r="E392" i="11"/>
  <c r="B392" i="11"/>
  <c r="G392" i="11" s="1"/>
  <c r="A392" i="11"/>
  <c r="E500" i="11"/>
  <c r="D500" i="11"/>
  <c r="C500" i="11"/>
  <c r="B500" i="11"/>
  <c r="G500" i="11" s="1"/>
  <c r="A500" i="11"/>
  <c r="F500" i="11"/>
  <c r="B347" i="11"/>
  <c r="G347" i="11" s="1"/>
  <c r="C347" i="11"/>
  <c r="F347" i="11"/>
  <c r="E347" i="11"/>
  <c r="D347" i="11"/>
  <c r="A347" i="11"/>
  <c r="AE168" i="2"/>
  <c r="F168" i="11"/>
  <c r="E168" i="11"/>
  <c r="D168" i="11"/>
  <c r="C168" i="11"/>
  <c r="B168" i="11"/>
  <c r="A168" i="11"/>
  <c r="D377" i="11"/>
  <c r="F377" i="11"/>
  <c r="E377" i="11"/>
  <c r="C377" i="11"/>
  <c r="B377" i="11"/>
  <c r="G377" i="11" s="1"/>
  <c r="A377" i="11"/>
  <c r="C270" i="11"/>
  <c r="A270" i="11"/>
  <c r="F270" i="11"/>
  <c r="E270" i="11"/>
  <c r="D270" i="11"/>
  <c r="B270" i="11"/>
  <c r="G270" i="11" s="1"/>
  <c r="A371" i="11"/>
  <c r="F371" i="11"/>
  <c r="E371" i="11"/>
  <c r="D371" i="11"/>
  <c r="C371" i="11"/>
  <c r="B371" i="11"/>
  <c r="G371" i="11" s="1"/>
  <c r="D251" i="11"/>
  <c r="C251" i="11"/>
  <c r="A251" i="11"/>
  <c r="B251" i="11"/>
  <c r="G251" i="11" s="1"/>
  <c r="F251" i="11"/>
  <c r="E251" i="11"/>
  <c r="F290" i="11"/>
  <c r="D290" i="11"/>
  <c r="C290" i="11"/>
  <c r="A290" i="11"/>
  <c r="E290" i="11"/>
  <c r="B290" i="11"/>
  <c r="G290" i="11" s="1"/>
  <c r="E342" i="11"/>
  <c r="D342" i="11"/>
  <c r="C342" i="11"/>
  <c r="B342" i="11"/>
  <c r="G342" i="11" s="1"/>
  <c r="A342" i="11"/>
  <c r="F342" i="11"/>
  <c r="F174" i="11"/>
  <c r="E174" i="11"/>
  <c r="D174" i="11"/>
  <c r="C174" i="11"/>
  <c r="B174" i="11"/>
  <c r="A174" i="11"/>
  <c r="A276" i="11"/>
  <c r="E276" i="11"/>
  <c r="B276" i="11"/>
  <c r="G276" i="11" s="1"/>
  <c r="D276" i="11"/>
  <c r="F276" i="11"/>
  <c r="C276" i="11"/>
  <c r="D263" i="11"/>
  <c r="F263" i="11"/>
  <c r="E263" i="11"/>
  <c r="A263" i="11"/>
  <c r="C263" i="11"/>
  <c r="B263" i="11"/>
  <c r="G263" i="11" s="1"/>
  <c r="E308" i="11"/>
  <c r="D308" i="11"/>
  <c r="C308" i="11"/>
  <c r="B308" i="11"/>
  <c r="G308" i="11" s="1"/>
  <c r="F308" i="11"/>
  <c r="A308" i="11"/>
  <c r="B186" i="11"/>
  <c r="G186" i="11" s="1"/>
  <c r="A186" i="11"/>
  <c r="F186" i="11"/>
  <c r="E186" i="11"/>
  <c r="D186" i="11"/>
  <c r="C186" i="11"/>
  <c r="A328" i="11"/>
  <c r="F328" i="11"/>
  <c r="E328" i="11"/>
  <c r="D328" i="11"/>
  <c r="C328" i="11"/>
  <c r="B328" i="11"/>
  <c r="G328" i="11" s="1"/>
  <c r="C253" i="11"/>
  <c r="B253" i="11"/>
  <c r="G253" i="11" s="1"/>
  <c r="F253" i="11"/>
  <c r="E253" i="11"/>
  <c r="D253" i="11"/>
  <c r="A253" i="11"/>
  <c r="E404" i="11"/>
  <c r="D404" i="11"/>
  <c r="C404" i="11"/>
  <c r="B404" i="11"/>
  <c r="G404" i="11" s="1"/>
  <c r="A404" i="11"/>
  <c r="F404" i="11"/>
  <c r="F204" i="11"/>
  <c r="E204" i="11"/>
  <c r="D204" i="11"/>
  <c r="C204" i="11"/>
  <c r="B204" i="11"/>
  <c r="G204" i="11" s="1"/>
  <c r="A204" i="11"/>
  <c r="F492" i="11"/>
  <c r="E492" i="11"/>
  <c r="D492" i="11"/>
  <c r="C492" i="11"/>
  <c r="B492" i="11"/>
  <c r="G492" i="11" s="1"/>
  <c r="A492" i="11"/>
  <c r="B432" i="11"/>
  <c r="G432" i="11" s="1"/>
  <c r="A432" i="11"/>
  <c r="C432" i="11"/>
  <c r="E432" i="11"/>
  <c r="D432" i="11"/>
  <c r="F432" i="11"/>
  <c r="B344" i="11"/>
  <c r="G344" i="11" s="1"/>
  <c r="E344" i="11"/>
  <c r="D344" i="11"/>
  <c r="C344" i="11"/>
  <c r="A344" i="11"/>
  <c r="F344" i="11"/>
  <c r="F363" i="11"/>
  <c r="E363" i="11"/>
  <c r="D363" i="11"/>
  <c r="C363" i="11"/>
  <c r="B363" i="11"/>
  <c r="G363" i="11" s="1"/>
  <c r="A363" i="11"/>
  <c r="D232" i="11"/>
  <c r="C232" i="11"/>
  <c r="B232" i="11"/>
  <c r="G232" i="11" s="1"/>
  <c r="A232" i="11"/>
  <c r="F232" i="11"/>
  <c r="E232" i="11"/>
  <c r="F209" i="11"/>
  <c r="E209" i="11"/>
  <c r="D209" i="11"/>
  <c r="C209" i="11"/>
  <c r="B209" i="11"/>
  <c r="G209" i="11" s="1"/>
  <c r="A209" i="11"/>
  <c r="F457" i="11"/>
  <c r="E457" i="11"/>
  <c r="D457" i="11"/>
  <c r="C457" i="11"/>
  <c r="B457" i="11"/>
  <c r="G457" i="11" s="1"/>
  <c r="A457" i="11"/>
  <c r="F331" i="11"/>
  <c r="D331" i="11"/>
  <c r="C331" i="11"/>
  <c r="A331" i="11"/>
  <c r="B331" i="11"/>
  <c r="G331" i="11" s="1"/>
  <c r="E331" i="11"/>
  <c r="B236" i="11"/>
  <c r="G236" i="11" s="1"/>
  <c r="A236" i="11"/>
  <c r="F236" i="11"/>
  <c r="E236" i="11"/>
  <c r="D236" i="11"/>
  <c r="C236" i="11"/>
  <c r="F224" i="11"/>
  <c r="E224" i="11"/>
  <c r="D224" i="11"/>
  <c r="C224" i="11"/>
  <c r="B224" i="11"/>
  <c r="G224" i="11" s="1"/>
  <c r="A224" i="11"/>
  <c r="A484" i="11"/>
  <c r="F484" i="11"/>
  <c r="B484" i="11"/>
  <c r="G484" i="11" s="1"/>
  <c r="D484" i="11"/>
  <c r="C484" i="11"/>
  <c r="E484" i="11"/>
  <c r="B482" i="11"/>
  <c r="G482" i="11" s="1"/>
  <c r="A482" i="11"/>
  <c r="C482" i="11"/>
  <c r="F482" i="11"/>
  <c r="E482" i="11"/>
  <c r="D482" i="11"/>
  <c r="E323" i="11"/>
  <c r="D323" i="11"/>
  <c r="C323" i="11"/>
  <c r="B323" i="11"/>
  <c r="G323" i="11" s="1"/>
  <c r="F323" i="11"/>
  <c r="A323" i="11"/>
  <c r="F228" i="11"/>
  <c r="E228" i="11"/>
  <c r="D228" i="11"/>
  <c r="C228" i="11"/>
  <c r="B228" i="11"/>
  <c r="G228" i="11" s="1"/>
  <c r="A228" i="11"/>
  <c r="C467" i="11"/>
  <c r="B467" i="11"/>
  <c r="G467" i="11" s="1"/>
  <c r="A467" i="11"/>
  <c r="D467" i="11"/>
  <c r="F467" i="11"/>
  <c r="E467" i="11"/>
  <c r="F427" i="11"/>
  <c r="E427" i="11"/>
  <c r="D427" i="11"/>
  <c r="C427" i="11"/>
  <c r="A427" i="11"/>
  <c r="B427" i="11"/>
  <c r="G427" i="11" s="1"/>
  <c r="AE169" i="2"/>
  <c r="C169" i="11"/>
  <c r="B169" i="11"/>
  <c r="A169" i="11"/>
  <c r="F169" i="11"/>
  <c r="E169" i="11"/>
  <c r="D169" i="11"/>
  <c r="F487" i="11"/>
  <c r="E487" i="11"/>
  <c r="D487" i="11"/>
  <c r="C487" i="11"/>
  <c r="B487" i="11"/>
  <c r="G487" i="11" s="1"/>
  <c r="A487" i="11"/>
  <c r="F361" i="11"/>
  <c r="E361" i="11"/>
  <c r="D361" i="11"/>
  <c r="C361" i="11"/>
  <c r="B361" i="11"/>
  <c r="G361" i="11" s="1"/>
  <c r="A361" i="11"/>
  <c r="F372" i="11"/>
  <c r="E372" i="11"/>
  <c r="D372" i="11"/>
  <c r="B372" i="11"/>
  <c r="G372" i="11" s="1"/>
  <c r="A372" i="11"/>
  <c r="C372" i="11"/>
  <c r="B445" i="11"/>
  <c r="G445" i="11" s="1"/>
  <c r="A445" i="11"/>
  <c r="C445" i="11"/>
  <c r="F445" i="11"/>
  <c r="E445" i="11"/>
  <c r="D445" i="11"/>
  <c r="F297" i="11"/>
  <c r="D297" i="11"/>
  <c r="C297" i="11"/>
  <c r="B297" i="11"/>
  <c r="G297" i="11" s="1"/>
  <c r="A297" i="11"/>
  <c r="E297" i="11"/>
  <c r="C358" i="11"/>
  <c r="B358" i="11"/>
  <c r="G358" i="11" s="1"/>
  <c r="A358" i="11"/>
  <c r="F358" i="11"/>
  <c r="E358" i="11"/>
  <c r="D358" i="11"/>
  <c r="F479" i="11"/>
  <c r="E479" i="11"/>
  <c r="D479" i="11"/>
  <c r="C479" i="11"/>
  <c r="B479" i="11"/>
  <c r="G479" i="11" s="1"/>
  <c r="A479" i="11"/>
  <c r="E439" i="11"/>
  <c r="D439" i="11"/>
  <c r="C439" i="11"/>
  <c r="B439" i="11"/>
  <c r="G439" i="11" s="1"/>
  <c r="A439" i="11"/>
  <c r="F439" i="11"/>
  <c r="E320" i="11"/>
  <c r="C320" i="11"/>
  <c r="B320" i="11"/>
  <c r="G320" i="11" s="1"/>
  <c r="F320" i="11"/>
  <c r="D320" i="11"/>
  <c r="A320" i="11"/>
  <c r="A497" i="11"/>
  <c r="F497" i="11"/>
  <c r="B497" i="11"/>
  <c r="G497" i="11" s="1"/>
  <c r="E497" i="11"/>
  <c r="D497" i="11"/>
  <c r="C497" i="11"/>
  <c r="F207" i="11"/>
  <c r="E207" i="11"/>
  <c r="D207" i="11"/>
  <c r="C207" i="11"/>
  <c r="B207" i="11"/>
  <c r="G207" i="11" s="1"/>
  <c r="A207" i="11"/>
  <c r="E354" i="11"/>
  <c r="D354" i="11"/>
  <c r="C354" i="11"/>
  <c r="B354" i="11"/>
  <c r="G354" i="11" s="1"/>
  <c r="F354" i="11"/>
  <c r="A354" i="11"/>
  <c r="B493" i="11"/>
  <c r="G493" i="11" s="1"/>
  <c r="A493" i="11"/>
  <c r="C493" i="11"/>
  <c r="F493" i="11"/>
  <c r="E493" i="11"/>
  <c r="D493" i="11"/>
  <c r="F348" i="11"/>
  <c r="E348" i="11"/>
  <c r="A348" i="11"/>
  <c r="D348" i="11"/>
  <c r="C348" i="11"/>
  <c r="B348" i="11"/>
  <c r="G348" i="11" s="1"/>
  <c r="F483" i="11"/>
  <c r="E483" i="11"/>
  <c r="D483" i="11"/>
  <c r="C483" i="11"/>
  <c r="B483" i="11"/>
  <c r="G483" i="11" s="1"/>
  <c r="A483" i="11"/>
  <c r="B447" i="11"/>
  <c r="G447" i="11" s="1"/>
  <c r="A447" i="11"/>
  <c r="C447" i="11"/>
  <c r="E447" i="11"/>
  <c r="D447" i="11"/>
  <c r="F447" i="11"/>
  <c r="C480" i="11"/>
  <c r="B480" i="11"/>
  <c r="G480" i="11" s="1"/>
  <c r="A480" i="11"/>
  <c r="D480" i="11"/>
  <c r="F480" i="11"/>
  <c r="E480" i="11"/>
  <c r="F289" i="11"/>
  <c r="D289" i="11"/>
  <c r="E289" i="11"/>
  <c r="C289" i="11"/>
  <c r="B289" i="11"/>
  <c r="G289" i="11" s="1"/>
  <c r="A289" i="11"/>
  <c r="B243" i="11"/>
  <c r="G243" i="11" s="1"/>
  <c r="F243" i="11"/>
  <c r="E243" i="11"/>
  <c r="D243" i="11"/>
  <c r="C243" i="11"/>
  <c r="A243" i="11"/>
  <c r="B326" i="11"/>
  <c r="G326" i="11" s="1"/>
  <c r="F326" i="11"/>
  <c r="A326" i="11"/>
  <c r="E326" i="11"/>
  <c r="D326" i="11"/>
  <c r="C326" i="11"/>
  <c r="F205" i="11"/>
  <c r="E205" i="11"/>
  <c r="D205" i="11"/>
  <c r="C205" i="11"/>
  <c r="B205" i="11"/>
  <c r="G205" i="11" s="1"/>
  <c r="A205" i="11"/>
  <c r="B315" i="11"/>
  <c r="G315" i="11" s="1"/>
  <c r="F315" i="11"/>
  <c r="E315" i="11"/>
  <c r="D315" i="11"/>
  <c r="C315" i="11"/>
  <c r="A315" i="11"/>
  <c r="F202" i="11"/>
  <c r="E202" i="11"/>
  <c r="D202" i="11"/>
  <c r="C202" i="11"/>
  <c r="B202" i="11"/>
  <c r="G202" i="11" s="1"/>
  <c r="A202" i="11"/>
  <c r="F433" i="11"/>
  <c r="E433" i="11"/>
  <c r="D433" i="11"/>
  <c r="C433" i="11"/>
  <c r="B433" i="11"/>
  <c r="G433" i="11" s="1"/>
  <c r="A433" i="11"/>
  <c r="F239" i="11"/>
  <c r="E239" i="11"/>
  <c r="D239" i="11"/>
  <c r="C239" i="11"/>
  <c r="B239" i="11"/>
  <c r="G239" i="11" s="1"/>
  <c r="A239" i="11"/>
  <c r="F462" i="11"/>
  <c r="E462" i="11"/>
  <c r="A462" i="11"/>
  <c r="C462" i="11"/>
  <c r="B462" i="11"/>
  <c r="G462" i="11" s="1"/>
  <c r="D462" i="11"/>
  <c r="F226" i="11"/>
  <c r="E226" i="11"/>
  <c r="D226" i="11"/>
  <c r="C226" i="11"/>
  <c r="B226" i="11"/>
  <c r="G226" i="11" s="1"/>
  <c r="A226" i="11"/>
  <c r="F464" i="11"/>
  <c r="E464" i="11"/>
  <c r="D464" i="11"/>
  <c r="C464" i="11"/>
  <c r="B464" i="11"/>
  <c r="G464" i="11" s="1"/>
  <c r="A464" i="11"/>
  <c r="E249" i="11"/>
  <c r="D249" i="11"/>
  <c r="F249" i="11"/>
  <c r="C249" i="11"/>
  <c r="B249" i="11"/>
  <c r="G249" i="11" s="1"/>
  <c r="A249" i="11"/>
  <c r="F189" i="11"/>
  <c r="E189" i="11"/>
  <c r="D189" i="11"/>
  <c r="C189" i="11"/>
  <c r="B189" i="11"/>
  <c r="G189" i="11" s="1"/>
  <c r="A189" i="11"/>
  <c r="C296" i="11"/>
  <c r="A296" i="11"/>
  <c r="F296" i="11"/>
  <c r="E296" i="11"/>
  <c r="D296" i="11"/>
  <c r="B296" i="11"/>
  <c r="G296" i="11" s="1"/>
  <c r="B212" i="11"/>
  <c r="G212" i="11" s="1"/>
  <c r="A212" i="11"/>
  <c r="F212" i="11"/>
  <c r="E212" i="11"/>
  <c r="D212" i="11"/>
  <c r="C212" i="11"/>
  <c r="B346" i="11"/>
  <c r="G346" i="11" s="1"/>
  <c r="F346" i="11"/>
  <c r="E346" i="11"/>
  <c r="D346" i="11"/>
  <c r="C346" i="11"/>
  <c r="A346" i="11"/>
  <c r="B397" i="11"/>
  <c r="G397" i="11" s="1"/>
  <c r="A397" i="11"/>
  <c r="C397" i="11"/>
  <c r="F397" i="11"/>
  <c r="E397" i="11"/>
  <c r="D397" i="11"/>
  <c r="F446" i="11"/>
  <c r="E446" i="11"/>
  <c r="D446" i="11"/>
  <c r="C446" i="11"/>
  <c r="B446" i="11"/>
  <c r="G446" i="11" s="1"/>
  <c r="A446" i="11"/>
  <c r="F247" i="11"/>
  <c r="E247" i="11"/>
  <c r="D247" i="11"/>
  <c r="C247" i="11"/>
  <c r="B247" i="11"/>
  <c r="G247" i="11" s="1"/>
  <c r="A247" i="11"/>
  <c r="F413" i="11"/>
  <c r="E413" i="11"/>
  <c r="D413" i="11"/>
  <c r="C413" i="11"/>
  <c r="B413" i="11"/>
  <c r="G413" i="11" s="1"/>
  <c r="A413" i="11"/>
  <c r="D324" i="11"/>
  <c r="B324" i="11"/>
  <c r="G324" i="11" s="1"/>
  <c r="A324" i="11"/>
  <c r="F324" i="11"/>
  <c r="E324" i="11"/>
  <c r="C324" i="11"/>
  <c r="D465" i="11"/>
  <c r="C465" i="11"/>
  <c r="B465" i="11"/>
  <c r="G465" i="11" s="1"/>
  <c r="A465" i="11"/>
  <c r="E465" i="11"/>
  <c r="F465" i="11"/>
  <c r="F448" i="11"/>
  <c r="E448" i="11"/>
  <c r="D448" i="11"/>
  <c r="C448" i="11"/>
  <c r="B448" i="11"/>
  <c r="G448" i="11" s="1"/>
  <c r="A448" i="11"/>
  <c r="B257" i="11"/>
  <c r="G257" i="11" s="1"/>
  <c r="A257" i="11"/>
  <c r="D257" i="11"/>
  <c r="F257" i="11"/>
  <c r="E257" i="11"/>
  <c r="C257" i="11"/>
  <c r="F181" i="11"/>
  <c r="E181" i="11"/>
  <c r="D181" i="11"/>
  <c r="C181" i="11"/>
  <c r="B181" i="11"/>
  <c r="G181" i="11" s="1"/>
  <c r="A181" i="11"/>
  <c r="F499" i="11"/>
  <c r="E499" i="11"/>
  <c r="A499" i="11"/>
  <c r="C499" i="11"/>
  <c r="B499" i="11"/>
  <c r="G499" i="11" s="1"/>
  <c r="D499" i="11"/>
  <c r="F474" i="11"/>
  <c r="E474" i="11"/>
  <c r="D474" i="11"/>
  <c r="C474" i="11"/>
  <c r="B474" i="11"/>
  <c r="G474" i="11" s="1"/>
  <c r="A474" i="11"/>
  <c r="F218" i="11"/>
  <c r="E218" i="11"/>
  <c r="D218" i="11"/>
  <c r="C218" i="11"/>
  <c r="B218" i="11"/>
  <c r="G218" i="11" s="1"/>
  <c r="A218" i="11"/>
  <c r="A245" i="11"/>
  <c r="F245" i="11"/>
  <c r="E245" i="11"/>
  <c r="D245" i="11"/>
  <c r="C245" i="11"/>
  <c r="B245" i="11"/>
  <c r="G245" i="11" s="1"/>
  <c r="F304" i="11"/>
  <c r="E304" i="11"/>
  <c r="D304" i="11"/>
  <c r="B304" i="11"/>
  <c r="G304" i="11" s="1"/>
  <c r="C304" i="11"/>
  <c r="A304" i="11"/>
  <c r="F488" i="11"/>
  <c r="E488" i="11"/>
  <c r="D488" i="11"/>
  <c r="C488" i="11"/>
  <c r="B488" i="11"/>
  <c r="G488" i="11" s="1"/>
  <c r="A488" i="11"/>
  <c r="D182" i="11"/>
  <c r="C182" i="11"/>
  <c r="B182" i="11"/>
  <c r="G182" i="11" s="1"/>
  <c r="A182" i="11"/>
  <c r="F182" i="11"/>
  <c r="E182" i="11"/>
  <c r="E365" i="11"/>
  <c r="D365" i="11"/>
  <c r="C365" i="11"/>
  <c r="B365" i="11"/>
  <c r="G365" i="11" s="1"/>
  <c r="F365" i="11"/>
  <c r="A365" i="11"/>
  <c r="D356" i="11"/>
  <c r="C356" i="11"/>
  <c r="B356" i="11"/>
  <c r="G356" i="11" s="1"/>
  <c r="A356" i="11"/>
  <c r="F356" i="11"/>
  <c r="E356" i="11"/>
  <c r="F450" i="11"/>
  <c r="E450" i="11"/>
  <c r="D450" i="11"/>
  <c r="C450" i="11"/>
  <c r="B450" i="11"/>
  <c r="G450" i="11" s="1"/>
  <c r="A450" i="11"/>
  <c r="A473" i="11"/>
  <c r="F473" i="11"/>
  <c r="B473" i="11"/>
  <c r="G473" i="11" s="1"/>
  <c r="E473" i="11"/>
  <c r="D473" i="11"/>
  <c r="C473" i="11"/>
  <c r="D283" i="11"/>
  <c r="B283" i="11"/>
  <c r="G283" i="11" s="1"/>
  <c r="A283" i="11"/>
  <c r="E283" i="11"/>
  <c r="C283" i="11"/>
  <c r="F283" i="11"/>
  <c r="E219" i="11"/>
  <c r="D219" i="11"/>
  <c r="C219" i="11"/>
  <c r="B219" i="11"/>
  <c r="G219" i="11" s="1"/>
  <c r="A219" i="11"/>
  <c r="F219" i="11"/>
  <c r="E310" i="11"/>
  <c r="D310" i="11"/>
  <c r="C310" i="11"/>
  <c r="B310" i="11"/>
  <c r="G310" i="11" s="1"/>
  <c r="F310" i="11"/>
  <c r="A310" i="11"/>
  <c r="B458" i="11"/>
  <c r="G458" i="11" s="1"/>
  <c r="A458" i="11"/>
  <c r="C458" i="11"/>
  <c r="F458" i="11"/>
  <c r="E458" i="11"/>
  <c r="D458" i="11"/>
  <c r="F305" i="11"/>
  <c r="D305" i="11"/>
  <c r="C305" i="11"/>
  <c r="A305" i="11"/>
  <c r="E305" i="11"/>
  <c r="B305" i="11"/>
  <c r="G305" i="11" s="1"/>
  <c r="C199" i="11"/>
  <c r="B199" i="11"/>
  <c r="G199" i="11" s="1"/>
  <c r="A199" i="11"/>
  <c r="F199" i="11"/>
  <c r="E199" i="11"/>
  <c r="D199" i="11"/>
  <c r="F420" i="11"/>
  <c r="E420" i="11"/>
  <c r="D420" i="11"/>
  <c r="C420" i="11"/>
  <c r="B420" i="11"/>
  <c r="G420" i="11" s="1"/>
  <c r="A420" i="11"/>
  <c r="C234" i="11"/>
  <c r="B234" i="11"/>
  <c r="G234" i="11" s="1"/>
  <c r="A234" i="11"/>
  <c r="F234" i="11"/>
  <c r="E234" i="11"/>
  <c r="D234" i="11"/>
  <c r="E391" i="11"/>
  <c r="D391" i="11"/>
  <c r="C391" i="11"/>
  <c r="B391" i="11"/>
  <c r="G391" i="11" s="1"/>
  <c r="A391" i="11"/>
  <c r="F391" i="11"/>
  <c r="D221" i="11"/>
  <c r="C221" i="11"/>
  <c r="B221" i="11"/>
  <c r="G221" i="11" s="1"/>
  <c r="A221" i="11"/>
  <c r="F221" i="11"/>
  <c r="E221" i="11"/>
  <c r="A460" i="11"/>
  <c r="F460" i="11"/>
  <c r="B460" i="11"/>
  <c r="G460" i="11" s="1"/>
  <c r="E460" i="11"/>
  <c r="D460" i="11"/>
  <c r="C460" i="11"/>
  <c r="A240" i="11"/>
  <c r="F240" i="11"/>
  <c r="E240" i="11"/>
  <c r="D240" i="11"/>
  <c r="B240" i="11"/>
  <c r="G240" i="11" s="1"/>
  <c r="C240" i="11"/>
  <c r="E376" i="11"/>
  <c r="D376" i="11"/>
  <c r="C376" i="11"/>
  <c r="B376" i="11"/>
  <c r="G376" i="11" s="1"/>
  <c r="F376" i="11"/>
  <c r="A376" i="11"/>
  <c r="F293" i="11"/>
  <c r="E293" i="11"/>
  <c r="C293" i="11"/>
  <c r="D293" i="11"/>
  <c r="B293" i="11"/>
  <c r="G293" i="11" s="1"/>
  <c r="A293" i="11"/>
  <c r="A201" i="11"/>
  <c r="F201" i="11"/>
  <c r="E201" i="11"/>
  <c r="D201" i="11"/>
  <c r="C201" i="11"/>
  <c r="B201" i="11"/>
  <c r="G201" i="11" s="1"/>
  <c r="F387" i="11"/>
  <c r="E387" i="11"/>
  <c r="D387" i="11"/>
  <c r="C387" i="11"/>
  <c r="A387" i="11"/>
  <c r="B387" i="11"/>
  <c r="G387" i="11" s="1"/>
  <c r="E256" i="11"/>
  <c r="B256" i="11"/>
  <c r="G256" i="11" s="1"/>
  <c r="F256" i="11"/>
  <c r="D256" i="11"/>
  <c r="C256" i="11"/>
  <c r="A256" i="11"/>
  <c r="F359" i="11"/>
  <c r="E359" i="11"/>
  <c r="A359" i="11"/>
  <c r="D359" i="11"/>
  <c r="C359" i="11"/>
  <c r="B359" i="11"/>
  <c r="G359" i="11" s="1"/>
  <c r="A287" i="11"/>
  <c r="E287" i="11"/>
  <c r="B287" i="11"/>
  <c r="G287" i="11" s="1"/>
  <c r="D287" i="11"/>
  <c r="F287" i="11"/>
  <c r="C287" i="11"/>
  <c r="F472" i="11"/>
  <c r="E472" i="11"/>
  <c r="D472" i="11"/>
  <c r="C472" i="11"/>
  <c r="B472" i="11"/>
  <c r="G472" i="11" s="1"/>
  <c r="A472" i="11"/>
  <c r="F352" i="11"/>
  <c r="E352" i="11"/>
  <c r="D352" i="11"/>
  <c r="C352" i="11"/>
  <c r="B352" i="11"/>
  <c r="G352" i="11" s="1"/>
  <c r="A352" i="11"/>
  <c r="F485" i="11"/>
  <c r="E485" i="11"/>
  <c r="D485" i="11"/>
  <c r="C485" i="11"/>
  <c r="B485" i="11"/>
  <c r="G485" i="11" s="1"/>
  <c r="A485" i="11"/>
  <c r="F490" i="11"/>
  <c r="E490" i="11"/>
  <c r="D490" i="11"/>
  <c r="C490" i="11"/>
  <c r="B490" i="11"/>
  <c r="G490" i="11" s="1"/>
  <c r="A490" i="11"/>
  <c r="C339" i="11"/>
  <c r="A339" i="11"/>
  <c r="D339" i="11"/>
  <c r="B339" i="11"/>
  <c r="G339" i="11" s="1"/>
  <c r="E339" i="11"/>
  <c r="F339" i="11"/>
  <c r="F260" i="11"/>
  <c r="E260" i="11"/>
  <c r="C260" i="11"/>
  <c r="D260" i="11"/>
  <c r="B260" i="11"/>
  <c r="G260" i="11" s="1"/>
  <c r="A260" i="11"/>
  <c r="F233" i="11"/>
  <c r="E233" i="11"/>
  <c r="D233" i="11"/>
  <c r="C233" i="11"/>
  <c r="B233" i="11"/>
  <c r="G233" i="11" s="1"/>
  <c r="A233" i="11"/>
  <c r="F215" i="11"/>
  <c r="E215" i="11"/>
  <c r="D215" i="11"/>
  <c r="C215" i="11"/>
  <c r="B215" i="11"/>
  <c r="G215" i="11" s="1"/>
  <c r="A215" i="11"/>
  <c r="F481" i="11"/>
  <c r="E481" i="11"/>
  <c r="D481" i="11"/>
  <c r="C481" i="11"/>
  <c r="B481" i="11"/>
  <c r="G481" i="11" s="1"/>
  <c r="A481" i="11"/>
  <c r="F271" i="11"/>
  <c r="D271" i="11"/>
  <c r="C271" i="11"/>
  <c r="A271" i="11"/>
  <c r="E271" i="11"/>
  <c r="B271" i="11"/>
  <c r="G271" i="11" s="1"/>
  <c r="E282" i="11"/>
  <c r="D282" i="11"/>
  <c r="B282" i="11"/>
  <c r="G282" i="11" s="1"/>
  <c r="F282" i="11"/>
  <c r="C282" i="11"/>
  <c r="A282" i="11"/>
  <c r="F213" i="11"/>
  <c r="E213" i="11"/>
  <c r="D213" i="11"/>
  <c r="C213" i="11"/>
  <c r="B213" i="11"/>
  <c r="G213" i="11" s="1"/>
  <c r="A213" i="11"/>
  <c r="D197" i="11"/>
  <c r="C197" i="11"/>
  <c r="B197" i="11"/>
  <c r="G197" i="11" s="1"/>
  <c r="A197" i="11"/>
  <c r="F197" i="11"/>
  <c r="E197" i="11"/>
  <c r="D252" i="11"/>
  <c r="F252" i="11"/>
  <c r="E252" i="11"/>
  <c r="C252" i="11"/>
  <c r="B252" i="11"/>
  <c r="G252" i="11" s="1"/>
  <c r="A252" i="11"/>
  <c r="F222" i="11"/>
  <c r="E222" i="11"/>
  <c r="D222" i="11"/>
  <c r="C222" i="11"/>
  <c r="B222" i="11"/>
  <c r="G222" i="11" s="1"/>
  <c r="A222" i="11"/>
  <c r="F415" i="11"/>
  <c r="E415" i="11"/>
  <c r="D415" i="11"/>
  <c r="C415" i="11"/>
  <c r="B415" i="11"/>
  <c r="G415" i="11" s="1"/>
  <c r="A415" i="11"/>
  <c r="B360" i="11"/>
  <c r="G360" i="11" s="1"/>
  <c r="A360" i="11"/>
  <c r="F360" i="11"/>
  <c r="E360" i="11"/>
  <c r="D360" i="11"/>
  <c r="C360" i="11"/>
  <c r="F198" i="11"/>
  <c r="E198" i="11"/>
  <c r="D198" i="11"/>
  <c r="C198" i="11"/>
  <c r="B198" i="11"/>
  <c r="G198" i="11" s="1"/>
  <c r="A198" i="11"/>
  <c r="C491" i="11"/>
  <c r="B491" i="11"/>
  <c r="G491" i="11" s="1"/>
  <c r="A491" i="11"/>
  <c r="D491" i="11"/>
  <c r="F491" i="11"/>
  <c r="E491" i="11"/>
  <c r="F357" i="11"/>
  <c r="B357" i="11"/>
  <c r="G357" i="11" s="1"/>
  <c r="E357" i="11"/>
  <c r="D357" i="11"/>
  <c r="C357" i="11"/>
  <c r="A357" i="11"/>
  <c r="F370" i="11"/>
  <c r="E370" i="11"/>
  <c r="A370" i="11"/>
  <c r="D370" i="11"/>
  <c r="C370" i="11"/>
  <c r="B370" i="11"/>
  <c r="G370" i="11" s="1"/>
  <c r="F407" i="11"/>
  <c r="D407" i="11"/>
  <c r="C407" i="11"/>
  <c r="E407" i="11"/>
  <c r="B407" i="11"/>
  <c r="G407" i="11" s="1"/>
  <c r="A407" i="11"/>
  <c r="A190" i="11"/>
  <c r="F190" i="11"/>
  <c r="E190" i="11"/>
  <c r="D190" i="11"/>
  <c r="C190" i="11"/>
  <c r="B190" i="11"/>
  <c r="G190" i="11" s="1"/>
  <c r="F379" i="11"/>
  <c r="D379" i="11"/>
  <c r="C379" i="11"/>
  <c r="B379" i="11"/>
  <c r="G379" i="11" s="1"/>
  <c r="A379" i="11"/>
  <c r="E379" i="11"/>
  <c r="AE170" i="2"/>
  <c r="F170" i="11"/>
  <c r="E170" i="11"/>
  <c r="D170" i="11"/>
  <c r="C170" i="11"/>
  <c r="B170" i="11"/>
  <c r="A170" i="11"/>
  <c r="F494" i="11"/>
  <c r="E494" i="11"/>
  <c r="D494" i="11"/>
  <c r="C494" i="11"/>
  <c r="B494" i="11"/>
  <c r="G494" i="11" s="1"/>
  <c r="A494" i="11"/>
  <c r="E373" i="11"/>
  <c r="F373" i="11"/>
  <c r="D373" i="11"/>
  <c r="C373" i="11"/>
  <c r="B373" i="11"/>
  <c r="G373" i="11" s="1"/>
  <c r="A373" i="11"/>
  <c r="B384" i="11"/>
  <c r="G384" i="11" s="1"/>
  <c r="A384" i="11"/>
  <c r="F384" i="11"/>
  <c r="E384" i="11"/>
  <c r="D384" i="11"/>
  <c r="C384" i="11"/>
  <c r="F381" i="11"/>
  <c r="E381" i="11"/>
  <c r="C381" i="11"/>
  <c r="B381" i="11"/>
  <c r="G381" i="11" s="1"/>
  <c r="D381" i="11"/>
  <c r="A381" i="11"/>
  <c r="D378" i="11"/>
  <c r="C378" i="11"/>
  <c r="B378" i="11"/>
  <c r="G378" i="11" s="1"/>
  <c r="A378" i="11"/>
  <c r="F378" i="11"/>
  <c r="E378" i="11"/>
  <c r="E362" i="11"/>
  <c r="F362" i="11"/>
  <c r="D362" i="11"/>
  <c r="C362" i="11"/>
  <c r="B362" i="11"/>
  <c r="G362" i="11" s="1"/>
  <c r="A362" i="11"/>
  <c r="F453" i="11"/>
  <c r="E453" i="11"/>
  <c r="D453" i="11"/>
  <c r="C453" i="11"/>
  <c r="B453" i="11"/>
  <c r="G453" i="11" s="1"/>
  <c r="A453" i="11"/>
  <c r="B469" i="11"/>
  <c r="G469" i="11" s="1"/>
  <c r="A469" i="11"/>
  <c r="C469" i="11"/>
  <c r="E469" i="11"/>
  <c r="D469" i="11"/>
  <c r="F469" i="11"/>
  <c r="F267" i="11"/>
  <c r="C267" i="11"/>
  <c r="E267" i="11"/>
  <c r="D267" i="11"/>
  <c r="B267" i="11"/>
  <c r="G267" i="11" s="1"/>
  <c r="A267" i="11"/>
  <c r="F178" i="11"/>
  <c r="E178" i="11"/>
  <c r="D178" i="11"/>
  <c r="C178" i="11"/>
  <c r="B178" i="11"/>
  <c r="G178" i="11" s="1"/>
  <c r="A178" i="11"/>
  <c r="E307" i="11"/>
  <c r="C307" i="11"/>
  <c r="B307" i="11"/>
  <c r="G307" i="11" s="1"/>
  <c r="F307" i="11"/>
  <c r="D307" i="11"/>
  <c r="A307" i="11"/>
  <c r="F340" i="11"/>
  <c r="E340" i="11"/>
  <c r="D340" i="11"/>
  <c r="C340" i="11"/>
  <c r="B340" i="11"/>
  <c r="G340" i="11" s="1"/>
  <c r="A340" i="11"/>
  <c r="B300" i="11"/>
  <c r="G300" i="11" s="1"/>
  <c r="F300" i="11"/>
  <c r="E300" i="11"/>
  <c r="D300" i="11"/>
  <c r="C300" i="11"/>
  <c r="A300" i="11"/>
  <c r="F191" i="11"/>
  <c r="E191" i="11"/>
  <c r="D191" i="11"/>
  <c r="C191" i="11"/>
  <c r="B191" i="11"/>
  <c r="G191" i="11" s="1"/>
  <c r="A191" i="11"/>
  <c r="B410" i="11"/>
  <c r="G410" i="11" s="1"/>
  <c r="A410" i="11"/>
  <c r="C410" i="11"/>
  <c r="E410" i="11"/>
  <c r="D410" i="11"/>
  <c r="F410" i="11"/>
  <c r="D208" i="11"/>
  <c r="C208" i="11"/>
  <c r="B208" i="11"/>
  <c r="G208" i="11" s="1"/>
  <c r="A208" i="11"/>
  <c r="E208" i="11"/>
  <c r="F208" i="11"/>
  <c r="B369" i="11"/>
  <c r="G369" i="11" s="1"/>
  <c r="A369" i="11"/>
  <c r="C369" i="11"/>
  <c r="F369" i="11"/>
  <c r="E369" i="11"/>
  <c r="D369" i="11"/>
  <c r="F183" i="11"/>
  <c r="E183" i="11"/>
  <c r="D183" i="11"/>
  <c r="C183" i="11"/>
  <c r="B183" i="11"/>
  <c r="G183" i="11" s="1"/>
  <c r="A183" i="11"/>
  <c r="C380" i="11"/>
  <c r="B380" i="11"/>
  <c r="G380" i="11" s="1"/>
  <c r="A380" i="11"/>
  <c r="F380" i="11"/>
  <c r="E380" i="11"/>
  <c r="D380" i="11"/>
  <c r="F237" i="11"/>
  <c r="E237" i="11"/>
  <c r="D237" i="11"/>
  <c r="C237" i="11"/>
  <c r="B237" i="11"/>
  <c r="G237" i="11" s="1"/>
  <c r="A237" i="11"/>
  <c r="B274" i="11"/>
  <c r="G274" i="11" s="1"/>
  <c r="F274" i="11"/>
  <c r="E274" i="11"/>
  <c r="D274" i="11"/>
  <c r="C274" i="11"/>
  <c r="A274" i="11"/>
  <c r="E288" i="11"/>
  <c r="D288" i="11"/>
  <c r="B288" i="11"/>
  <c r="G288" i="11" s="1"/>
  <c r="A288" i="11"/>
  <c r="F288" i="11"/>
  <c r="C288" i="11"/>
  <c r="E195" i="11"/>
  <c r="D195" i="11"/>
  <c r="C195" i="11"/>
  <c r="B195" i="11"/>
  <c r="G195" i="11" s="1"/>
  <c r="A195" i="11"/>
  <c r="F195" i="11"/>
  <c r="D364" i="11"/>
  <c r="F364" i="11"/>
  <c r="E364" i="11"/>
  <c r="C364" i="11"/>
  <c r="B364" i="11"/>
  <c r="G364" i="11" s="1"/>
  <c r="A364" i="11"/>
  <c r="E261" i="11"/>
  <c r="F261" i="11"/>
  <c r="D261" i="11"/>
  <c r="C261" i="11"/>
  <c r="B261" i="11"/>
  <c r="G261" i="11" s="1"/>
  <c r="A261" i="11"/>
  <c r="C298" i="11"/>
  <c r="A298" i="11"/>
  <c r="F298" i="11"/>
  <c r="E298" i="11"/>
  <c r="D298" i="11"/>
  <c r="B298" i="11"/>
  <c r="G298" i="11" s="1"/>
  <c r="F273" i="11"/>
  <c r="E273" i="11"/>
  <c r="C273" i="11"/>
  <c r="B273" i="11"/>
  <c r="G273" i="11" s="1"/>
  <c r="D273" i="11"/>
  <c r="A273" i="11"/>
  <c r="E230" i="11"/>
  <c r="D230" i="11"/>
  <c r="C230" i="11"/>
  <c r="B230" i="11"/>
  <c r="G230" i="11" s="1"/>
  <c r="A230" i="11"/>
  <c r="F230" i="11"/>
  <c r="D335" i="11"/>
  <c r="B335" i="11"/>
  <c r="G335" i="11" s="1"/>
  <c r="A335" i="11"/>
  <c r="F335" i="11"/>
  <c r="E335" i="11"/>
  <c r="C335" i="11"/>
  <c r="D268" i="11"/>
  <c r="B268" i="11"/>
  <c r="G268" i="11" s="1"/>
  <c r="A268" i="11"/>
  <c r="F268" i="11"/>
  <c r="E268" i="11"/>
  <c r="C268" i="11"/>
  <c r="E476" i="11"/>
  <c r="D476" i="11"/>
  <c r="C476" i="11"/>
  <c r="B476" i="11"/>
  <c r="G476" i="11" s="1"/>
  <c r="A476" i="11"/>
  <c r="F476" i="11"/>
  <c r="F334" i="11"/>
  <c r="E334" i="11"/>
  <c r="D334" i="11"/>
  <c r="C334" i="11"/>
  <c r="B334" i="11"/>
  <c r="G334" i="11" s="1"/>
  <c r="A334" i="11"/>
  <c r="C430" i="11"/>
  <c r="B430" i="11"/>
  <c r="G430" i="11" s="1"/>
  <c r="A430" i="11"/>
  <c r="D430" i="11"/>
  <c r="F430" i="11"/>
  <c r="E430" i="11"/>
  <c r="A351" i="11"/>
  <c r="F351" i="11"/>
  <c r="E351" i="11"/>
  <c r="D351" i="11"/>
  <c r="C351" i="11"/>
  <c r="B351" i="11"/>
  <c r="G351" i="11" s="1"/>
  <c r="F498" i="11"/>
  <c r="E498" i="11"/>
  <c r="D498" i="11"/>
  <c r="C498" i="11"/>
  <c r="B498" i="11"/>
  <c r="G498" i="11" s="1"/>
  <c r="A498" i="11"/>
  <c r="F291" i="11"/>
  <c r="D291" i="11"/>
  <c r="A291" i="11"/>
  <c r="E291" i="11"/>
  <c r="C291" i="11"/>
  <c r="B291" i="11"/>
  <c r="G291" i="11" s="1"/>
  <c r="E329" i="11"/>
  <c r="D329" i="11"/>
  <c r="B329" i="11"/>
  <c r="G329" i="11" s="1"/>
  <c r="A329" i="11"/>
  <c r="F329" i="11"/>
  <c r="C329" i="11"/>
  <c r="F306" i="11"/>
  <c r="E306" i="11"/>
  <c r="D306" i="11"/>
  <c r="C306" i="11"/>
  <c r="B306" i="11"/>
  <c r="G306" i="11" s="1"/>
  <c r="A306" i="11"/>
  <c r="F231" i="11"/>
  <c r="E231" i="11"/>
  <c r="D231" i="11"/>
  <c r="C231" i="11"/>
  <c r="B231" i="11"/>
  <c r="G231" i="11" s="1"/>
  <c r="A231" i="11"/>
  <c r="A343" i="11"/>
  <c r="F343" i="11"/>
  <c r="E343" i="11"/>
  <c r="D343" i="11"/>
  <c r="C343" i="11"/>
  <c r="B343" i="11"/>
  <c r="G343" i="11" s="1"/>
  <c r="F402" i="11"/>
  <c r="E402" i="11"/>
  <c r="D402" i="11"/>
  <c r="C402" i="11"/>
  <c r="B402" i="11"/>
  <c r="G402" i="11" s="1"/>
  <c r="A402" i="11"/>
  <c r="E193" i="11"/>
  <c r="D193" i="11"/>
  <c r="C193" i="11"/>
  <c r="B193" i="11"/>
  <c r="G193" i="11" s="1"/>
  <c r="A193" i="11"/>
  <c r="F193" i="11"/>
  <c r="A423" i="11"/>
  <c r="F423" i="11"/>
  <c r="B423" i="11"/>
  <c r="G423" i="11" s="1"/>
  <c r="E423" i="11"/>
  <c r="D423" i="11"/>
  <c r="C423" i="11"/>
  <c r="E390" i="11"/>
  <c r="D390" i="11"/>
  <c r="F390" i="11"/>
  <c r="C390" i="11"/>
  <c r="B390" i="11"/>
  <c r="G390" i="11" s="1"/>
  <c r="A390" i="11"/>
  <c r="F368" i="11"/>
  <c r="B368" i="11"/>
  <c r="G368" i="11" s="1"/>
  <c r="E368" i="11"/>
  <c r="D368" i="11"/>
  <c r="C368" i="11"/>
  <c r="A368" i="11"/>
  <c r="E336" i="11"/>
  <c r="D336" i="11"/>
  <c r="C336" i="11"/>
  <c r="B336" i="11"/>
  <c r="G336" i="11" s="1"/>
  <c r="F336" i="11"/>
  <c r="A336" i="11"/>
  <c r="F187" i="11"/>
  <c r="E187" i="11"/>
  <c r="D187" i="11"/>
  <c r="C187" i="11"/>
  <c r="B187" i="11"/>
  <c r="G187" i="11" s="1"/>
  <c r="A187" i="11"/>
  <c r="B341" i="11"/>
  <c r="G341" i="11" s="1"/>
  <c r="F341" i="11"/>
  <c r="E341" i="11"/>
  <c r="D341" i="11"/>
  <c r="C341" i="11"/>
  <c r="A341" i="11"/>
  <c r="F418" i="11"/>
  <c r="E418" i="11"/>
  <c r="D418" i="11"/>
  <c r="C418" i="11"/>
  <c r="A418" i="11"/>
  <c r="B418" i="11"/>
  <c r="G418" i="11" s="1"/>
  <c r="C366" i="11"/>
  <c r="A366" i="11"/>
  <c r="F366" i="11"/>
  <c r="D366" i="11"/>
  <c r="B366" i="11"/>
  <c r="G366" i="11" s="1"/>
  <c r="E366" i="11"/>
  <c r="F398" i="11"/>
  <c r="E398" i="11"/>
  <c r="D398" i="11"/>
  <c r="B398" i="11"/>
  <c r="G398" i="11" s="1"/>
  <c r="A398" i="11"/>
  <c r="C398" i="11"/>
  <c r="D393" i="11"/>
  <c r="C393" i="11"/>
  <c r="B393" i="11"/>
  <c r="G393" i="11" s="1"/>
  <c r="A393" i="11"/>
  <c r="E393" i="11"/>
  <c r="F393" i="11"/>
  <c r="F411" i="11"/>
  <c r="E411" i="11"/>
  <c r="D411" i="11"/>
  <c r="C411" i="11"/>
  <c r="B411" i="11"/>
  <c r="G411" i="11" s="1"/>
  <c r="A411" i="11"/>
  <c r="F389" i="11"/>
  <c r="E389" i="11"/>
  <c r="D389" i="11"/>
  <c r="C389" i="11"/>
  <c r="B389" i="11"/>
  <c r="G389" i="11" s="1"/>
  <c r="A389" i="11"/>
  <c r="D367" i="11"/>
  <c r="C367" i="11"/>
  <c r="B367" i="11"/>
  <c r="G367" i="11" s="1"/>
  <c r="A367" i="11"/>
  <c r="F367" i="11"/>
  <c r="E367" i="11"/>
  <c r="F463" i="11"/>
  <c r="E463" i="11"/>
  <c r="D463" i="11"/>
  <c r="C463" i="11"/>
  <c r="B463" i="11"/>
  <c r="G463" i="11" s="1"/>
  <c r="A463" i="11"/>
  <c r="F459" i="11"/>
  <c r="E459" i="11"/>
  <c r="D459" i="11"/>
  <c r="C459" i="11"/>
  <c r="B459" i="11"/>
  <c r="G459" i="11" s="1"/>
  <c r="A459" i="11"/>
  <c r="F264" i="11"/>
  <c r="D264" i="11"/>
  <c r="C264" i="11"/>
  <c r="A264" i="11"/>
  <c r="E264" i="11"/>
  <c r="B264" i="11"/>
  <c r="G264" i="11" s="1"/>
  <c r="F374" i="11"/>
  <c r="E374" i="11"/>
  <c r="D374" i="11"/>
  <c r="C374" i="11"/>
  <c r="B374" i="11"/>
  <c r="G374" i="11" s="1"/>
  <c r="A374" i="11"/>
  <c r="A302" i="11"/>
  <c r="F302" i="11"/>
  <c r="E302" i="11"/>
  <c r="D302" i="11"/>
  <c r="C302" i="11"/>
  <c r="B302" i="11"/>
  <c r="G302" i="11" s="1"/>
  <c r="E295" i="11"/>
  <c r="D295" i="11"/>
  <c r="C295" i="11"/>
  <c r="B295" i="11"/>
  <c r="G295" i="11" s="1"/>
  <c r="A295" i="11"/>
  <c r="F295" i="11"/>
  <c r="E281" i="11"/>
  <c r="C281" i="11"/>
  <c r="B281" i="11"/>
  <c r="G281" i="11" s="1"/>
  <c r="F281" i="11"/>
  <c r="D281" i="11"/>
  <c r="A281" i="11"/>
  <c r="A188" i="11"/>
  <c r="F188" i="11"/>
  <c r="E188" i="11"/>
  <c r="D188" i="11"/>
  <c r="C188" i="11"/>
  <c r="B188" i="11"/>
  <c r="G188" i="11" s="1"/>
  <c r="D408" i="11"/>
  <c r="C408" i="11"/>
  <c r="B408" i="11"/>
  <c r="G408" i="11" s="1"/>
  <c r="A408" i="11"/>
  <c r="E408" i="11"/>
  <c r="F408" i="11"/>
  <c r="F196" i="11"/>
  <c r="E196" i="11"/>
  <c r="D196" i="11"/>
  <c r="C196" i="11"/>
  <c r="B196" i="11"/>
  <c r="G196" i="11" s="1"/>
  <c r="A196" i="11"/>
  <c r="F318" i="11"/>
  <c r="D318" i="11"/>
  <c r="C318" i="11"/>
  <c r="A318" i="11"/>
  <c r="E318" i="11"/>
  <c r="B318" i="11"/>
  <c r="G318" i="11" s="1"/>
  <c r="AE171" i="2"/>
  <c r="C171" i="11"/>
  <c r="B171" i="11"/>
  <c r="A171" i="11"/>
  <c r="F171" i="11"/>
  <c r="E171" i="11"/>
  <c r="D171" i="11"/>
  <c r="D355" i="11"/>
  <c r="F355" i="11"/>
  <c r="E355" i="11"/>
  <c r="C355" i="11"/>
  <c r="B355" i="11"/>
  <c r="G355" i="11" s="1"/>
  <c r="A355" i="11"/>
  <c r="F229" i="11"/>
  <c r="E229" i="11"/>
  <c r="D229" i="11"/>
  <c r="C229" i="11"/>
  <c r="B229" i="11"/>
  <c r="G229" i="11" s="1"/>
  <c r="A229" i="11"/>
  <c r="B421" i="11"/>
  <c r="G421" i="11" s="1"/>
  <c r="A421" i="11"/>
  <c r="C421" i="11"/>
  <c r="F421" i="11"/>
  <c r="E421" i="11"/>
  <c r="D421" i="11"/>
  <c r="B285" i="11"/>
  <c r="G285" i="11" s="1"/>
  <c r="F285" i="11"/>
  <c r="E285" i="11"/>
  <c r="D285" i="11"/>
  <c r="C285" i="11"/>
  <c r="A285" i="11"/>
  <c r="E266" i="11"/>
  <c r="C266" i="11"/>
  <c r="B266" i="11"/>
  <c r="G266" i="11" s="1"/>
  <c r="F266" i="11"/>
  <c r="D266" i="11"/>
  <c r="A266" i="11"/>
  <c r="F396" i="11"/>
  <c r="E396" i="11"/>
  <c r="C396" i="11"/>
  <c r="B396" i="11"/>
  <c r="G396" i="11" s="1"/>
  <c r="D396" i="11"/>
  <c r="A396" i="11"/>
  <c r="F461" i="11"/>
  <c r="E461" i="11"/>
  <c r="D461" i="11"/>
  <c r="C461" i="11"/>
  <c r="B461" i="11"/>
  <c r="G461" i="11" s="1"/>
  <c r="A461" i="11"/>
  <c r="C255" i="11"/>
  <c r="B255" i="11"/>
  <c r="G255" i="11" s="1"/>
  <c r="F255" i="11"/>
  <c r="E255" i="11"/>
  <c r="D255" i="11"/>
  <c r="A255" i="11"/>
  <c r="B241" i="11"/>
  <c r="G241" i="11" s="1"/>
  <c r="F241" i="11"/>
  <c r="E241" i="11"/>
  <c r="D241" i="11"/>
  <c r="C241" i="11"/>
  <c r="A241" i="11"/>
  <c r="D478" i="11"/>
  <c r="C478" i="11"/>
  <c r="B478" i="11"/>
  <c r="G478" i="11" s="1"/>
  <c r="A478" i="11"/>
  <c r="E478" i="11"/>
  <c r="F478" i="11"/>
  <c r="F192" i="11"/>
  <c r="E192" i="11"/>
  <c r="D192" i="11"/>
  <c r="C192" i="11"/>
  <c r="B192" i="11"/>
  <c r="G192" i="11" s="1"/>
  <c r="A192" i="11"/>
  <c r="B238" i="11"/>
  <c r="G238" i="11" s="1"/>
  <c r="A238" i="11"/>
  <c r="F238" i="11"/>
  <c r="E238" i="11"/>
  <c r="D238" i="11"/>
  <c r="C238" i="11"/>
  <c r="B495" i="11"/>
  <c r="G495" i="11" s="1"/>
  <c r="A495" i="11"/>
  <c r="C495" i="11"/>
  <c r="F495" i="11"/>
  <c r="E495" i="11"/>
  <c r="D495" i="11"/>
  <c r="A216" i="11"/>
  <c r="F216" i="11"/>
  <c r="E216" i="11"/>
  <c r="D216" i="11"/>
  <c r="C216" i="11"/>
  <c r="B216" i="11"/>
  <c r="G216" i="11" s="1"/>
  <c r="E353" i="11"/>
  <c r="D353" i="11"/>
  <c r="C353" i="11"/>
  <c r="B353" i="11"/>
  <c r="G353" i="11" s="1"/>
  <c r="A353" i="11"/>
  <c r="F353" i="11"/>
  <c r="E333" i="11"/>
  <c r="C333" i="11"/>
  <c r="B333" i="11"/>
  <c r="G333" i="11" s="1"/>
  <c r="F333" i="11"/>
  <c r="D333" i="11"/>
  <c r="A333" i="11"/>
  <c r="F179" i="11"/>
  <c r="E179" i="11"/>
  <c r="D179" i="11"/>
  <c r="C179" i="11"/>
  <c r="B179" i="11"/>
  <c r="G179" i="11" s="1"/>
  <c r="A179" i="11"/>
  <c r="F312" i="11"/>
  <c r="D312" i="11"/>
  <c r="C312" i="11"/>
  <c r="B312" i="11"/>
  <c r="G312" i="11" s="1"/>
  <c r="A312" i="11"/>
  <c r="E312" i="11"/>
  <c r="F435" i="11"/>
  <c r="E435" i="11"/>
  <c r="D435" i="11"/>
  <c r="C435" i="11"/>
  <c r="B435" i="11"/>
  <c r="G435" i="11" s="1"/>
  <c r="A435" i="11"/>
  <c r="F385" i="11"/>
  <c r="E385" i="11"/>
  <c r="D385" i="11"/>
  <c r="C385" i="11"/>
  <c r="A385" i="11"/>
  <c r="B385" i="11"/>
  <c r="G385" i="11" s="1"/>
  <c r="F409" i="11"/>
  <c r="E409" i="11"/>
  <c r="C409" i="11"/>
  <c r="B409" i="11"/>
  <c r="G409" i="11" s="1"/>
  <c r="D409" i="11"/>
  <c r="A409" i="11"/>
  <c r="F400" i="11"/>
  <c r="E400" i="11"/>
  <c r="D400" i="11"/>
  <c r="C400" i="11"/>
  <c r="A400" i="11"/>
  <c r="B400" i="11"/>
  <c r="G400" i="11" s="1"/>
  <c r="F416" i="11"/>
  <c r="E416" i="11"/>
  <c r="D416" i="11"/>
  <c r="C416" i="11"/>
  <c r="B416" i="11"/>
  <c r="G416" i="11" s="1"/>
  <c r="A416" i="11"/>
  <c r="C395" i="11"/>
  <c r="B395" i="11"/>
  <c r="G395" i="11" s="1"/>
  <c r="A395" i="11"/>
  <c r="D395" i="11"/>
  <c r="F395" i="11"/>
  <c r="E395" i="11"/>
  <c r="E375" i="11"/>
  <c r="D375" i="11"/>
  <c r="C375" i="11"/>
  <c r="B375" i="11"/>
  <c r="G375" i="11" s="1"/>
  <c r="A375" i="11"/>
  <c r="F375" i="11"/>
  <c r="F468" i="11"/>
  <c r="E468" i="11"/>
  <c r="D468" i="11"/>
  <c r="C468" i="11"/>
  <c r="B468" i="11"/>
  <c r="G468" i="11" s="1"/>
  <c r="A468" i="11"/>
  <c r="F455" i="11"/>
  <c r="E455" i="11"/>
  <c r="D455" i="11"/>
  <c r="C455" i="11"/>
  <c r="B455" i="11"/>
  <c r="G455" i="11" s="1"/>
  <c r="A455" i="11"/>
  <c r="A225" i="11"/>
  <c r="F225" i="11"/>
  <c r="E225" i="11"/>
  <c r="D225" i="11"/>
  <c r="C225" i="11"/>
  <c r="B225" i="11"/>
  <c r="G225" i="11" s="1"/>
  <c r="C443" i="11"/>
  <c r="B443" i="11"/>
  <c r="G443" i="11" s="1"/>
  <c r="A443" i="11"/>
  <c r="D443" i="11"/>
  <c r="F443" i="11"/>
  <c r="E443" i="11"/>
  <c r="D294" i="11"/>
  <c r="B294" i="11"/>
  <c r="G294" i="11" s="1"/>
  <c r="A294" i="11"/>
  <c r="E294" i="11"/>
  <c r="C294" i="11"/>
  <c r="F294" i="11"/>
  <c r="F279" i="11"/>
  <c r="D279" i="11"/>
  <c r="C279" i="11"/>
  <c r="A279" i="11"/>
  <c r="E279" i="11"/>
  <c r="B279" i="11"/>
  <c r="G279" i="11" s="1"/>
  <c r="E262" i="11"/>
  <c r="D262" i="11"/>
  <c r="B262" i="11"/>
  <c r="G262" i="11" s="1"/>
  <c r="C262" i="11"/>
  <c r="A262" i="11"/>
  <c r="F262" i="11"/>
  <c r="F470" i="11"/>
  <c r="E470" i="11"/>
  <c r="D470" i="11"/>
  <c r="C470" i="11"/>
  <c r="B470" i="11"/>
  <c r="G470" i="11" s="1"/>
  <c r="A470" i="11"/>
  <c r="B399" i="11"/>
  <c r="G399" i="11" s="1"/>
  <c r="A399" i="11"/>
  <c r="C399" i="11"/>
  <c r="E399" i="11"/>
  <c r="D399" i="11"/>
  <c r="F399" i="11"/>
  <c r="F194" i="11"/>
  <c r="E194" i="11"/>
  <c r="D194" i="11"/>
  <c r="C194" i="11"/>
  <c r="B194" i="11"/>
  <c r="G194" i="11" s="1"/>
  <c r="A194" i="11"/>
  <c r="B313" i="11"/>
  <c r="G313" i="11" s="1"/>
  <c r="F313" i="11"/>
  <c r="C313" i="11"/>
  <c r="E313" i="11"/>
  <c r="D313" i="11"/>
  <c r="A313" i="11"/>
  <c r="D454" i="11"/>
  <c r="C454" i="11"/>
  <c r="B454" i="11"/>
  <c r="G454" i="11" s="1"/>
  <c r="A454" i="11"/>
  <c r="E454" i="11"/>
  <c r="F454" i="11"/>
  <c r="A345" i="11"/>
  <c r="F345" i="11"/>
  <c r="E345" i="11"/>
  <c r="B345" i="11"/>
  <c r="G345" i="11" s="1"/>
  <c r="D345" i="11"/>
  <c r="C345" i="11"/>
  <c r="F211" i="11"/>
  <c r="E211" i="11"/>
  <c r="D211" i="11"/>
  <c r="C211" i="11"/>
  <c r="B211" i="11"/>
  <c r="G211" i="11" s="1"/>
  <c r="A211" i="11"/>
  <c r="D417" i="11"/>
  <c r="C417" i="11"/>
  <c r="B417" i="11"/>
  <c r="G417" i="11" s="1"/>
  <c r="A417" i="11"/>
  <c r="E417" i="11"/>
  <c r="F417" i="11"/>
  <c r="F277" i="11"/>
  <c r="D277" i="11"/>
  <c r="C277" i="11"/>
  <c r="A277" i="11"/>
  <c r="E277" i="11"/>
  <c r="B277" i="11"/>
  <c r="G277" i="11" s="1"/>
  <c r="E301" i="11"/>
  <c r="D301" i="11"/>
  <c r="B301" i="11"/>
  <c r="G301" i="11" s="1"/>
  <c r="A301" i="11"/>
  <c r="F301" i="11"/>
  <c r="C301" i="11"/>
  <c r="C184" i="11"/>
  <c r="B184" i="11"/>
  <c r="G184" i="11" s="1"/>
  <c r="A184" i="11"/>
  <c r="F184" i="11"/>
  <c r="D184" i="11"/>
  <c r="E184" i="11"/>
  <c r="F475" i="11"/>
  <c r="E475" i="11"/>
  <c r="A475" i="11"/>
  <c r="D475" i="11"/>
  <c r="C475" i="11"/>
  <c r="B475" i="11"/>
  <c r="G475" i="11" s="1"/>
  <c r="A242" i="11"/>
  <c r="F242" i="11"/>
  <c r="E242" i="11"/>
  <c r="D242" i="11"/>
  <c r="B242" i="11"/>
  <c r="G242" i="11" s="1"/>
  <c r="C242" i="11"/>
  <c r="F325" i="11"/>
  <c r="D325" i="11"/>
  <c r="C325" i="11"/>
  <c r="B325" i="11"/>
  <c r="G325" i="11" s="1"/>
  <c r="A325" i="11"/>
  <c r="E325" i="11"/>
  <c r="F466" i="11"/>
  <c r="E466" i="11"/>
  <c r="D466" i="11"/>
  <c r="C466" i="11"/>
  <c r="B466" i="11"/>
  <c r="G466" i="11" s="1"/>
  <c r="A466" i="11"/>
  <c r="C223" i="11"/>
  <c r="B223" i="11"/>
  <c r="G223" i="11" s="1"/>
  <c r="A223" i="11"/>
  <c r="F223" i="11"/>
  <c r="E223" i="11"/>
  <c r="D223" i="11"/>
  <c r="F319" i="11"/>
  <c r="E319" i="11"/>
  <c r="D319" i="11"/>
  <c r="C319" i="11"/>
  <c r="B319" i="11"/>
  <c r="G319" i="11" s="1"/>
  <c r="A319" i="11"/>
  <c r="B471" i="11"/>
  <c r="G471" i="11" s="1"/>
  <c r="A471" i="11"/>
  <c r="C471" i="11"/>
  <c r="F471" i="11"/>
  <c r="E471" i="11"/>
  <c r="D471" i="11"/>
  <c r="E322" i="11"/>
  <c r="C322" i="11"/>
  <c r="B322" i="11"/>
  <c r="G322" i="11" s="1"/>
  <c r="D322" i="11"/>
  <c r="F322" i="11"/>
  <c r="A322" i="11"/>
  <c r="F314" i="11"/>
  <c r="E314" i="11"/>
  <c r="C314" i="11"/>
  <c r="B314" i="11"/>
  <c r="G314" i="11" s="1"/>
  <c r="A314" i="11"/>
  <c r="D314" i="11"/>
  <c r="A317" i="11"/>
  <c r="F317" i="11"/>
  <c r="E317" i="11"/>
  <c r="B317" i="11"/>
  <c r="G317" i="11" s="1"/>
  <c r="D317" i="11"/>
  <c r="C317" i="11"/>
  <c r="F176" i="11"/>
  <c r="E176" i="11"/>
  <c r="D176" i="11"/>
  <c r="C176" i="11"/>
  <c r="B176" i="11"/>
  <c r="A176" i="11"/>
  <c r="F299" i="11"/>
  <c r="E299" i="11"/>
  <c r="C299" i="11"/>
  <c r="B299" i="11"/>
  <c r="G299" i="11" s="1"/>
  <c r="A299" i="11"/>
  <c r="D299" i="11"/>
  <c r="D441" i="11"/>
  <c r="C441" i="11"/>
  <c r="B441" i="11"/>
  <c r="G441" i="11" s="1"/>
  <c r="A441" i="11"/>
  <c r="E441" i="11"/>
  <c r="F441" i="11"/>
  <c r="A401" i="11"/>
  <c r="F401" i="11"/>
  <c r="B401" i="11"/>
  <c r="G401" i="11" s="1"/>
  <c r="E401" i="11"/>
  <c r="D401" i="11"/>
  <c r="C401" i="11"/>
  <c r="F414" i="11"/>
  <c r="E414" i="11"/>
  <c r="A414" i="11"/>
  <c r="D414" i="11"/>
  <c r="C414" i="11"/>
  <c r="B414" i="11"/>
  <c r="G414" i="11" s="1"/>
  <c r="F422" i="11"/>
  <c r="E422" i="11"/>
  <c r="D422" i="11"/>
  <c r="C422" i="11"/>
  <c r="B422" i="11"/>
  <c r="G422" i="11" s="1"/>
  <c r="A422" i="11"/>
  <c r="D428" i="11"/>
  <c r="C428" i="11"/>
  <c r="B428" i="11"/>
  <c r="G428" i="11" s="1"/>
  <c r="A428" i="11"/>
  <c r="E428" i="11"/>
  <c r="F428" i="11"/>
  <c r="F403" i="11"/>
  <c r="E403" i="11"/>
  <c r="A403" i="11"/>
  <c r="D403" i="11"/>
  <c r="C403" i="11"/>
  <c r="B403" i="11"/>
  <c r="G403" i="11" s="1"/>
  <c r="F383" i="11"/>
  <c r="E383" i="11"/>
  <c r="D383" i="11"/>
  <c r="B383" i="11"/>
  <c r="G383" i="11" s="1"/>
  <c r="A383" i="11"/>
  <c r="C383" i="11"/>
  <c r="F477" i="11"/>
  <c r="E477" i="11"/>
  <c r="D477" i="11"/>
  <c r="C477" i="11"/>
  <c r="A477" i="11"/>
  <c r="B477" i="11"/>
  <c r="G477" i="11" s="1"/>
  <c r="A449" i="11"/>
  <c r="F449" i="11"/>
  <c r="B449" i="11"/>
  <c r="G449" i="11" s="1"/>
  <c r="E449" i="11"/>
  <c r="D449" i="11"/>
  <c r="C449" i="11"/>
  <c r="C210" i="11"/>
  <c r="B210" i="11"/>
  <c r="G210" i="11" s="1"/>
  <c r="A210" i="11"/>
  <c r="F210" i="11"/>
  <c r="E210" i="11"/>
  <c r="D210" i="11"/>
  <c r="E426" i="11"/>
  <c r="D426" i="11"/>
  <c r="C426" i="11"/>
  <c r="B426" i="11"/>
  <c r="G426" i="11" s="1"/>
  <c r="A426" i="11"/>
  <c r="F426" i="11"/>
  <c r="F278" i="11"/>
  <c r="D278" i="11"/>
  <c r="E278" i="11"/>
  <c r="C278" i="11"/>
  <c r="B278" i="11"/>
  <c r="G278" i="11" s="1"/>
  <c r="A278" i="11"/>
  <c r="F246" i="11"/>
  <c r="B246" i="11"/>
  <c r="G246" i="11" s="1"/>
  <c r="A246" i="11"/>
  <c r="E246" i="11"/>
  <c r="D246" i="11"/>
  <c r="C246" i="11"/>
  <c r="A259" i="11"/>
  <c r="E259" i="11"/>
  <c r="D259" i="11"/>
  <c r="C259" i="11"/>
  <c r="B259" i="11"/>
  <c r="G259" i="11" s="1"/>
  <c r="F259" i="11"/>
  <c r="F330" i="11"/>
  <c r="E330" i="11"/>
  <c r="D330" i="11"/>
  <c r="B330" i="11"/>
  <c r="G330" i="11" s="1"/>
  <c r="A330" i="11"/>
  <c r="C330" i="11"/>
  <c r="C382" i="11"/>
  <c r="B382" i="11"/>
  <c r="G382" i="11" s="1"/>
  <c r="A382" i="11"/>
  <c r="F382" i="11"/>
  <c r="E382" i="11"/>
  <c r="D382" i="11"/>
  <c r="E180" i="11"/>
  <c r="D180" i="11"/>
  <c r="C180" i="11"/>
  <c r="B180" i="11"/>
  <c r="G180" i="11" s="1"/>
  <c r="A180" i="11"/>
  <c r="F180" i="11"/>
  <c r="E292" i="11"/>
  <c r="C292" i="11"/>
  <c r="B292" i="11"/>
  <c r="G292" i="11" s="1"/>
  <c r="F292" i="11"/>
  <c r="D292" i="11"/>
  <c r="A292" i="11"/>
  <c r="F327" i="11"/>
  <c r="E327" i="11"/>
  <c r="C327" i="11"/>
  <c r="B327" i="11"/>
  <c r="G327" i="11" s="1"/>
  <c r="A327" i="11"/>
  <c r="D327" i="11"/>
  <c r="F332" i="11"/>
  <c r="E332" i="11"/>
  <c r="D332" i="11"/>
  <c r="C332" i="11"/>
  <c r="B332" i="11"/>
  <c r="G332" i="11" s="1"/>
  <c r="A332" i="11"/>
  <c r="E206" i="11"/>
  <c r="D206" i="11"/>
  <c r="C206" i="11"/>
  <c r="B206" i="11"/>
  <c r="G206" i="11" s="1"/>
  <c r="A206" i="11"/>
  <c r="F206" i="11"/>
  <c r="F394" i="11"/>
  <c r="D394" i="11"/>
  <c r="C394" i="11"/>
  <c r="A394" i="11"/>
  <c r="E394" i="11"/>
  <c r="B394" i="11"/>
  <c r="G394" i="11" s="1"/>
  <c r="E269" i="11"/>
  <c r="B269" i="11"/>
  <c r="G269" i="11" s="1"/>
  <c r="C269" i="11"/>
  <c r="F269" i="11"/>
  <c r="D269" i="11"/>
  <c r="A269" i="11"/>
  <c r="F338" i="11"/>
  <c r="D338" i="11"/>
  <c r="C338" i="11"/>
  <c r="B338" i="11"/>
  <c r="G338" i="11" s="1"/>
  <c r="A338" i="11"/>
  <c r="E338" i="11"/>
  <c r="F235" i="11"/>
  <c r="E235" i="11"/>
  <c r="D235" i="11"/>
  <c r="C235" i="11"/>
  <c r="B235" i="11"/>
  <c r="G235" i="11" s="1"/>
  <c r="A235" i="11"/>
  <c r="F440" i="11"/>
  <c r="E440" i="11"/>
  <c r="D440" i="11"/>
  <c r="C440" i="11"/>
  <c r="A440" i="11"/>
  <c r="B440" i="11"/>
  <c r="G440" i="11" s="1"/>
  <c r="E248" i="11"/>
  <c r="D248" i="11"/>
  <c r="C248" i="11"/>
  <c r="B248" i="11"/>
  <c r="G248" i="11" s="1"/>
  <c r="A248" i="11"/>
  <c r="F248" i="11"/>
  <c r="E250" i="11"/>
  <c r="F250" i="11"/>
  <c r="D250" i="11"/>
  <c r="C250" i="11"/>
  <c r="B250" i="11"/>
  <c r="G250" i="11" s="1"/>
  <c r="A250" i="11"/>
  <c r="F442" i="11"/>
  <c r="E442" i="11"/>
  <c r="D442" i="11"/>
  <c r="C442" i="11"/>
  <c r="B442" i="11"/>
  <c r="G442" i="11" s="1"/>
  <c r="A442" i="11"/>
  <c r="C311" i="11"/>
  <c r="A311" i="11"/>
  <c r="F311" i="11"/>
  <c r="E311" i="11"/>
  <c r="D311" i="11"/>
  <c r="B311" i="11"/>
  <c r="G311" i="11" s="1"/>
  <c r="A244" i="11"/>
  <c r="F244" i="11"/>
  <c r="E244" i="11"/>
  <c r="D244" i="11"/>
  <c r="C244" i="11"/>
  <c r="B244" i="11"/>
  <c r="G244" i="11" s="1"/>
  <c r="F436" i="11"/>
  <c r="E436" i="11"/>
  <c r="A436" i="11"/>
  <c r="D436" i="11"/>
  <c r="C436" i="11"/>
  <c r="B436" i="11"/>
  <c r="G436" i="11" s="1"/>
  <c r="B214" i="11"/>
  <c r="G214" i="11" s="1"/>
  <c r="A214" i="11"/>
  <c r="F214" i="11"/>
  <c r="E214" i="11"/>
  <c r="D214" i="11"/>
  <c r="C214" i="11"/>
  <c r="F227" i="11"/>
  <c r="E227" i="11"/>
  <c r="D227" i="11"/>
  <c r="C227" i="11"/>
  <c r="B227" i="11"/>
  <c r="G227" i="11" s="1"/>
  <c r="A227" i="11"/>
  <c r="D309" i="11"/>
  <c r="B309" i="11"/>
  <c r="G309" i="11" s="1"/>
  <c r="A309" i="11"/>
  <c r="F309" i="11"/>
  <c r="E309" i="11"/>
  <c r="C309" i="11"/>
  <c r="B173" i="11"/>
  <c r="A173" i="11"/>
  <c r="F173" i="11"/>
  <c r="E173" i="11"/>
  <c r="C173" i="11"/>
  <c r="D173" i="11"/>
  <c r="F286" i="11"/>
  <c r="E286" i="11"/>
  <c r="C286" i="11"/>
  <c r="B286" i="11"/>
  <c r="G286" i="11" s="1"/>
  <c r="D286" i="11"/>
  <c r="A286" i="11"/>
  <c r="F444" i="11"/>
  <c r="E444" i="11"/>
  <c r="D444" i="11"/>
  <c r="C444" i="11"/>
  <c r="B444" i="11"/>
  <c r="G444" i="11" s="1"/>
  <c r="A444" i="11"/>
  <c r="A412" i="11"/>
  <c r="F412" i="11"/>
  <c r="B412" i="11"/>
  <c r="G412" i="11" s="1"/>
  <c r="E412" i="11"/>
  <c r="D412" i="11"/>
  <c r="C412" i="11"/>
  <c r="F437" i="11"/>
  <c r="E437" i="11"/>
  <c r="D437" i="11"/>
  <c r="C437" i="11"/>
  <c r="B437" i="11"/>
  <c r="G437" i="11" s="1"/>
  <c r="A437" i="11"/>
  <c r="F425" i="11"/>
  <c r="E425" i="11"/>
  <c r="A425" i="11"/>
  <c r="C425" i="11"/>
  <c r="B425" i="11"/>
  <c r="G425" i="11" s="1"/>
  <c r="D425" i="11"/>
  <c r="A434" i="11"/>
  <c r="F434" i="11"/>
  <c r="B434" i="11"/>
  <c r="G434" i="11" s="1"/>
  <c r="E434" i="11"/>
  <c r="D434" i="11"/>
  <c r="C434" i="11"/>
  <c r="E406" i="11"/>
  <c r="D406" i="11"/>
  <c r="C406" i="11"/>
  <c r="B406" i="11"/>
  <c r="G406" i="11" s="1"/>
  <c r="A406" i="11"/>
  <c r="F406" i="11"/>
  <c r="A386" i="11"/>
  <c r="F386" i="11"/>
  <c r="B386" i="11"/>
  <c r="G386" i="11" s="1"/>
  <c r="E386" i="11"/>
  <c r="D386" i="11"/>
  <c r="C386" i="11"/>
  <c r="D489" i="11"/>
  <c r="C489" i="11"/>
  <c r="B489" i="11"/>
  <c r="G489" i="11" s="1"/>
  <c r="A489" i="11"/>
  <c r="E489" i="11"/>
  <c r="F489" i="11"/>
  <c r="E405" i="11"/>
  <c r="D405" i="11"/>
  <c r="B405" i="11"/>
  <c r="G405" i="11" s="1"/>
  <c r="A405" i="11"/>
  <c r="F405" i="11"/>
  <c r="C405" i="11"/>
  <c r="F185" i="11"/>
  <c r="E185" i="11"/>
  <c r="D185" i="11"/>
  <c r="C185" i="11"/>
  <c r="B185" i="11"/>
  <c r="G185" i="11" s="1"/>
  <c r="A185" i="11"/>
  <c r="F388" i="11"/>
  <c r="E388" i="11"/>
  <c r="A388" i="11"/>
  <c r="C388" i="11"/>
  <c r="B388" i="11"/>
  <c r="G388" i="11" s="1"/>
  <c r="D388" i="11"/>
  <c r="E275" i="11"/>
  <c r="D275" i="11"/>
  <c r="B275" i="11"/>
  <c r="G275" i="11" s="1"/>
  <c r="A275" i="11"/>
  <c r="F275" i="11"/>
  <c r="C275" i="11"/>
  <c r="F438" i="11"/>
  <c r="E438" i="11"/>
  <c r="D438" i="11"/>
  <c r="C438" i="11"/>
  <c r="B438" i="11"/>
  <c r="G438" i="11" s="1"/>
  <c r="A438" i="11"/>
  <c r="F254" i="11"/>
  <c r="C254" i="11"/>
  <c r="A254" i="11"/>
  <c r="E254" i="11"/>
  <c r="B254" i="11"/>
  <c r="G254" i="11" s="1"/>
  <c r="D254" i="11"/>
  <c r="E316" i="11"/>
  <c r="D316" i="11"/>
  <c r="B316" i="11"/>
  <c r="G316" i="11" s="1"/>
  <c r="A316" i="11"/>
  <c r="F316" i="11"/>
  <c r="C316" i="11"/>
  <c r="F350" i="11"/>
  <c r="E350" i="11"/>
  <c r="D350" i="11"/>
  <c r="B350" i="11"/>
  <c r="G350" i="11" s="1"/>
  <c r="C350" i="11"/>
  <c r="A350" i="11"/>
  <c r="F177" i="11"/>
  <c r="E177" i="11"/>
  <c r="D177" i="11"/>
  <c r="C177" i="11"/>
  <c r="B177" i="11"/>
  <c r="A177" i="11"/>
  <c r="F284" i="11"/>
  <c r="D284" i="11"/>
  <c r="C284" i="11"/>
  <c r="A284" i="11"/>
  <c r="E284" i="11"/>
  <c r="B284" i="11"/>
  <c r="G284" i="11" s="1"/>
  <c r="A175" i="11"/>
  <c r="F175" i="11"/>
  <c r="E175" i="11"/>
  <c r="D175" i="11"/>
  <c r="C175" i="11"/>
  <c r="B175" i="11"/>
  <c r="F321" i="11"/>
  <c r="E321" i="11"/>
  <c r="D321" i="11"/>
  <c r="C321" i="11"/>
  <c r="B321" i="11"/>
  <c r="G321" i="11" s="1"/>
  <c r="A321" i="11"/>
  <c r="F200" i="11"/>
  <c r="E200" i="11"/>
  <c r="D200" i="11"/>
  <c r="C200" i="11"/>
  <c r="B200" i="11"/>
  <c r="G200" i="11" s="1"/>
  <c r="A200" i="11"/>
  <c r="A349" i="11"/>
  <c r="F349" i="11"/>
  <c r="E349" i="11"/>
  <c r="D349" i="11"/>
  <c r="C349" i="11"/>
  <c r="B349" i="11"/>
  <c r="G349" i="11" s="1"/>
  <c r="F258" i="11"/>
  <c r="D258" i="11"/>
  <c r="A258" i="11"/>
  <c r="E258" i="11"/>
  <c r="C258" i="11"/>
  <c r="B258" i="11"/>
  <c r="G258" i="11" s="1"/>
  <c r="AE172" i="2"/>
  <c r="F172" i="11"/>
  <c r="E172" i="11"/>
  <c r="D172" i="11"/>
  <c r="C172" i="11"/>
  <c r="B172" i="11"/>
  <c r="A172" i="11"/>
  <c r="F217" i="11"/>
  <c r="E217" i="11"/>
  <c r="D217" i="11"/>
  <c r="C217" i="11"/>
  <c r="B217" i="11"/>
  <c r="G217" i="11" s="1"/>
  <c r="A217" i="11"/>
  <c r="E92" i="11"/>
  <c r="BH64" i="5"/>
  <c r="BD64" i="5"/>
  <c r="AZ64" i="5"/>
  <c r="AN64" i="5"/>
  <c r="AJ64" i="5"/>
  <c r="AF64" i="5"/>
  <c r="T64" i="5"/>
  <c r="H64" i="5"/>
  <c r="P64" i="5"/>
  <c r="L64" i="5"/>
  <c r="P14" i="5"/>
  <c r="BD19" i="5"/>
  <c r="AZ19" i="5"/>
  <c r="T69" i="5"/>
  <c r="P69" i="5"/>
  <c r="BD69" i="5"/>
  <c r="BH69" i="5"/>
  <c r="AF69" i="5"/>
  <c r="L69" i="5"/>
  <c r="AF84" i="5"/>
  <c r="AZ69" i="5"/>
  <c r="AJ84" i="5"/>
  <c r="BD84" i="5"/>
  <c r="T84" i="5"/>
  <c r="AN69" i="5"/>
  <c r="AF19" i="5"/>
  <c r="AZ14" i="5"/>
  <c r="H84" i="5"/>
  <c r="L84" i="5"/>
  <c r="P84" i="5"/>
  <c r="H69" i="5"/>
  <c r="BH84" i="5"/>
  <c r="BH14" i="5"/>
  <c r="AN14" i="5"/>
  <c r="AJ14" i="5"/>
  <c r="AF14" i="5"/>
  <c r="T14" i="5"/>
  <c r="L14" i="5"/>
  <c r="H14" i="5"/>
  <c r="AN84" i="5"/>
  <c r="BH19" i="5"/>
  <c r="T19" i="5"/>
  <c r="P19" i="5"/>
  <c r="H19" i="5"/>
  <c r="AJ19" i="5"/>
  <c r="AN19" i="5"/>
  <c r="AJ74" i="5"/>
  <c r="L74" i="5"/>
  <c r="H74" i="5"/>
  <c r="AF74" i="5"/>
  <c r="T74" i="5"/>
  <c r="P74" i="5"/>
  <c r="BH74" i="5"/>
  <c r="BD74" i="5"/>
  <c r="AZ74" i="5"/>
  <c r="AN74" i="5"/>
  <c r="P94" i="5"/>
  <c r="BH94" i="5"/>
  <c r="BD94" i="5"/>
  <c r="L94" i="5"/>
  <c r="H94" i="5"/>
  <c r="AN94" i="5"/>
  <c r="AJ94" i="5"/>
  <c r="AF94" i="5"/>
  <c r="AZ94" i="5"/>
  <c r="T94" i="5"/>
  <c r="AN54" i="5"/>
  <c r="P54" i="5"/>
  <c r="L54" i="5"/>
  <c r="H54" i="5"/>
  <c r="AJ54" i="5"/>
  <c r="AF54" i="5"/>
  <c r="T54" i="5"/>
  <c r="BH54" i="5"/>
  <c r="BD54" i="5"/>
  <c r="AZ54" i="5"/>
  <c r="AN34" i="5"/>
  <c r="P34" i="5"/>
  <c r="L34" i="5"/>
  <c r="H34" i="5"/>
  <c r="AJ34" i="5"/>
  <c r="AF34" i="5"/>
  <c r="T34" i="5"/>
  <c r="BH34" i="5"/>
  <c r="BD34" i="5"/>
  <c r="AZ34" i="5"/>
  <c r="AN49" i="5"/>
  <c r="P49" i="5"/>
  <c r="L49" i="5"/>
  <c r="H49" i="5"/>
  <c r="AJ49" i="5"/>
  <c r="AF49" i="5"/>
  <c r="T49" i="5"/>
  <c r="BH49" i="5"/>
  <c r="BD49" i="5"/>
  <c r="AZ49" i="5"/>
  <c r="AN39" i="5"/>
  <c r="P39" i="5"/>
  <c r="L39" i="5"/>
  <c r="H39" i="5"/>
  <c r="AJ39" i="5"/>
  <c r="AF39" i="5"/>
  <c r="T39" i="5"/>
  <c r="BH39" i="5"/>
  <c r="BD39" i="5"/>
  <c r="AZ39" i="5"/>
  <c r="AN44" i="5"/>
  <c r="P44" i="5"/>
  <c r="L44" i="5"/>
  <c r="H44" i="5"/>
  <c r="AJ44" i="5"/>
  <c r="AF44" i="5"/>
  <c r="T44" i="5"/>
  <c r="BH44" i="5"/>
  <c r="BD44" i="5"/>
  <c r="AZ44" i="5"/>
  <c r="AZ29" i="5"/>
  <c r="T29" i="5"/>
  <c r="P29" i="5"/>
  <c r="L29" i="5"/>
  <c r="AN29" i="5"/>
  <c r="AJ29" i="5"/>
  <c r="AF29" i="5"/>
  <c r="BH29" i="5"/>
  <c r="BD29" i="5"/>
  <c r="AN59" i="5"/>
  <c r="P59" i="5"/>
  <c r="L59" i="5"/>
  <c r="AJ59" i="5"/>
  <c r="AF59" i="5"/>
  <c r="T59" i="5"/>
  <c r="BH59" i="5"/>
  <c r="BD59" i="5"/>
  <c r="AZ59" i="5"/>
  <c r="BD24" i="5"/>
  <c r="AF24" i="5"/>
  <c r="T24" i="5"/>
  <c r="P24" i="5"/>
  <c r="L24" i="5"/>
  <c r="AZ24" i="5"/>
  <c r="AN24" i="5"/>
  <c r="AJ24" i="5"/>
  <c r="BH24" i="5"/>
  <c r="P99" i="5"/>
  <c r="L99" i="5"/>
  <c r="H99" i="5"/>
  <c r="BD99" i="5"/>
  <c r="BH99" i="5"/>
  <c r="AZ99" i="5"/>
  <c r="AN99" i="5"/>
  <c r="AJ99" i="5"/>
  <c r="AF99" i="5"/>
  <c r="T99" i="5"/>
  <c r="AF79" i="5"/>
  <c r="H79" i="5"/>
  <c r="BH79" i="5"/>
  <c r="T79" i="5"/>
  <c r="P79" i="5"/>
  <c r="L79" i="5"/>
  <c r="BD79" i="5"/>
  <c r="AZ79" i="5"/>
  <c r="AN79" i="5"/>
  <c r="AJ79" i="5"/>
  <c r="P89" i="5"/>
  <c r="BH89" i="5"/>
  <c r="BD89" i="5"/>
  <c r="AZ89" i="5"/>
  <c r="L89" i="5"/>
  <c r="H89" i="5"/>
  <c r="AN89" i="5"/>
  <c r="AJ89" i="5"/>
  <c r="AF89" i="5"/>
  <c r="T89" i="5"/>
  <c r="V10" i="2"/>
  <c r="J78" i="13" s="1"/>
  <c r="V137" i="2"/>
  <c r="J7" i="13" s="1"/>
  <c r="V38" i="2"/>
  <c r="J164" i="13" s="1"/>
  <c r="V29" i="2"/>
  <c r="J93" i="13" s="1"/>
  <c r="V111" i="2"/>
  <c r="J12" i="13" s="1"/>
  <c r="V148" i="2"/>
  <c r="J77" i="13" s="1"/>
  <c r="V36" i="2"/>
  <c r="J146" i="13" s="1"/>
  <c r="V23" i="2"/>
  <c r="J117" i="13" s="1"/>
  <c r="V59" i="2"/>
  <c r="J144" i="13" s="1"/>
  <c r="V8" i="2"/>
  <c r="J106" i="13" s="1"/>
  <c r="V128" i="2"/>
  <c r="J148" i="13" s="1"/>
  <c r="V45" i="2"/>
  <c r="J3" i="13" s="1"/>
  <c r="V19" i="2"/>
  <c r="J29" i="13" s="1"/>
  <c r="V33" i="2"/>
  <c r="J94" i="13" s="1"/>
  <c r="V157" i="2"/>
  <c r="J2" i="13" s="1"/>
  <c r="V147" i="2"/>
  <c r="J123" i="13" s="1"/>
  <c r="V12" i="2"/>
  <c r="J124" i="13" s="1"/>
  <c r="V124" i="2"/>
  <c r="J126" i="13" s="1"/>
  <c r="V17" i="2"/>
  <c r="J139" i="13" s="1"/>
  <c r="V50" i="2"/>
  <c r="J79" i="13" s="1"/>
  <c r="V46" i="2"/>
  <c r="J115" i="13" s="1"/>
  <c r="V66" i="2"/>
  <c r="J22" i="13" s="1"/>
  <c r="V158" i="2"/>
  <c r="J20" i="13" s="1"/>
  <c r="V151" i="2"/>
  <c r="J142" i="13" s="1"/>
  <c r="V27" i="2"/>
  <c r="J95" i="13" s="1"/>
  <c r="V154" i="2"/>
  <c r="J157" i="13" s="1"/>
  <c r="V122" i="2"/>
  <c r="J88" i="13" s="1"/>
  <c r="V159" i="2"/>
  <c r="J8" i="13" s="1"/>
  <c r="V142" i="2"/>
  <c r="J90" i="13" s="1"/>
  <c r="V113" i="2"/>
  <c r="J6" i="13" s="1"/>
  <c r="V54" i="2"/>
  <c r="J80" i="13" s="1"/>
  <c r="V98" i="2"/>
  <c r="J83" i="13" s="1"/>
  <c r="V79" i="2"/>
  <c r="J53" i="13" s="1"/>
  <c r="V134" i="2"/>
  <c r="J25" i="13" s="1"/>
  <c r="V57" i="2"/>
  <c r="J38" i="13" s="1"/>
  <c r="V89" i="2"/>
  <c r="J5" i="13" s="1"/>
  <c r="V70" i="2"/>
  <c r="J137" i="13" s="1"/>
  <c r="V28" i="2"/>
  <c r="J97" i="13" s="1"/>
  <c r="V31" i="2"/>
  <c r="J96" i="13" s="1"/>
  <c r="V105" i="2"/>
  <c r="J140" i="13" s="1"/>
  <c r="V165" i="2"/>
  <c r="J30" i="13" s="1"/>
  <c r="V120" i="2"/>
  <c r="J74" i="13" s="1"/>
  <c r="V30" i="2"/>
  <c r="J99" i="13" s="1"/>
  <c r="V82" i="2"/>
  <c r="J150" i="13" s="1"/>
  <c r="V80" i="2"/>
  <c r="J71" i="13" s="1"/>
  <c r="V4" i="2"/>
  <c r="J105" i="13" s="1"/>
  <c r="V144" i="2"/>
  <c r="J76" i="13" s="1"/>
  <c r="V16" i="2"/>
  <c r="J159" i="13" s="1"/>
  <c r="V138" i="2"/>
  <c r="J116" i="13" s="1"/>
  <c r="V37" i="2"/>
  <c r="J34" i="13" s="1"/>
  <c r="V63" i="2"/>
  <c r="J145" i="13" s="1"/>
  <c r="V47" i="2"/>
  <c r="J134" i="13" s="1"/>
  <c r="V140" i="2"/>
  <c r="J75" i="13" s="1"/>
  <c r="V150" i="2"/>
  <c r="J129" i="13" s="1"/>
  <c r="V56" i="2"/>
  <c r="J66" i="13" s="1"/>
  <c r="V6" i="2"/>
  <c r="J107" i="13" s="1"/>
  <c r="V52" i="2"/>
  <c r="J65" i="13" s="1"/>
  <c r="V26" i="2"/>
  <c r="J98" i="13" s="1"/>
  <c r="V64" i="2"/>
  <c r="J68" i="13" s="1"/>
  <c r="V110" i="2"/>
  <c r="J86" i="13" s="1"/>
  <c r="V21" i="2"/>
  <c r="J26" i="13" s="1"/>
  <c r="V103" i="2"/>
  <c r="J58" i="13" s="1"/>
  <c r="V131" i="2"/>
  <c r="J155" i="13" s="1"/>
  <c r="V18" i="2"/>
  <c r="J109" i="13" s="1"/>
  <c r="V95" i="2"/>
  <c r="J56" i="13" s="1"/>
  <c r="V107" i="2"/>
  <c r="J162" i="13" s="1"/>
  <c r="V130" i="2"/>
  <c r="J165" i="13" s="1"/>
  <c r="V13" i="2"/>
  <c r="J152" i="13" s="1"/>
  <c r="V162" i="2"/>
  <c r="J132" i="13" s="1"/>
  <c r="V155" i="2"/>
  <c r="J143" i="13" s="1"/>
  <c r="V115" i="2"/>
  <c r="J113" i="13" s="1"/>
  <c r="V7" i="2"/>
  <c r="J104" i="13" s="1"/>
  <c r="V149" i="2"/>
  <c r="J49" i="13" s="1"/>
  <c r="V156" i="2"/>
  <c r="J63" i="13" s="1"/>
  <c r="V5" i="2"/>
  <c r="J102" i="13" s="1"/>
  <c r="V136" i="2"/>
  <c r="J19" i="13" s="1"/>
  <c r="V132" i="2"/>
  <c r="J149" i="13" s="1"/>
  <c r="V127" i="2"/>
  <c r="J122" i="13" s="1"/>
  <c r="V109" i="2"/>
  <c r="J141" i="13" s="1"/>
  <c r="V129" i="2"/>
  <c r="J45" i="13" s="1"/>
  <c r="V117" i="2"/>
  <c r="J42" i="13" s="1"/>
  <c r="V49" i="2"/>
  <c r="J36" i="13" s="1"/>
  <c r="V92" i="2"/>
  <c r="J114" i="13" s="1"/>
  <c r="V48" i="2"/>
  <c r="J64" i="13" s="1"/>
  <c r="V14" i="2"/>
  <c r="J108" i="13" s="1"/>
  <c r="V160" i="2"/>
  <c r="J14" i="13" s="1"/>
  <c r="V76" i="2"/>
  <c r="J70" i="13" s="1"/>
  <c r="V163" i="2"/>
  <c r="J31" i="13" s="1"/>
  <c r="V146" i="2"/>
  <c r="J91" i="13" s="1"/>
  <c r="V123" i="2"/>
  <c r="J60" i="13" s="1"/>
  <c r="V139" i="2"/>
  <c r="J135" i="13" s="1"/>
  <c r="V112" i="2"/>
  <c r="J18" i="13" s="1"/>
  <c r="V118" i="2"/>
  <c r="J87" i="13" s="1"/>
  <c r="V40" i="2"/>
  <c r="J147" i="13" s="1"/>
  <c r="V126" i="2"/>
  <c r="J89" i="13" s="1"/>
  <c r="V114" i="2"/>
  <c r="J24" i="13" s="1"/>
  <c r="V164" i="2"/>
  <c r="J32" i="13" s="1"/>
  <c r="V73" i="2"/>
  <c r="J39" i="13" s="1"/>
  <c r="V104" i="2"/>
  <c r="J125" i="13" s="1"/>
  <c r="V101" i="2"/>
  <c r="J119" i="13" s="1"/>
  <c r="V25" i="2"/>
  <c r="J92" i="13" s="1"/>
  <c r="V141" i="2"/>
  <c r="J47" i="13" s="1"/>
  <c r="V93" i="2"/>
  <c r="J133" i="13" s="1"/>
  <c r="V77" i="2"/>
  <c r="J40" i="13" s="1"/>
  <c r="V143" i="2"/>
  <c r="J61" i="13" s="1"/>
  <c r="V65" i="2"/>
  <c r="J4" i="13" s="1"/>
  <c r="V74" i="2"/>
  <c r="J81" i="13" s="1"/>
  <c r="V60" i="2"/>
  <c r="J67" i="13" s="1"/>
  <c r="V90" i="2"/>
  <c r="J23" i="13" s="1"/>
  <c r="V69" i="2"/>
  <c r="J112" i="13" s="1"/>
  <c r="V35" i="2"/>
  <c r="J120" i="13" s="1"/>
  <c r="V32" i="2"/>
  <c r="J130" i="13" s="1"/>
  <c r="V81" i="2"/>
  <c r="J118" i="13" s="1"/>
  <c r="V44" i="2"/>
  <c r="J15" i="13" s="1"/>
  <c r="V119" i="2"/>
  <c r="J59" i="13" s="1"/>
  <c r="V68" i="2"/>
  <c r="J16" i="13" s="1"/>
  <c r="V43" i="2"/>
  <c r="J9" i="13" s="1"/>
  <c r="V121" i="2"/>
  <c r="J43" i="13" s="1"/>
  <c r="V116" i="2"/>
  <c r="J136" i="13" s="1"/>
  <c r="V51" i="2"/>
  <c r="J50" i="13" s="1"/>
  <c r="V99" i="2"/>
  <c r="J57" i="13" s="1"/>
  <c r="V83" i="2"/>
  <c r="J54" i="13" s="1"/>
  <c r="V67" i="2"/>
  <c r="J10" i="13" s="1"/>
  <c r="V106" i="2"/>
  <c r="J85" i="13" s="1"/>
  <c r="V88" i="2"/>
  <c r="J17" i="13" s="1"/>
  <c r="V53" i="2"/>
  <c r="J37" i="13" s="1"/>
  <c r="V108" i="2"/>
  <c r="J156" i="13" s="1"/>
  <c r="V145" i="2"/>
  <c r="J48" i="13" s="1"/>
  <c r="V102" i="2"/>
  <c r="J84" i="13" s="1"/>
  <c r="V24" i="2"/>
  <c r="J138" i="13" s="1"/>
  <c r="V22" i="2"/>
  <c r="J28" i="13" s="1"/>
  <c r="V100" i="2"/>
  <c r="J73" i="13" s="1"/>
  <c r="V84" i="2"/>
  <c r="J163" i="13" s="1"/>
  <c r="V152" i="2"/>
  <c r="J62" i="13" s="1"/>
  <c r="V72" i="2"/>
  <c r="J69" i="13" s="1"/>
  <c r="V161" i="2"/>
  <c r="J111" i="13" s="1"/>
  <c r="V61" i="2"/>
  <c r="J161" i="13" s="1"/>
  <c r="V135" i="2"/>
  <c r="J13" i="13" s="1"/>
  <c r="V91" i="2"/>
  <c r="J11" i="13" s="1"/>
  <c r="V75" i="2"/>
  <c r="J52" i="13" s="1"/>
  <c r="V96" i="2"/>
  <c r="J72" i="13" s="1"/>
  <c r="V78" i="2"/>
  <c r="J128" i="13" s="1"/>
  <c r="V58" i="2"/>
  <c r="J127" i="13" s="1"/>
  <c r="V86" i="2"/>
  <c r="J151" i="13" s="1"/>
  <c r="V62" i="2"/>
  <c r="J158" i="13" s="1"/>
  <c r="V133" i="2"/>
  <c r="J46" i="13" s="1"/>
  <c r="V41" i="2"/>
  <c r="J35" i="13" s="1"/>
  <c r="V125" i="2"/>
  <c r="J44" i="13" s="1"/>
  <c r="V153" i="2"/>
  <c r="J160" i="13" s="1"/>
  <c r="V166" i="2"/>
  <c r="J33" i="13" s="1"/>
  <c r="V55" i="2"/>
  <c r="J121" i="13" s="1"/>
  <c r="V87" i="2"/>
  <c r="J55" i="13" s="1"/>
  <c r="V94" i="2"/>
  <c r="J82" i="13" s="1"/>
  <c r="V42" i="2"/>
  <c r="J21" i="13" s="1"/>
  <c r="V39" i="2"/>
  <c r="J154" i="13" s="1"/>
  <c r="V9" i="2"/>
  <c r="J131" i="13" s="1"/>
  <c r="V71" i="2"/>
  <c r="J51" i="13" s="1"/>
  <c r="V85" i="2"/>
  <c r="J153" i="13" s="1"/>
  <c r="V15" i="2"/>
  <c r="J166" i="13" s="1"/>
  <c r="V11" i="2"/>
  <c r="J110" i="13" s="1"/>
  <c r="V20" i="2"/>
  <c r="J27" i="13" s="1"/>
  <c r="V34" i="2"/>
  <c r="J100" i="13" s="1"/>
  <c r="V3" i="2"/>
  <c r="J103" i="13" s="1"/>
  <c r="V97" i="2"/>
  <c r="J41" i="13" s="1"/>
  <c r="G17" i="11" l="1"/>
  <c r="E110" i="13"/>
  <c r="G8" i="11"/>
  <c r="AD148" i="2"/>
  <c r="AD33" i="2"/>
  <c r="AD121" i="2"/>
  <c r="AD103" i="2"/>
  <c r="AD100" i="2"/>
  <c r="AD149" i="2"/>
  <c r="AD87" i="2"/>
  <c r="G7" i="11"/>
  <c r="G10" i="11"/>
  <c r="AC80" i="2"/>
  <c r="AH80" i="2" s="1"/>
  <c r="G14" i="11"/>
  <c r="AD18" i="2"/>
  <c r="G22" i="11"/>
  <c r="G6" i="11"/>
  <c r="AD39" i="2"/>
  <c r="G16" i="11"/>
  <c r="AD60" i="2"/>
  <c r="AC75" i="2"/>
  <c r="AH75" i="2" s="1"/>
  <c r="AD52" i="2"/>
  <c r="G107" i="11"/>
  <c r="G77" i="11"/>
  <c r="AD91" i="2"/>
  <c r="AD165" i="2"/>
  <c r="AD48" i="2"/>
  <c r="AD96" i="2"/>
  <c r="AD64" i="2"/>
  <c r="AD108" i="2"/>
  <c r="G176" i="11"/>
  <c r="G177" i="11"/>
  <c r="AD144" i="2"/>
  <c r="AD67" i="2"/>
  <c r="AD154" i="2"/>
  <c r="AD128" i="2"/>
  <c r="AD90" i="2"/>
  <c r="AC63" i="2"/>
  <c r="AH63" i="2" s="1"/>
  <c r="AD115" i="2"/>
  <c r="AD62" i="2"/>
  <c r="AD139" i="2"/>
  <c r="AD109" i="2"/>
  <c r="G23" i="11"/>
  <c r="G4" i="11"/>
  <c r="G137" i="11"/>
  <c r="G122" i="11"/>
  <c r="G26" i="11"/>
  <c r="AC71" i="2"/>
  <c r="AH71" i="2" s="1"/>
  <c r="G92" i="11"/>
  <c r="AC124" i="2"/>
  <c r="AH124" i="2" s="1"/>
  <c r="AC106" i="2"/>
  <c r="AH106" i="2" s="1"/>
  <c r="AC105" i="2"/>
  <c r="AH105" i="2" s="1"/>
  <c r="AC129" i="2"/>
  <c r="AH129" i="2" s="1"/>
  <c r="AC98" i="2"/>
  <c r="AH98" i="2" s="1"/>
  <c r="AC70" i="2"/>
  <c r="AH70" i="2" s="1"/>
  <c r="AC51" i="2"/>
  <c r="AH51" i="2" s="1"/>
  <c r="AC123" i="2"/>
  <c r="AH123" i="2" s="1"/>
  <c r="AC44" i="2"/>
  <c r="AH44" i="2" s="1"/>
  <c r="AC147" i="2"/>
  <c r="AH147" i="2" s="1"/>
  <c r="AC34" i="2"/>
  <c r="AH34" i="2" s="1"/>
  <c r="AD146" i="2"/>
  <c r="AD117" i="2"/>
  <c r="AC94" i="2"/>
  <c r="AH94" i="2" s="1"/>
  <c r="AD61" i="2"/>
  <c r="AC163" i="2"/>
  <c r="AH163" i="2" s="1"/>
  <c r="AD158" i="2"/>
  <c r="AC130" i="2"/>
  <c r="AH130" i="2" s="1"/>
  <c r="AC89" i="2"/>
  <c r="AH89" i="2" s="1"/>
  <c r="AC88" i="2"/>
  <c r="AH88" i="2" s="1"/>
  <c r="AD95" i="2"/>
  <c r="AD162" i="2"/>
  <c r="AD65" i="2"/>
  <c r="AD111" i="2"/>
  <c r="AD58" i="2"/>
  <c r="AD55" i="2"/>
  <c r="AC135" i="2"/>
  <c r="AH135" i="2" s="1"/>
  <c r="AD110" i="2"/>
  <c r="AD119" i="2"/>
  <c r="AD37" i="2"/>
  <c r="AC59" i="2"/>
  <c r="AH59" i="2" s="1"/>
  <c r="AD114" i="2"/>
  <c r="AC159" i="2"/>
  <c r="AH159" i="2" s="1"/>
  <c r="AD164" i="2"/>
  <c r="AD81" i="2"/>
  <c r="AD79" i="2"/>
  <c r="G19" i="11"/>
  <c r="AD45" i="2"/>
  <c r="AC160" i="2"/>
  <c r="AH160" i="2" s="1"/>
  <c r="AD29" i="2"/>
  <c r="AD99" i="2"/>
  <c r="AC136" i="2"/>
  <c r="AH136" i="2" s="1"/>
  <c r="AC150" i="2"/>
  <c r="AH150" i="2" s="1"/>
  <c r="AD69" i="2"/>
  <c r="AC20" i="2"/>
  <c r="AH20" i="2" s="1"/>
  <c r="AD31" i="2"/>
  <c r="AD84" i="2"/>
  <c r="AD73" i="2"/>
  <c r="AD43" i="2"/>
  <c r="AD30" i="2"/>
  <c r="AD145" i="2"/>
  <c r="AC116" i="2"/>
  <c r="AH116" i="2" s="1"/>
  <c r="AC125" i="2"/>
  <c r="AH125" i="2" s="1"/>
  <c r="AC68" i="2"/>
  <c r="AH68" i="2" s="1"/>
  <c r="AD166" i="2"/>
  <c r="AD38" i="2"/>
  <c r="G152" i="11"/>
  <c r="AC157" i="2"/>
  <c r="AH157" i="2" s="1"/>
  <c r="AD57" i="2"/>
  <c r="AD49" i="2"/>
  <c r="AD35" i="2"/>
  <c r="AD102" i="2"/>
  <c r="AD21" i="2"/>
  <c r="AD112" i="2"/>
  <c r="AC24" i="2"/>
  <c r="AH24" i="2" s="1"/>
  <c r="AD82" i="2"/>
  <c r="AD32" i="2"/>
  <c r="G9" i="11"/>
  <c r="AD41" i="2"/>
  <c r="AD143" i="2"/>
  <c r="AC120" i="2"/>
  <c r="AH120" i="2" s="1"/>
  <c r="AC27" i="2"/>
  <c r="AH27" i="2" s="1"/>
  <c r="AC153" i="2"/>
  <c r="AH153" i="2" s="1"/>
  <c r="AD93" i="2"/>
  <c r="AD76" i="2"/>
  <c r="AC151" i="2"/>
  <c r="AH151" i="2" s="1"/>
  <c r="AC50" i="2"/>
  <c r="AH50" i="2" s="1"/>
  <c r="AD155" i="2"/>
  <c r="AC36" i="2"/>
  <c r="AH36" i="2" s="1"/>
  <c r="AD13" i="2"/>
  <c r="AC78" i="2"/>
  <c r="AH78" i="2" s="1"/>
  <c r="AD132" i="2"/>
  <c r="AD127" i="2"/>
  <c r="AC161" i="2"/>
  <c r="AH161" i="2" s="1"/>
  <c r="AC66" i="2"/>
  <c r="AH66" i="2" s="1"/>
  <c r="AC126" i="2"/>
  <c r="AH126" i="2" s="1"/>
  <c r="AC131" i="2"/>
  <c r="AH131" i="2" s="1"/>
  <c r="AD83" i="2"/>
  <c r="AC118" i="2"/>
  <c r="AH118" i="2" s="1"/>
  <c r="AD28" i="2"/>
  <c r="AD3" i="2"/>
  <c r="AD53" i="2"/>
  <c r="AD40" i="2"/>
  <c r="AD97" i="2"/>
  <c r="AD25" i="2"/>
  <c r="G12" i="11"/>
  <c r="AC104" i="2"/>
  <c r="AH104" i="2" s="1"/>
  <c r="AD46" i="2"/>
  <c r="AD11" i="2"/>
  <c r="AD86" i="2"/>
  <c r="AD42" i="2"/>
  <c r="AC142" i="2"/>
  <c r="AH142" i="2" s="1"/>
  <c r="AD141" i="2"/>
  <c r="AC56" i="2"/>
  <c r="AH56" i="2" s="1"/>
  <c r="AD140" i="2"/>
  <c r="AC133" i="2"/>
  <c r="AH133" i="2" s="1"/>
  <c r="AD85" i="2"/>
  <c r="AD101" i="2"/>
  <c r="AD138" i="2"/>
  <c r="AD134" i="2"/>
  <c r="G15" i="11"/>
  <c r="AD113" i="2"/>
  <c r="AC74" i="2"/>
  <c r="AH74" i="2" s="1"/>
  <c r="G72" i="11"/>
  <c r="AD54" i="2"/>
  <c r="AD47" i="2"/>
  <c r="AC156" i="2"/>
  <c r="AH156" i="2" s="1"/>
  <c r="G5" i="11"/>
  <c r="G175" i="11"/>
  <c r="G174" i="11"/>
  <c r="G173" i="11"/>
  <c r="G172" i="11"/>
  <c r="G168" i="11"/>
  <c r="G167" i="11"/>
  <c r="G171" i="11"/>
  <c r="G169" i="11"/>
  <c r="G170" i="11"/>
  <c r="E43" i="14"/>
  <c r="E39" i="14"/>
  <c r="E35" i="14"/>
  <c r="E31" i="14"/>
  <c r="L40" i="12" a="1"/>
  <c r="L40" i="12" s="1"/>
  <c r="L39" i="12" a="1"/>
  <c r="L39" i="12" s="1"/>
  <c r="L38" i="12" a="1"/>
  <c r="L38" i="12" s="1"/>
  <c r="L37" i="12" a="1"/>
  <c r="L37" i="12" s="1"/>
  <c r="L33" i="12" a="1"/>
  <c r="L33" i="12" s="1"/>
  <c r="L32" i="12" a="1"/>
  <c r="L32" i="12" s="1"/>
  <c r="L14" i="12" a="1"/>
  <c r="L14" i="12" s="1"/>
  <c r="L15" i="12" a="1"/>
  <c r="L15" i="12" s="1"/>
  <c r="D16" i="12" a="1"/>
  <c r="D16" i="12" s="1"/>
  <c r="B15" i="12" a="1"/>
  <c r="B15" i="12" s="1"/>
  <c r="B13" i="12" a="1"/>
  <c r="B13" i="12" s="1"/>
  <c r="B22" i="12" a="1"/>
  <c r="B22" i="12" s="1"/>
  <c r="B21" i="12" a="1"/>
  <c r="B21" i="12" s="1"/>
  <c r="B20" i="12" a="1"/>
  <c r="B20" i="12" s="1"/>
  <c r="B19" i="12" a="1"/>
  <c r="B19" i="12" s="1"/>
  <c r="B18" i="12" a="1"/>
  <c r="B18" i="12" s="1"/>
  <c r="B17" i="12" a="1"/>
  <c r="B17" i="12" s="1"/>
  <c r="B16" i="12" a="1"/>
  <c r="B16" i="12" s="1"/>
  <c r="B14" i="12" a="1"/>
  <c r="B14" i="12" s="1"/>
  <c r="E124" i="13" l="1"/>
  <c r="AK9" i="12"/>
  <c r="AK8" i="12"/>
  <c r="AK7" i="12"/>
  <c r="AK6" i="12"/>
  <c r="AK5" i="12"/>
  <c r="AK4" i="12"/>
  <c r="E152" i="13" l="1"/>
  <c r="AF2" i="2"/>
  <c r="AE2" i="2" s="1"/>
  <c r="E108" i="13" l="1"/>
  <c r="AC107" i="2"/>
  <c r="A2" i="11"/>
  <c r="D2" i="11"/>
  <c r="B2" i="11"/>
  <c r="C2" i="11"/>
  <c r="E2" i="11"/>
  <c r="F2" i="11"/>
  <c r="AC72" i="2"/>
  <c r="AC17" i="2"/>
  <c r="AC12" i="2"/>
  <c r="AC16" i="2"/>
  <c r="AC92" i="2"/>
  <c r="AC122" i="2"/>
  <c r="E166" i="13" l="1"/>
  <c r="AC77" i="2"/>
  <c r="AD77" i="2" s="1"/>
  <c r="AC137" i="2"/>
  <c r="AD137" i="2" s="1"/>
  <c r="AC22" i="2"/>
  <c r="AH22" i="2" s="1"/>
  <c r="AC7" i="2"/>
  <c r="AH7" i="2" s="1"/>
  <c r="AC9" i="2"/>
  <c r="AH9" i="2" s="1"/>
  <c r="AC152" i="2"/>
  <c r="AH152" i="2" s="1"/>
  <c r="AC170" i="2"/>
  <c r="AH170" i="2" s="1"/>
  <c r="AC176" i="2"/>
  <c r="AC177" i="2"/>
  <c r="AC175" i="2"/>
  <c r="AC14" i="2"/>
  <c r="AH14" i="2" s="1"/>
  <c r="AC23" i="2"/>
  <c r="AH23" i="2" s="1"/>
  <c r="AC8" i="2"/>
  <c r="AH8" i="2" s="1"/>
  <c r="AC4" i="2"/>
  <c r="AH4" i="2" s="1"/>
  <c r="AC15" i="2"/>
  <c r="AH15" i="2" s="1"/>
  <c r="AC6" i="2"/>
  <c r="AD6" i="2" s="1"/>
  <c r="AC10" i="2"/>
  <c r="AH10" i="2" s="1"/>
  <c r="AC26" i="2"/>
  <c r="AH26" i="2" s="1"/>
  <c r="AC19" i="2"/>
  <c r="AD19" i="2" s="1"/>
  <c r="AC5" i="2"/>
  <c r="AD5" i="2" s="1"/>
  <c r="AC172" i="2"/>
  <c r="AD172" i="2" s="1"/>
  <c r="AC168" i="2"/>
  <c r="AH168" i="2" s="1"/>
  <c r="AC167" i="2"/>
  <c r="AH167" i="2" s="1"/>
  <c r="AC2" i="2"/>
  <c r="AC169" i="2"/>
  <c r="AH169" i="2" s="1"/>
  <c r="AC171" i="2"/>
  <c r="AH171" i="2" s="1"/>
  <c r="AC173" i="2"/>
  <c r="AC174" i="2"/>
  <c r="AH12" i="2"/>
  <c r="AD12" i="2"/>
  <c r="AH17" i="2"/>
  <c r="AD17" i="2"/>
  <c r="AH72" i="2"/>
  <c r="AD72" i="2"/>
  <c r="AH122" i="2"/>
  <c r="AD122" i="2"/>
  <c r="AH16" i="2"/>
  <c r="AD16" i="2"/>
  <c r="AH92" i="2"/>
  <c r="AD92" i="2"/>
  <c r="AH107" i="2"/>
  <c r="AD107" i="2"/>
  <c r="G6" i="14"/>
  <c r="AZ8" i="4"/>
  <c r="AF8" i="4"/>
  <c r="H8" i="4"/>
  <c r="B6" i="4"/>
  <c r="E159" i="13" l="1"/>
  <c r="AD7" i="2"/>
  <c r="AD9" i="2"/>
  <c r="AH137" i="2"/>
  <c r="AD2" i="2"/>
  <c r="AH2" i="2"/>
  <c r="AD22" i="2"/>
  <c r="AH77" i="2"/>
  <c r="AD152" i="2"/>
  <c r="AD23" i="2"/>
  <c r="AH5" i="2"/>
  <c r="AD4" i="2"/>
  <c r="AD14" i="2"/>
  <c r="AH6" i="2"/>
  <c r="AD8" i="2"/>
  <c r="AD10" i="2"/>
  <c r="AD15" i="2"/>
  <c r="AD170" i="2"/>
  <c r="AH175" i="2"/>
  <c r="AD175" i="2"/>
  <c r="AH177" i="2"/>
  <c r="AD177" i="2"/>
  <c r="AH176" i="2"/>
  <c r="AD176" i="2"/>
  <c r="AD167" i="2"/>
  <c r="AH19" i="2"/>
  <c r="G4" i="2" s="1"/>
  <c r="AD26" i="2"/>
  <c r="AD169" i="2"/>
  <c r="AH172" i="2"/>
  <c r="AD168" i="2"/>
  <c r="AD171" i="2"/>
  <c r="AH174" i="2"/>
  <c r="AD174" i="2"/>
  <c r="AH173" i="2"/>
  <c r="AD173" i="2"/>
  <c r="G5" i="2"/>
  <c r="G8" i="2"/>
  <c r="G7" i="2"/>
  <c r="N101" i="13"/>
  <c r="O101" i="13"/>
  <c r="P101" i="13"/>
  <c r="Q101" i="13"/>
  <c r="R101" i="13"/>
  <c r="M101" i="13"/>
  <c r="G101" i="13"/>
  <c r="B101" i="13"/>
  <c r="E139" i="13" l="1"/>
  <c r="BD117" i="4"/>
  <c r="BH116" i="4"/>
  <c r="BH119" i="4"/>
  <c r="BJ119" i="4" s="1"/>
  <c r="BI124" i="4"/>
  <c r="BD122" i="4"/>
  <c r="BA124" i="4"/>
  <c r="BH122" i="4"/>
  <c r="AZ122" i="4"/>
  <c r="AZ117" i="4"/>
  <c r="AZ124" i="4"/>
  <c r="BB124" i="4" s="1"/>
  <c r="AJ121" i="4"/>
  <c r="AZ116" i="4"/>
  <c r="AK119" i="4"/>
  <c r="AJ124" i="4"/>
  <c r="AL124" i="4" s="1"/>
  <c r="AZ119" i="4"/>
  <c r="BB119" i="4" s="1"/>
  <c r="BH117" i="4"/>
  <c r="AJ117" i="4"/>
  <c r="BA119" i="4"/>
  <c r="BH121" i="4"/>
  <c r="AJ119" i="4"/>
  <c r="AL119" i="4" s="1"/>
  <c r="BH124" i="4"/>
  <c r="BJ124" i="4" s="1"/>
  <c r="BD121" i="4"/>
  <c r="AK124" i="4"/>
  <c r="BE124" i="4"/>
  <c r="BD119" i="4"/>
  <c r="BF119" i="4" s="1"/>
  <c r="BI119" i="4"/>
  <c r="BD124" i="4"/>
  <c r="BF124" i="4" s="1"/>
  <c r="AJ116" i="4"/>
  <c r="BD116" i="4"/>
  <c r="BE119" i="4"/>
  <c r="AZ121" i="4"/>
  <c r="AJ122" i="4"/>
  <c r="T60" i="4"/>
  <c r="G3" i="2"/>
  <c r="G6" i="2" s="1"/>
  <c r="L24" i="14"/>
  <c r="T59" i="4"/>
  <c r="L28" i="14"/>
  <c r="K22" i="14"/>
  <c r="U67" i="4"/>
  <c r="T62" i="4"/>
  <c r="U62" i="4"/>
  <c r="G31" i="14"/>
  <c r="AJ62" i="4"/>
  <c r="AL62" i="4" s="1"/>
  <c r="AJ59" i="4"/>
  <c r="BH67" i="4"/>
  <c r="L60" i="4"/>
  <c r="BH64" i="4"/>
  <c r="T64" i="4"/>
  <c r="BD59" i="4"/>
  <c r="AJ67" i="4"/>
  <c r="T65" i="4"/>
  <c r="AJ65" i="4"/>
  <c r="AF59" i="4"/>
  <c r="BI67" i="4"/>
  <c r="G24" i="14"/>
  <c r="P64" i="4"/>
  <c r="P59" i="4"/>
  <c r="H54" i="4"/>
  <c r="AZ67" i="4"/>
  <c r="BB67" i="4" s="1"/>
  <c r="BI62" i="4"/>
  <c r="H28" i="14"/>
  <c r="BA62" i="4"/>
  <c r="P60" i="4"/>
  <c r="BE67" i="4"/>
  <c r="M67" i="4"/>
  <c r="L59" i="4"/>
  <c r="AZ59" i="4"/>
  <c r="L65" i="4"/>
  <c r="BD65" i="4"/>
  <c r="AZ64" i="4"/>
  <c r="Q67" i="4"/>
  <c r="AF67" i="4"/>
  <c r="AH67" i="4" s="1"/>
  <c r="H67" i="4"/>
  <c r="J67" i="4" s="1"/>
  <c r="BD64" i="4"/>
  <c r="G22" i="14"/>
  <c r="AK62" i="4"/>
  <c r="L64" i="4"/>
  <c r="BD67" i="4"/>
  <c r="BF67" i="4" s="1"/>
  <c r="BE62" i="4"/>
  <c r="H59" i="4"/>
  <c r="AG67" i="4"/>
  <c r="AJ60" i="4"/>
  <c r="I62" i="4"/>
  <c r="P62" i="4"/>
  <c r="R62" i="4" s="1"/>
  <c r="BA67" i="4"/>
  <c r="L67" i="4"/>
  <c r="N67" i="4" s="1"/>
  <c r="K19" i="14"/>
  <c r="BD60" i="4"/>
  <c r="AF60" i="4"/>
  <c r="H24" i="14"/>
  <c r="L20" i="14"/>
  <c r="AZ65" i="4"/>
  <c r="AK67" i="4"/>
  <c r="H64" i="4"/>
  <c r="AF62" i="4"/>
  <c r="AH62" i="4" s="1"/>
  <c r="P67" i="4"/>
  <c r="R67" i="4" s="1"/>
  <c r="AG62" i="4"/>
  <c r="K24" i="14"/>
  <c r="M24" i="14" s="1"/>
  <c r="H62" i="4"/>
  <c r="H65" i="4"/>
  <c r="BD62" i="4"/>
  <c r="BF62" i="4" s="1"/>
  <c r="AJ64" i="4"/>
  <c r="AZ62" i="4"/>
  <c r="BB62" i="4" s="1"/>
  <c r="BH65" i="4"/>
  <c r="G23" i="14"/>
  <c r="G26" i="14"/>
  <c r="G27" i="14"/>
  <c r="BH62" i="4"/>
  <c r="BJ62" i="4" s="1"/>
  <c r="BH60" i="4"/>
  <c r="Q62" i="4"/>
  <c r="H20" i="14"/>
  <c r="K26" i="14"/>
  <c r="AZ60" i="4"/>
  <c r="BH59" i="4"/>
  <c r="L62" i="4"/>
  <c r="N62" i="4" s="1"/>
  <c r="H60" i="4"/>
  <c r="G18" i="14"/>
  <c r="T67" i="4"/>
  <c r="AF64" i="4"/>
  <c r="K23" i="14"/>
  <c r="K27" i="14"/>
  <c r="P65" i="4"/>
  <c r="K28" i="14"/>
  <c r="M28" i="14" s="1"/>
  <c r="G19" i="14"/>
  <c r="K20" i="14"/>
  <c r="M20" i="14" s="1"/>
  <c r="G28" i="14"/>
  <c r="M62" i="4"/>
  <c r="I67" i="4"/>
  <c r="AF65" i="4"/>
  <c r="K18" i="14"/>
  <c r="G20" i="14"/>
  <c r="V62" i="4"/>
  <c r="AL67" i="4"/>
  <c r="G9" i="2"/>
  <c r="E109" i="13" l="1"/>
  <c r="BJ67" i="4"/>
  <c r="V67" i="4"/>
  <c r="J62" i="4"/>
  <c r="X59" i="5" s="1"/>
  <c r="BL59" i="5"/>
  <c r="S101" i="13"/>
  <c r="F101" i="13"/>
  <c r="C101" i="13"/>
  <c r="B1" i="10"/>
  <c r="E29" i="13" l="1"/>
  <c r="AB5" i="10"/>
  <c r="E27" i="13" l="1"/>
  <c r="AB13" i="10"/>
  <c r="AC13" i="10"/>
  <c r="AD13" i="10"/>
  <c r="AE13" i="10"/>
  <c r="AB10" i="10"/>
  <c r="AE12" i="10"/>
  <c r="AD12" i="10"/>
  <c r="AC12" i="10"/>
  <c r="AB12" i="10"/>
  <c r="AE11" i="10"/>
  <c r="AD11" i="10"/>
  <c r="AC11" i="10"/>
  <c r="AB11" i="10"/>
  <c r="AE10" i="10"/>
  <c r="AD10" i="10"/>
  <c r="AC10" i="10"/>
  <c r="AE9" i="10"/>
  <c r="AD9" i="10"/>
  <c r="AC9" i="10"/>
  <c r="AB9" i="10"/>
  <c r="AE8" i="10"/>
  <c r="AD8" i="10"/>
  <c r="AC8" i="10"/>
  <c r="AB8" i="10"/>
  <c r="AE7" i="10"/>
  <c r="AD7" i="10"/>
  <c r="AC7" i="10"/>
  <c r="AB7" i="10"/>
  <c r="AE6" i="10"/>
  <c r="AD6" i="10"/>
  <c r="AC6" i="10"/>
  <c r="AE5" i="10"/>
  <c r="AD5" i="10"/>
  <c r="AC5" i="10"/>
  <c r="E26" i="13" l="1"/>
  <c r="AE14" i="10"/>
  <c r="AB14" i="10"/>
  <c r="AD14" i="10"/>
  <c r="AC14" i="10"/>
  <c r="E28" i="13" l="1"/>
  <c r="BH15" i="4"/>
  <c r="U103" i="4"/>
  <c r="E100" i="4"/>
  <c r="AF57" i="4"/>
  <c r="BH20" i="4"/>
  <c r="AN117" i="4"/>
  <c r="BH81" i="4"/>
  <c r="AN76" i="4"/>
  <c r="AJ91" i="4"/>
  <c r="AF55" i="4"/>
  <c r="BH80" i="4"/>
  <c r="BH19" i="4"/>
  <c r="AN75" i="4"/>
  <c r="AN116" i="4"/>
  <c r="AJ90" i="4"/>
  <c r="AK93" i="4"/>
  <c r="BH83" i="4"/>
  <c r="BJ83" i="4" s="1"/>
  <c r="AG57" i="4"/>
  <c r="AO78" i="4"/>
  <c r="BI22" i="4"/>
  <c r="AO119" i="4"/>
  <c r="AF54" i="4"/>
  <c r="AN78" i="4"/>
  <c r="AP78" i="4" s="1"/>
  <c r="AJ93" i="4"/>
  <c r="BH22" i="4"/>
  <c r="BI83" i="4"/>
  <c r="AN119" i="4"/>
  <c r="AP119" i="4" s="1"/>
  <c r="BD71" i="4"/>
  <c r="BD70" i="4"/>
  <c r="BE73" i="4"/>
  <c r="BD73" i="4"/>
  <c r="Q98" i="4"/>
  <c r="P95" i="4"/>
  <c r="P98" i="4"/>
  <c r="R98" i="4" s="1"/>
  <c r="T101" i="4"/>
  <c r="T103" i="4"/>
  <c r="V103" i="4" s="1"/>
  <c r="T100" i="4"/>
  <c r="P96" i="4"/>
  <c r="BI88" i="4"/>
  <c r="AN35" i="4"/>
  <c r="AJ34" i="4"/>
  <c r="AG37" i="4"/>
  <c r="P70" i="4"/>
  <c r="M73" i="4"/>
  <c r="E116" i="4"/>
  <c r="T81" i="4"/>
  <c r="AJ83" i="4"/>
  <c r="AL83" i="4" s="1"/>
  <c r="E80" i="4"/>
  <c r="BD88" i="4"/>
  <c r="BF88" i="4" s="1"/>
  <c r="P83" i="4"/>
  <c r="R83" i="4" s="1"/>
  <c r="L91" i="4"/>
  <c r="U73" i="4"/>
  <c r="M98" i="4"/>
  <c r="Q93" i="4"/>
  <c r="AF91" i="4"/>
  <c r="AN91" i="4"/>
  <c r="E90" i="4"/>
  <c r="BI93" i="4"/>
  <c r="U98" i="4"/>
  <c r="T91" i="4"/>
  <c r="BI98" i="4"/>
  <c r="E95" i="4"/>
  <c r="AF98" i="4"/>
  <c r="AH98" i="4" s="1"/>
  <c r="H41" i="14"/>
  <c r="AN95" i="4"/>
  <c r="E85" i="4"/>
  <c r="I88" i="4"/>
  <c r="I78" i="4"/>
  <c r="U88" i="4"/>
  <c r="AJ76" i="4"/>
  <c r="G43" i="14"/>
  <c r="AN85" i="4"/>
  <c r="Q88" i="4"/>
  <c r="P122" i="4"/>
  <c r="L37" i="14"/>
  <c r="AN101" i="4"/>
  <c r="L103" i="4"/>
  <c r="Q119" i="4"/>
  <c r="T124" i="4"/>
  <c r="V124" i="4" s="1"/>
  <c r="H124" i="4"/>
  <c r="J124" i="4" s="1"/>
  <c r="AO124" i="4"/>
  <c r="BH101" i="4"/>
  <c r="P101" i="4"/>
  <c r="BD100" i="4"/>
  <c r="H101" i="4"/>
  <c r="BH76" i="4"/>
  <c r="E75" i="4"/>
  <c r="T78" i="4"/>
  <c r="V78" i="4" s="1"/>
  <c r="BD76" i="4"/>
  <c r="E70" i="4"/>
  <c r="T116" i="4"/>
  <c r="T25" i="4"/>
  <c r="AJ15" i="4"/>
  <c r="AF24" i="4"/>
  <c r="AN17" i="4"/>
  <c r="L32" i="4"/>
  <c r="AN29" i="4"/>
  <c r="BD44" i="4"/>
  <c r="AN55" i="4"/>
  <c r="M37" i="4"/>
  <c r="AZ55" i="4"/>
  <c r="AJ40" i="4"/>
  <c r="BD55" i="4"/>
  <c r="L57" i="4"/>
  <c r="T45" i="4"/>
  <c r="AG47" i="4"/>
  <c r="BD34" i="4"/>
  <c r="AJ44" i="4"/>
  <c r="AN49" i="4"/>
  <c r="BH37" i="4"/>
  <c r="BD40" i="4"/>
  <c r="BD50" i="4"/>
  <c r="AN59" i="4"/>
  <c r="BH40" i="4"/>
  <c r="BH50" i="4"/>
  <c r="BA42" i="4"/>
  <c r="T55" i="4"/>
  <c r="AN45" i="4"/>
  <c r="H25" i="4"/>
  <c r="AZ14" i="4"/>
  <c r="AZ25" i="4"/>
  <c r="L39" i="4"/>
  <c r="BD24" i="4"/>
  <c r="BH17" i="4"/>
  <c r="BH27" i="4"/>
  <c r="I32" i="4"/>
  <c r="P44" i="4"/>
  <c r="T20" i="4"/>
  <c r="AF15" i="4"/>
  <c r="P54" i="4"/>
  <c r="P37" i="4"/>
  <c r="H49" i="4"/>
  <c r="T37" i="4"/>
  <c r="H34" i="4"/>
  <c r="AZ19" i="4"/>
  <c r="AJ20" i="4"/>
  <c r="Q42" i="4"/>
  <c r="AZ30" i="4"/>
  <c r="P19" i="4"/>
  <c r="E117" i="13" l="1"/>
  <c r="AH57" i="4"/>
  <c r="BJ22" i="4"/>
  <c r="L81" i="4"/>
  <c r="K33" i="14"/>
  <c r="M33" i="14" s="1"/>
  <c r="AL93" i="4"/>
  <c r="L33" i="14"/>
  <c r="H93" i="4"/>
  <c r="G41" i="14"/>
  <c r="I41" i="14" s="1"/>
  <c r="I37" i="4"/>
  <c r="G35" i="14"/>
  <c r="H88" i="4"/>
  <c r="H39" i="4"/>
  <c r="H42" i="4"/>
  <c r="G36" i="14"/>
  <c r="H85" i="4"/>
  <c r="H45" i="14"/>
  <c r="H37" i="14"/>
  <c r="G37" i="14"/>
  <c r="H32" i="4"/>
  <c r="J32" i="4" s="1"/>
  <c r="L41" i="14"/>
  <c r="G44" i="14"/>
  <c r="H73" i="4"/>
  <c r="J73" i="4" s="1"/>
  <c r="H37" i="4"/>
  <c r="K45" i="14"/>
  <c r="L88" i="4"/>
  <c r="I42" i="4"/>
  <c r="K31" i="14"/>
  <c r="G40" i="14"/>
  <c r="H30" i="4"/>
  <c r="M88" i="4"/>
  <c r="H86" i="4"/>
  <c r="K40" i="14"/>
  <c r="H71" i="4"/>
  <c r="K39" i="14"/>
  <c r="L85" i="4"/>
  <c r="G45" i="14"/>
  <c r="I45" i="14" s="1"/>
  <c r="I28" i="14"/>
  <c r="K43" i="14"/>
  <c r="K35" i="14"/>
  <c r="H35" i="4"/>
  <c r="I24" i="14"/>
  <c r="H90" i="4"/>
  <c r="K41" i="14"/>
  <c r="K36" i="14"/>
  <c r="H40" i="4"/>
  <c r="L45" i="14"/>
  <c r="K32" i="14"/>
  <c r="G39" i="14"/>
  <c r="H70" i="4"/>
  <c r="L86" i="4"/>
  <c r="G32" i="14"/>
  <c r="H81" i="4"/>
  <c r="H80" i="4"/>
  <c r="I73" i="4"/>
  <c r="K44" i="14"/>
  <c r="I93" i="4"/>
  <c r="H91" i="4"/>
  <c r="H29" i="4"/>
  <c r="K37" i="14"/>
  <c r="M37" i="14" s="1"/>
  <c r="I47" i="4"/>
  <c r="M22" i="4"/>
  <c r="L16" i="14"/>
  <c r="K16" i="14"/>
  <c r="K15" i="14"/>
  <c r="K14" i="14"/>
  <c r="H19" i="4"/>
  <c r="H16" i="14"/>
  <c r="I22" i="4"/>
  <c r="G16" i="14"/>
  <c r="H22" i="4"/>
  <c r="G15" i="14"/>
  <c r="H20" i="4"/>
  <c r="G14" i="14"/>
  <c r="H15" i="4"/>
  <c r="H14" i="4"/>
  <c r="G10" i="14"/>
  <c r="H12" i="14"/>
  <c r="I17" i="4"/>
  <c r="G12" i="14"/>
  <c r="H17" i="4"/>
  <c r="G11" i="14"/>
  <c r="L12" i="14"/>
  <c r="K12" i="14"/>
  <c r="K11" i="14"/>
  <c r="K10" i="14"/>
  <c r="BF73" i="4"/>
  <c r="P90" i="4"/>
  <c r="BH88" i="4"/>
  <c r="BJ88" i="4" s="1"/>
  <c r="T96" i="4"/>
  <c r="T19" i="4"/>
  <c r="L20" i="4"/>
  <c r="AJ37" i="4"/>
  <c r="AN52" i="4"/>
  <c r="AP52" i="4" s="1"/>
  <c r="AK37" i="4"/>
  <c r="AZ29" i="4"/>
  <c r="H27" i="4"/>
  <c r="U22" i="4"/>
  <c r="U37" i="4"/>
  <c r="V37" i="4" s="1"/>
  <c r="T80" i="4"/>
  <c r="BI52" i="4"/>
  <c r="AO93" i="4"/>
  <c r="AF25" i="4"/>
  <c r="T44" i="4"/>
  <c r="P91" i="4"/>
  <c r="T83" i="4"/>
  <c r="V83" i="4" s="1"/>
  <c r="T34" i="4"/>
  <c r="AN124" i="4"/>
  <c r="AP124" i="4" s="1"/>
  <c r="BA17" i="4"/>
  <c r="H52" i="4"/>
  <c r="M57" i="4"/>
  <c r="N57" i="4" s="1"/>
  <c r="L34" i="4"/>
  <c r="L54" i="4"/>
  <c r="T22" i="4"/>
  <c r="T86" i="4"/>
  <c r="I103" i="4"/>
  <c r="H103" i="4"/>
  <c r="T24" i="4"/>
  <c r="T121" i="4"/>
  <c r="AJ19" i="4"/>
  <c r="AJ35" i="4"/>
  <c r="M93" i="4"/>
  <c r="L37" i="4"/>
  <c r="N37" i="4" s="1"/>
  <c r="L22" i="4"/>
  <c r="H121" i="4"/>
  <c r="L29" i="4"/>
  <c r="P40" i="4"/>
  <c r="L35" i="4"/>
  <c r="L95" i="4"/>
  <c r="P39" i="4"/>
  <c r="AN57" i="4"/>
  <c r="AP57" i="4" s="1"/>
  <c r="AN93" i="4"/>
  <c r="AJ42" i="4"/>
  <c r="AL42" i="4" s="1"/>
  <c r="I52" i="4"/>
  <c r="BD49" i="4"/>
  <c r="L19" i="4"/>
  <c r="T54" i="4"/>
  <c r="L55" i="4"/>
  <c r="P42" i="4"/>
  <c r="R42" i="4" s="1"/>
  <c r="AN88" i="4"/>
  <c r="AP88" i="4" s="1"/>
  <c r="BH42" i="4"/>
  <c r="BA32" i="4"/>
  <c r="H24" i="4"/>
  <c r="I27" i="4"/>
  <c r="T90" i="4"/>
  <c r="M32" i="4"/>
  <c r="N32" i="4" s="1"/>
  <c r="AN47" i="4"/>
  <c r="AP47" i="4" s="1"/>
  <c r="AF34" i="4"/>
  <c r="P86" i="4"/>
  <c r="T98" i="4"/>
  <c r="V98" i="4" s="1"/>
  <c r="P85" i="4"/>
  <c r="BE103" i="4"/>
  <c r="T117" i="4"/>
  <c r="AN54" i="4"/>
  <c r="T85" i="4"/>
  <c r="L83" i="4"/>
  <c r="L90" i="4"/>
  <c r="H100" i="4"/>
  <c r="BH52" i="4"/>
  <c r="BJ52" i="4" s="1"/>
  <c r="P124" i="4"/>
  <c r="P116" i="4"/>
  <c r="L93" i="4"/>
  <c r="T95" i="4"/>
  <c r="AJ22" i="4"/>
  <c r="BH78" i="4"/>
  <c r="AG98" i="4"/>
  <c r="H50" i="4"/>
  <c r="L96" i="4"/>
  <c r="P93" i="4"/>
  <c r="R93" i="4" s="1"/>
  <c r="U93" i="4"/>
  <c r="AO57" i="4"/>
  <c r="BD47" i="4"/>
  <c r="AK22" i="4"/>
  <c r="AZ17" i="4"/>
  <c r="U78" i="4"/>
  <c r="T57" i="4"/>
  <c r="AJ25" i="4"/>
  <c r="AK27" i="4"/>
  <c r="AJ24" i="4"/>
  <c r="AJ27" i="4"/>
  <c r="P35" i="4"/>
  <c r="Q37" i="4"/>
  <c r="R37" i="4" s="1"/>
  <c r="BD14" i="4"/>
  <c r="BD17" i="4"/>
  <c r="BD15" i="4"/>
  <c r="Q52" i="4"/>
  <c r="P50" i="4"/>
  <c r="P49" i="4"/>
  <c r="P52" i="4"/>
  <c r="L24" i="4"/>
  <c r="L25" i="4"/>
  <c r="M27" i="4"/>
  <c r="BH35" i="4"/>
  <c r="BI37" i="4"/>
  <c r="BJ37" i="4" s="1"/>
  <c r="BH34" i="4"/>
  <c r="AK32" i="4"/>
  <c r="AJ29" i="4"/>
  <c r="AJ30" i="4"/>
  <c r="L75" i="4"/>
  <c r="M78" i="4"/>
  <c r="BD81" i="4"/>
  <c r="BE83" i="4"/>
  <c r="BD80" i="4"/>
  <c r="BD83" i="4"/>
  <c r="Q17" i="4"/>
  <c r="P17" i="4"/>
  <c r="AF20" i="4"/>
  <c r="AF19" i="4"/>
  <c r="AF22" i="4"/>
  <c r="AG22" i="4"/>
  <c r="L47" i="4"/>
  <c r="L44" i="4"/>
  <c r="BD32" i="4"/>
  <c r="BD29" i="4"/>
  <c r="BD30" i="4"/>
  <c r="BE32" i="4"/>
  <c r="P29" i="4"/>
  <c r="P32" i="4"/>
  <c r="L14" i="4"/>
  <c r="M17" i="4"/>
  <c r="L17" i="4"/>
  <c r="AN22" i="4"/>
  <c r="AO22" i="4"/>
  <c r="AN19" i="4"/>
  <c r="AN20" i="4"/>
  <c r="P24" i="4"/>
  <c r="P27" i="4"/>
  <c r="P25" i="4"/>
  <c r="Q27" i="4"/>
  <c r="AJ52" i="4"/>
  <c r="AJ50" i="4"/>
  <c r="AK52" i="4"/>
  <c r="AJ49" i="4"/>
  <c r="H57" i="4"/>
  <c r="H55" i="4"/>
  <c r="AN25" i="4"/>
  <c r="AN27" i="4"/>
  <c r="AP27" i="4" s="1"/>
  <c r="AO27" i="4"/>
  <c r="AN24" i="4"/>
  <c r="L119" i="4"/>
  <c r="N119" i="4" s="1"/>
  <c r="L116" i="4"/>
  <c r="M119" i="4"/>
  <c r="L117" i="4"/>
  <c r="AF103" i="4"/>
  <c r="AG103" i="4"/>
  <c r="AF101" i="4"/>
  <c r="AF100" i="4"/>
  <c r="AF76" i="4"/>
  <c r="AG78" i="4"/>
  <c r="AF78" i="4"/>
  <c r="AF75" i="4"/>
  <c r="AJ96" i="4"/>
  <c r="AJ95" i="4"/>
  <c r="AK98" i="4"/>
  <c r="AJ98" i="4"/>
  <c r="AL98" i="4" s="1"/>
  <c r="AZ98" i="4"/>
  <c r="BB98" i="4" s="1"/>
  <c r="AZ95" i="4"/>
  <c r="BA98" i="4"/>
  <c r="AZ96" i="4"/>
  <c r="AF81" i="4"/>
  <c r="AG83" i="4"/>
  <c r="AF83" i="4"/>
  <c r="AF80" i="4"/>
  <c r="P30" i="4"/>
  <c r="AZ50" i="4"/>
  <c r="AZ52" i="4"/>
  <c r="BA52" i="4"/>
  <c r="AZ49" i="4"/>
  <c r="AZ35" i="4"/>
  <c r="BA37" i="4"/>
  <c r="AZ37" i="4"/>
  <c r="AZ34" i="4"/>
  <c r="BH45" i="4"/>
  <c r="BH47" i="4"/>
  <c r="BI47" i="4"/>
  <c r="BH44" i="4"/>
  <c r="U17" i="4"/>
  <c r="T17" i="4"/>
  <c r="Q78" i="4"/>
  <c r="P75" i="4"/>
  <c r="P76" i="4"/>
  <c r="AF121" i="4"/>
  <c r="AF122" i="4"/>
  <c r="AF124" i="4"/>
  <c r="AG124" i="4"/>
  <c r="H75" i="4"/>
  <c r="H78" i="4"/>
  <c r="J78" i="4" s="1"/>
  <c r="H76" i="4"/>
  <c r="BH93" i="4"/>
  <c r="BJ93" i="4" s="1"/>
  <c r="BH90" i="4"/>
  <c r="BH91" i="4"/>
  <c r="Q83" i="4"/>
  <c r="P80" i="4"/>
  <c r="P81" i="4"/>
  <c r="BD19" i="4"/>
  <c r="BD22" i="4"/>
  <c r="BD20" i="4"/>
  <c r="BE22" i="4"/>
  <c r="Q57" i="4"/>
  <c r="P55" i="4"/>
  <c r="P57" i="4"/>
  <c r="L40" i="4"/>
  <c r="M42" i="4"/>
  <c r="AZ40" i="4"/>
  <c r="AZ42" i="4"/>
  <c r="BB42" i="4" s="1"/>
  <c r="AZ39" i="4"/>
  <c r="AN39" i="4"/>
  <c r="AN42" i="4"/>
  <c r="AP42" i="4" s="1"/>
  <c r="AN40" i="4"/>
  <c r="AO42" i="4"/>
  <c r="BH55" i="4"/>
  <c r="BH54" i="4"/>
  <c r="BI57" i="4"/>
  <c r="AF39" i="4"/>
  <c r="AG42" i="4"/>
  <c r="AF40" i="4"/>
  <c r="AF42" i="4"/>
  <c r="AH42" i="4" s="1"/>
  <c r="AZ45" i="4"/>
  <c r="AZ47" i="4"/>
  <c r="AZ44" i="4"/>
  <c r="BA47" i="4"/>
  <c r="AF116" i="4"/>
  <c r="AF117" i="4"/>
  <c r="AF119" i="4"/>
  <c r="AG119" i="4"/>
  <c r="AZ78" i="4"/>
  <c r="AZ75" i="4"/>
  <c r="BA78" i="4"/>
  <c r="AZ76" i="4"/>
  <c r="H119" i="4"/>
  <c r="J119" i="4" s="1"/>
  <c r="H116" i="4"/>
  <c r="I119" i="4"/>
  <c r="H117" i="4"/>
  <c r="BD90" i="4"/>
  <c r="BD91" i="4"/>
  <c r="BE93" i="4"/>
  <c r="BD93" i="4"/>
  <c r="BF93" i="4" s="1"/>
  <c r="BD85" i="4"/>
  <c r="BE88" i="4"/>
  <c r="BD86" i="4"/>
  <c r="T70" i="4"/>
  <c r="M47" i="4"/>
  <c r="L45" i="4"/>
  <c r="BH57" i="4"/>
  <c r="AJ32" i="4"/>
  <c r="Q32" i="4"/>
  <c r="P78" i="4"/>
  <c r="R78" i="4" s="1"/>
  <c r="T30" i="4"/>
  <c r="AF49" i="4"/>
  <c r="AF50" i="4"/>
  <c r="AF52" i="4"/>
  <c r="AG52" i="4"/>
  <c r="AJ54" i="4"/>
  <c r="AJ55" i="4"/>
  <c r="AK57" i="4"/>
  <c r="AJ57" i="4"/>
  <c r="AL57" i="4" s="1"/>
  <c r="BA93" i="4"/>
  <c r="AZ93" i="4"/>
  <c r="AZ90" i="4"/>
  <c r="AZ91" i="4"/>
  <c r="AZ85" i="4"/>
  <c r="BA88" i="4"/>
  <c r="AZ86" i="4"/>
  <c r="AZ88" i="4"/>
  <c r="BB88" i="4" s="1"/>
  <c r="M52" i="4"/>
  <c r="L50" i="4"/>
  <c r="L52" i="4"/>
  <c r="AO62" i="4"/>
  <c r="AN62" i="4"/>
  <c r="AN60" i="4"/>
  <c r="AJ47" i="4"/>
  <c r="AL47" i="4" s="1"/>
  <c r="AJ45" i="4"/>
  <c r="AK47" i="4"/>
  <c r="T50" i="4"/>
  <c r="U52" i="4"/>
  <c r="T49" i="4"/>
  <c r="T52" i="4"/>
  <c r="U42" i="4"/>
  <c r="T42" i="4"/>
  <c r="V42" i="4" s="1"/>
  <c r="T39" i="4"/>
  <c r="Q103" i="4"/>
  <c r="P103" i="4"/>
  <c r="AZ100" i="4"/>
  <c r="AZ103" i="4"/>
  <c r="AZ101" i="4"/>
  <c r="BA103" i="4"/>
  <c r="BD95" i="4"/>
  <c r="BD98" i="4"/>
  <c r="BF98" i="4" s="1"/>
  <c r="BE98" i="4"/>
  <c r="BD96" i="4"/>
  <c r="AO83" i="4"/>
  <c r="AN81" i="4"/>
  <c r="AN80" i="4"/>
  <c r="AN83" i="4"/>
  <c r="AP83" i="4" s="1"/>
  <c r="AJ86" i="4"/>
  <c r="AK88" i="4"/>
  <c r="AJ85" i="4"/>
  <c r="AJ88" i="4"/>
  <c r="AL88" i="4" s="1"/>
  <c r="P100" i="4"/>
  <c r="P34" i="4"/>
  <c r="L27" i="4"/>
  <c r="N27" i="4" s="1"/>
  <c r="T40" i="4"/>
  <c r="I57" i="4"/>
  <c r="L49" i="4"/>
  <c r="AF29" i="4"/>
  <c r="AF30" i="4"/>
  <c r="BH29" i="4"/>
  <c r="BH32" i="4"/>
  <c r="BI32" i="4"/>
  <c r="BH30" i="4"/>
  <c r="T76" i="4"/>
  <c r="T75" i="4"/>
  <c r="M124" i="4"/>
  <c r="L122" i="4"/>
  <c r="L124" i="4"/>
  <c r="N124" i="4" s="1"/>
  <c r="L121" i="4"/>
  <c r="AJ101" i="4"/>
  <c r="AK103" i="4"/>
  <c r="AJ100" i="4"/>
  <c r="AJ103" i="4"/>
  <c r="AF86" i="4"/>
  <c r="AF88" i="4"/>
  <c r="AH88" i="4" s="1"/>
  <c r="AF85" i="4"/>
  <c r="AG88" i="4"/>
  <c r="H95" i="4"/>
  <c r="H98" i="4"/>
  <c r="H96" i="4"/>
  <c r="I98" i="4"/>
  <c r="T73" i="4"/>
  <c r="V73" i="4" s="1"/>
  <c r="T71" i="4"/>
  <c r="T29" i="4"/>
  <c r="U57" i="4"/>
  <c r="L78" i="4"/>
  <c r="BE17" i="4"/>
  <c r="L76" i="4"/>
  <c r="L42" i="4"/>
  <c r="BD39" i="4"/>
  <c r="AF96" i="4"/>
  <c r="AN122" i="4"/>
  <c r="Q47" i="4"/>
  <c r="AF37" i="4"/>
  <c r="AH37" i="4" s="1"/>
  <c r="BI27" i="4"/>
  <c r="BJ27" i="4" s="1"/>
  <c r="AO52" i="4"/>
  <c r="AK42" i="4"/>
  <c r="BH98" i="4"/>
  <c r="BJ98" i="4" s="1"/>
  <c r="AN121" i="4"/>
  <c r="BH39" i="4"/>
  <c r="BD54" i="4"/>
  <c r="AZ81" i="4"/>
  <c r="AN86" i="4"/>
  <c r="BH86" i="4"/>
  <c r="AZ22" i="4"/>
  <c r="L30" i="4"/>
  <c r="T93" i="4"/>
  <c r="V93" i="4" s="1"/>
  <c r="BE27" i="4"/>
  <c r="BH103" i="4"/>
  <c r="BD75" i="4"/>
  <c r="AZ80" i="4"/>
  <c r="AF35" i="4"/>
  <c r="AZ15" i="4"/>
  <c r="BD25" i="4"/>
  <c r="AN96" i="4"/>
  <c r="T119" i="4"/>
  <c r="AF47" i="4"/>
  <c r="AH47" i="4" s="1"/>
  <c r="AZ27" i="4"/>
  <c r="BH96" i="4"/>
  <c r="T88" i="4"/>
  <c r="V88" i="4" s="1"/>
  <c r="BA27" i="4"/>
  <c r="U119" i="4"/>
  <c r="BI42" i="4"/>
  <c r="AO88" i="4"/>
  <c r="M83" i="4"/>
  <c r="U27" i="4"/>
  <c r="P88" i="4"/>
  <c r="R88" i="4" s="1"/>
  <c r="L98" i="4"/>
  <c r="N98" i="4" s="1"/>
  <c r="AO98" i="4"/>
  <c r="BD37" i="4"/>
  <c r="BD103" i="4"/>
  <c r="BD27" i="4"/>
  <c r="AG93" i="4"/>
  <c r="AF95" i="4"/>
  <c r="BA57" i="4"/>
  <c r="Q124" i="4"/>
  <c r="AZ24" i="4"/>
  <c r="AJ75" i="4"/>
  <c r="BH49" i="4"/>
  <c r="H47" i="4"/>
  <c r="AZ20" i="4"/>
  <c r="BH100" i="4"/>
  <c r="AN30" i="4"/>
  <c r="AZ32" i="4"/>
  <c r="BD101" i="4"/>
  <c r="L101" i="4"/>
  <c r="U83" i="4"/>
  <c r="T35" i="4"/>
  <c r="AN98" i="4"/>
  <c r="AP98" i="4" s="1"/>
  <c r="BA22" i="4"/>
  <c r="BD52" i="4"/>
  <c r="BF52" i="4" s="1"/>
  <c r="H122" i="4"/>
  <c r="BD57" i="4"/>
  <c r="BF57" i="4" s="1"/>
  <c r="U124" i="4"/>
  <c r="BI78" i="4"/>
  <c r="AO17" i="4"/>
  <c r="AP17" i="4" s="1"/>
  <c r="AN32" i="4"/>
  <c r="AF14" i="4"/>
  <c r="BE37" i="4"/>
  <c r="AN14" i="4"/>
  <c r="AF45" i="4"/>
  <c r="BH95" i="4"/>
  <c r="BD35" i="4"/>
  <c r="BH25" i="4"/>
  <c r="P20" i="4"/>
  <c r="AN37" i="4"/>
  <c r="AP37" i="4" s="1"/>
  <c r="BD42" i="4"/>
  <c r="AO37" i="4"/>
  <c r="AG27" i="4"/>
  <c r="BI17" i="4"/>
  <c r="BJ17" i="4" s="1"/>
  <c r="BE42" i="4"/>
  <c r="AN90" i="4"/>
  <c r="T122" i="4"/>
  <c r="I124" i="4"/>
  <c r="AN50" i="4"/>
  <c r="P22" i="4"/>
  <c r="M103" i="4"/>
  <c r="N103" i="4" s="1"/>
  <c r="AF44" i="4"/>
  <c r="BD78" i="4"/>
  <c r="AJ78" i="4"/>
  <c r="AJ17" i="4"/>
  <c r="AO103" i="4"/>
  <c r="AN103" i="4"/>
  <c r="AP103" i="4" s="1"/>
  <c r="P121" i="4"/>
  <c r="H45" i="4"/>
  <c r="AK78" i="4"/>
  <c r="BE47" i="4"/>
  <c r="BH75" i="4"/>
  <c r="P119" i="4"/>
  <c r="R119" i="4" s="1"/>
  <c r="BD45" i="4"/>
  <c r="Q22" i="4"/>
  <c r="L100" i="4"/>
  <c r="T27" i="4"/>
  <c r="V27" i="4" s="1"/>
  <c r="H44" i="4"/>
  <c r="AO32" i="4"/>
  <c r="P45" i="4"/>
  <c r="AK83" i="4"/>
  <c r="BE52" i="4"/>
  <c r="AZ54" i="4"/>
  <c r="BI103" i="4"/>
  <c r="AN100" i="4"/>
  <c r="AJ39" i="4"/>
  <c r="AJ81" i="4"/>
  <c r="AN15" i="4"/>
  <c r="P117" i="4"/>
  <c r="AK17" i="4"/>
  <c r="BE57" i="4"/>
  <c r="AJ14" i="4"/>
  <c r="AN34" i="4"/>
  <c r="BH14" i="4"/>
  <c r="BH85" i="4"/>
  <c r="AZ57" i="4"/>
  <c r="AJ80" i="4"/>
  <c r="P47" i="4"/>
  <c r="AF93" i="4"/>
  <c r="AH93" i="4" s="1"/>
  <c r="L80" i="4"/>
  <c r="AF90" i="4"/>
  <c r="AO47" i="4"/>
  <c r="BE78" i="4"/>
  <c r="AN44" i="4"/>
  <c r="BH24" i="4"/>
  <c r="AF27" i="4"/>
  <c r="AH27" i="4" s="1"/>
  <c r="L73" i="4"/>
  <c r="N73" i="4" s="1"/>
  <c r="Q73" i="4"/>
  <c r="P73" i="4"/>
  <c r="P71" i="4"/>
  <c r="L70" i="4"/>
  <c r="L71" i="4"/>
  <c r="AJ71" i="4"/>
  <c r="AJ70" i="4"/>
  <c r="AK73" i="4"/>
  <c r="AJ73" i="4"/>
  <c r="AF73" i="4"/>
  <c r="AH73" i="4" s="1"/>
  <c r="AF71" i="4"/>
  <c r="AG73" i="4"/>
  <c r="AF70" i="4"/>
  <c r="AZ73" i="4"/>
  <c r="AZ71" i="4"/>
  <c r="AZ70" i="4"/>
  <c r="BA73" i="4"/>
  <c r="AN71" i="4"/>
  <c r="AN70" i="4"/>
  <c r="AN73" i="4"/>
  <c r="AO73" i="4"/>
  <c r="BH71" i="4"/>
  <c r="BH70" i="4"/>
  <c r="BI73" i="4"/>
  <c r="BH73" i="4"/>
  <c r="P15" i="4"/>
  <c r="P14" i="4"/>
  <c r="T14" i="4"/>
  <c r="T15" i="4"/>
  <c r="L15" i="4"/>
  <c r="E138" i="13" l="1"/>
  <c r="J37" i="4"/>
  <c r="X34" i="5" s="1"/>
  <c r="J57" i="4"/>
  <c r="X64" i="4"/>
  <c r="AR44" i="5"/>
  <c r="AR39" i="5"/>
  <c r="AR54" i="5"/>
  <c r="BJ57" i="4"/>
  <c r="BJ42" i="4"/>
  <c r="BF42" i="4"/>
  <c r="BF27" i="4"/>
  <c r="BB22" i="4"/>
  <c r="BB52" i="4"/>
  <c r="BL49" i="5" s="1"/>
  <c r="BB27" i="4"/>
  <c r="BB57" i="4"/>
  <c r="AL27" i="4"/>
  <c r="AR24" i="5" s="1"/>
  <c r="BB17" i="4"/>
  <c r="AL52" i="4"/>
  <c r="AH22" i="4"/>
  <c r="V52" i="4"/>
  <c r="V57" i="4"/>
  <c r="V22" i="4"/>
  <c r="R57" i="4"/>
  <c r="R27" i="4"/>
  <c r="R52" i="4"/>
  <c r="N42" i="4"/>
  <c r="M16" i="14"/>
  <c r="N22" i="4"/>
  <c r="BJ73" i="4"/>
  <c r="AH124" i="4"/>
  <c r="AH119" i="4"/>
  <c r="R124" i="4"/>
  <c r="BF17" i="4"/>
  <c r="BF47" i="4"/>
  <c r="BJ47" i="4"/>
  <c r="BJ32" i="4"/>
  <c r="BF37" i="4"/>
  <c r="BB37" i="4"/>
  <c r="BF32" i="4"/>
  <c r="BF22" i="4"/>
  <c r="AL22" i="4"/>
  <c r="AL37" i="4"/>
  <c r="AR34" i="5" s="1"/>
  <c r="AL32" i="4"/>
  <c r="AL17" i="4"/>
  <c r="N17" i="4"/>
  <c r="AH52" i="4"/>
  <c r="V17" i="4"/>
  <c r="R32" i="4"/>
  <c r="J42" i="4"/>
  <c r="AL73" i="4"/>
  <c r="J22" i="4"/>
  <c r="J27" i="4"/>
  <c r="I16" i="14"/>
  <c r="J17" i="4"/>
  <c r="J103" i="4"/>
  <c r="M45" i="14"/>
  <c r="P43" i="14" s="1"/>
  <c r="R43" i="14" s="1"/>
  <c r="AH78" i="4"/>
  <c r="BB78" i="4"/>
  <c r="AH103" i="4"/>
  <c r="BB103" i="4"/>
  <c r="BF83" i="4"/>
  <c r="BB93" i="4"/>
  <c r="BJ103" i="4"/>
  <c r="BJ78" i="4"/>
  <c r="R17" i="4"/>
  <c r="I20" i="14"/>
  <c r="N52" i="4"/>
  <c r="AP32" i="4"/>
  <c r="AL103" i="4"/>
  <c r="BB47" i="4"/>
  <c r="BB73" i="4"/>
  <c r="R47" i="4"/>
  <c r="R22" i="4"/>
  <c r="BB32" i="4"/>
  <c r="V119" i="4"/>
  <c r="N47" i="4"/>
  <c r="AP22" i="4"/>
  <c r="J47" i="4"/>
  <c r="J52" i="4"/>
  <c r="R103" i="4"/>
  <c r="BF103" i="4"/>
  <c r="J93" i="4"/>
  <c r="I37" i="14"/>
  <c r="P35" i="14" s="1"/>
  <c r="M41" i="14"/>
  <c r="P39" i="14" s="1"/>
  <c r="L49" i="14"/>
  <c r="M12" i="14"/>
  <c r="K49" i="14"/>
  <c r="I12" i="14"/>
  <c r="N93" i="4"/>
  <c r="R73" i="4"/>
  <c r="X70" i="4" s="1"/>
  <c r="N83" i="4"/>
  <c r="N78" i="4"/>
  <c r="X75" i="4" s="1"/>
  <c r="J98" i="4"/>
  <c r="X95" i="4" s="1"/>
  <c r="AR95" i="4" s="1"/>
  <c r="BL95" i="4" s="1"/>
  <c r="J88" i="4"/>
  <c r="AH83" i="4"/>
  <c r="AL78" i="4"/>
  <c r="BF78" i="4"/>
  <c r="AP73" i="4"/>
  <c r="AP93" i="4"/>
  <c r="AP62" i="4"/>
  <c r="AR59" i="5" s="1"/>
  <c r="N88" i="4"/>
  <c r="BI109" i="4"/>
  <c r="P109" i="4"/>
  <c r="BD109" i="4"/>
  <c r="BH109" i="4"/>
  <c r="Q109" i="4"/>
  <c r="AK109" i="4"/>
  <c r="AJ109" i="4"/>
  <c r="L109" i="4"/>
  <c r="AN109" i="4"/>
  <c r="AO109" i="4"/>
  <c r="BE109" i="4"/>
  <c r="M109" i="4"/>
  <c r="E92" i="13" l="1"/>
  <c r="X116" i="4"/>
  <c r="Z116" i="4" s="1"/>
  <c r="AR64" i="4"/>
  <c r="BL64" i="4" s="1"/>
  <c r="AR70" i="4"/>
  <c r="BL70" i="4" s="1"/>
  <c r="AR75" i="4"/>
  <c r="BL75" i="4" s="1"/>
  <c r="BL34" i="5"/>
  <c r="X54" i="5"/>
  <c r="BL39" i="5"/>
  <c r="AR49" i="5"/>
  <c r="BL29" i="5"/>
  <c r="X24" i="5"/>
  <c r="X14" i="5"/>
  <c r="X19" i="5"/>
  <c r="BL54" i="5"/>
  <c r="BL24" i="5"/>
  <c r="BL14" i="5"/>
  <c r="X49" i="5"/>
  <c r="X39" i="5"/>
  <c r="AR19" i="5"/>
  <c r="BL44" i="5"/>
  <c r="BL19" i="5"/>
  <c r="X100" i="4"/>
  <c r="AR100" i="4" s="1"/>
  <c r="BL100" i="4" s="1"/>
  <c r="X90" i="4"/>
  <c r="AR90" i="4" s="1"/>
  <c r="BL90" i="4" s="1"/>
  <c r="M49" i="14"/>
  <c r="AP109" i="4"/>
  <c r="X85" i="4"/>
  <c r="AR85" i="4" s="1"/>
  <c r="BL85" i="4" s="1"/>
  <c r="AL109" i="4"/>
  <c r="BJ109" i="4"/>
  <c r="BF109" i="4"/>
  <c r="N109" i="4"/>
  <c r="R109" i="4"/>
  <c r="E98" i="13" l="1"/>
  <c r="AR116" i="4"/>
  <c r="BL116" i="4" s="1"/>
  <c r="BN116" i="4" s="1"/>
  <c r="AT70" i="4"/>
  <c r="Z70" i="4"/>
  <c r="BN70" i="4"/>
  <c r="E95" i="13" l="1"/>
  <c r="AT116" i="4"/>
  <c r="K101" i="13"/>
  <c r="E97" i="13" l="1"/>
  <c r="I83" i="4"/>
  <c r="I109" i="4" s="1"/>
  <c r="H33" i="14"/>
  <c r="H49" i="14" s="1"/>
  <c r="H83" i="4"/>
  <c r="G33" i="14"/>
  <c r="AZ83" i="4"/>
  <c r="H101" i="13"/>
  <c r="V2" i="2"/>
  <c r="G2" i="11" s="1"/>
  <c r="I101" i="13"/>
  <c r="BA83" i="4"/>
  <c r="BA109" i="4" s="1"/>
  <c r="E93" i="13" l="1"/>
  <c r="J101" i="13"/>
  <c r="I33" i="14"/>
  <c r="P31" i="14" s="1"/>
  <c r="R31" i="14" s="1"/>
  <c r="G49" i="14"/>
  <c r="I49" i="14" s="1"/>
  <c r="H109" i="4"/>
  <c r="J83" i="4"/>
  <c r="AZ109" i="4"/>
  <c r="BB83" i="4"/>
  <c r="E99" i="13" l="1"/>
  <c r="J109" i="4"/>
  <c r="X80" i="4"/>
  <c r="BB109" i="4"/>
  <c r="E96" i="13" l="1"/>
  <c r="Z80" i="4"/>
  <c r="AR80" i="4"/>
  <c r="E130" i="13" l="1"/>
  <c r="AT80" i="4"/>
  <c r="BL80" i="4"/>
  <c r="BN80" i="4" s="1"/>
  <c r="E94" i="13" l="1"/>
  <c r="T32" i="4"/>
  <c r="AF17" i="4"/>
  <c r="U47" i="4"/>
  <c r="T47" i="4"/>
  <c r="AF32" i="4"/>
  <c r="AG32" i="4"/>
  <c r="E100" i="13" l="1"/>
  <c r="AH32" i="4"/>
  <c r="AR29" i="5" s="1"/>
  <c r="V47" i="4"/>
  <c r="X44" i="5" s="1"/>
  <c r="T109" i="4"/>
  <c r="AF109" i="4"/>
  <c r="U32" i="4"/>
  <c r="U109" i="4" s="1"/>
  <c r="AG17" i="4"/>
  <c r="AG109" i="4" s="1"/>
  <c r="E120" i="13" l="1"/>
  <c r="AH17" i="4"/>
  <c r="V32" i="4"/>
  <c r="Z14" i="4" s="1"/>
  <c r="E146" i="13" l="1"/>
  <c r="AT14" i="4"/>
  <c r="BN14" i="4" s="1"/>
  <c r="X29" i="5"/>
  <c r="X59" i="4" s="1"/>
  <c r="AR14" i="5"/>
  <c r="V109" i="4"/>
  <c r="AH109" i="4"/>
  <c r="E34" i="13" l="1"/>
  <c r="AR59" i="4"/>
  <c r="BL59" i="4" s="1"/>
  <c r="P22" i="14"/>
  <c r="P26" i="14"/>
  <c r="P18" i="14"/>
  <c r="P14" i="14"/>
  <c r="P10" i="14"/>
  <c r="X19" i="4"/>
  <c r="AR19" i="4" s="1"/>
  <c r="BL19" i="4" s="1"/>
  <c r="X24" i="4"/>
  <c r="AR24" i="4" s="1"/>
  <c r="BL24" i="4" s="1"/>
  <c r="X29" i="4"/>
  <c r="AR29" i="4" s="1"/>
  <c r="BL29" i="4" s="1"/>
  <c r="X14" i="4"/>
  <c r="X34" i="4"/>
  <c r="AR34" i="4" s="1"/>
  <c r="BL34" i="4" s="1"/>
  <c r="X54" i="4"/>
  <c r="AR54" i="4" s="1"/>
  <c r="BL54" i="4" s="1"/>
  <c r="X49" i="4"/>
  <c r="AR49" i="4" s="1"/>
  <c r="BL49" i="4" s="1"/>
  <c r="X39" i="4"/>
  <c r="AR39" i="4" s="1"/>
  <c r="BL39" i="4" s="1"/>
  <c r="X44" i="4"/>
  <c r="AR44" i="4" s="1"/>
  <c r="BL44" i="4" s="1"/>
  <c r="AR109" i="4"/>
  <c r="X109" i="4"/>
  <c r="AB14" i="4" s="1"/>
  <c r="X113" i="4"/>
  <c r="AB116" i="4" s="1"/>
  <c r="E164" i="13" l="1"/>
  <c r="AR14" i="4"/>
  <c r="BL14" i="4" s="1"/>
  <c r="R10" i="14"/>
  <c r="P51" i="14" s="1"/>
  <c r="T10" i="14" s="1"/>
  <c r="AR113" i="4"/>
  <c r="AV116" i="4" s="1"/>
  <c r="AV80" i="4"/>
  <c r="AV70" i="4"/>
  <c r="BL109" i="4"/>
  <c r="BP14" i="4" s="1"/>
  <c r="AB80" i="4"/>
  <c r="AB70" i="4"/>
  <c r="AV14" i="4"/>
  <c r="E154" i="13" l="1"/>
  <c r="T43" i="14"/>
  <c r="T31" i="14"/>
  <c r="BP116" i="4"/>
  <c r="BP80" i="4"/>
  <c r="BP70" i="4"/>
  <c r="E147" i="13" l="1"/>
  <c r="E35" i="13" l="1"/>
  <c r="E21" i="13" l="1"/>
  <c r="E9" i="13" l="1"/>
  <c r="E15" i="13" l="1"/>
  <c r="E3" i="13" l="1"/>
  <c r="E115" i="13" l="1"/>
  <c r="E134" i="13" l="1"/>
  <c r="E64" i="13" l="1"/>
  <c r="E36" i="13" l="1"/>
  <c r="E79" i="13" l="1"/>
  <c r="E50" i="13" l="1"/>
  <c r="E65" i="13" l="1"/>
  <c r="E37" i="13" l="1"/>
  <c r="E80" i="13" l="1"/>
  <c r="E121" i="13" l="1"/>
  <c r="E66" i="13" l="1"/>
  <c r="E38" i="13" l="1"/>
  <c r="E127" i="13" l="1"/>
  <c r="E144" i="13" l="1"/>
  <c r="E67" i="13" l="1"/>
  <c r="E161" i="13" l="1"/>
  <c r="E158" i="13" l="1"/>
  <c r="E145" i="13" l="1"/>
  <c r="E68" i="13" l="1"/>
  <c r="E4" i="13" l="1"/>
  <c r="E22" i="13" l="1"/>
  <c r="E10" i="13" l="1"/>
  <c r="E16" i="13" l="1"/>
  <c r="E112" i="13" l="1"/>
  <c r="E137" i="13" l="1"/>
  <c r="E51" i="13" l="1"/>
  <c r="E69" i="13" l="1"/>
  <c r="E39" i="13" l="1"/>
  <c r="E81" i="13" l="1"/>
  <c r="E52" i="13" l="1"/>
  <c r="E70" i="13" l="1"/>
  <c r="E40" i="13" l="1"/>
  <c r="E128" i="13" l="1"/>
  <c r="E53" i="13" l="1"/>
  <c r="E71" i="13" l="1"/>
  <c r="E118" i="13" l="1"/>
  <c r="E150" i="13" l="1"/>
  <c r="E54" i="13" l="1"/>
  <c r="E163" i="13" l="1"/>
  <c r="E153" i="13" l="1"/>
  <c r="E151" i="13" l="1"/>
  <c r="E55" i="13" l="1"/>
  <c r="E17" i="13" l="1"/>
  <c r="E5" i="13" l="1"/>
  <c r="E23" i="13" l="1"/>
  <c r="E11" i="13" l="1"/>
  <c r="E114" i="13" l="1"/>
  <c r="E133" i="13" l="1"/>
  <c r="E82" i="13" l="1"/>
  <c r="E56" i="13" l="1"/>
  <c r="E72" i="13" l="1"/>
  <c r="E41" i="13" l="1"/>
  <c r="E83" i="13" l="1"/>
  <c r="E57" i="13" l="1"/>
  <c r="E73" i="13" l="1"/>
  <c r="E119" i="13" l="1"/>
  <c r="E84" i="13" l="1"/>
  <c r="E58" i="13" l="1"/>
  <c r="E125" i="13" l="1"/>
  <c r="E140" i="13" l="1"/>
  <c r="E85" i="13" l="1"/>
  <c r="E162" i="13" l="1"/>
  <c r="E156" i="13" l="1"/>
  <c r="E141" i="13" l="1"/>
  <c r="E86" i="13" l="1"/>
  <c r="E12" i="13" l="1"/>
  <c r="E18" i="13" l="1"/>
  <c r="E6" i="13" l="1"/>
  <c r="E24" i="13" l="1"/>
  <c r="E113" i="13" l="1"/>
  <c r="E136" i="13" l="1"/>
  <c r="E42" i="13" l="1"/>
  <c r="E87" i="13" l="1"/>
  <c r="E59" i="13" l="1"/>
  <c r="E74" i="13" l="1"/>
  <c r="E43" i="13" l="1"/>
  <c r="E88" i="13" l="1"/>
  <c r="E60" i="13" l="1"/>
  <c r="E126" i="13" l="1"/>
  <c r="E44" i="13" l="1"/>
  <c r="E89" i="13" l="1"/>
  <c r="E122" i="13" l="1"/>
  <c r="E148" i="13" l="1"/>
  <c r="E45" i="13" l="1"/>
  <c r="E165" i="13" l="1"/>
  <c r="E155" i="13" l="1"/>
  <c r="E149" i="13" l="1"/>
  <c r="E46" i="13" l="1"/>
  <c r="E25" i="13" l="1"/>
  <c r="E13" i="13" l="1"/>
  <c r="E19" i="13" l="1"/>
  <c r="E7" i="13" l="1"/>
  <c r="E116" i="13" l="1"/>
  <c r="E135" i="13" l="1"/>
  <c r="E75" i="13" l="1"/>
  <c r="E47" i="13" l="1"/>
  <c r="E90" i="13" l="1"/>
  <c r="E61" i="13" l="1"/>
  <c r="E76" i="13" l="1"/>
  <c r="E48" i="13" l="1"/>
  <c r="E91" i="13" l="1"/>
  <c r="E123" i="13" l="1"/>
  <c r="E77" i="13" l="1"/>
  <c r="E49" i="13" l="1"/>
  <c r="E129" i="13" l="1"/>
  <c r="E142" i="13" l="1"/>
  <c r="E62" i="13" l="1"/>
  <c r="E160" i="13" l="1"/>
  <c r="E157" i="13" l="1"/>
  <c r="E143" i="13" l="1"/>
  <c r="E63" i="13" l="1"/>
  <c r="E2" i="13" l="1"/>
  <c r="E20" i="13" l="1"/>
  <c r="E8" i="13" l="1"/>
  <c r="E14" i="13" l="1"/>
  <c r="E111" i="13" l="1"/>
  <c r="E132" i="13" l="1"/>
  <c r="E31" i="13" l="1"/>
  <c r="E32" i="13" l="1"/>
  <c r="E33" i="13" l="1"/>
  <c r="E30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<sst xmlns="http://schemas.openxmlformats.org/spreadsheetml/2006/main" count="1669" uniqueCount="237">
  <si>
    <t xml:space="preserve">INFORMACIÓN PLAN DE ESTUDIO </t>
  </si>
  <si>
    <t>CREDITO POR SEMESTRE</t>
  </si>
  <si>
    <t>SNIES/CÓDIGO DE PROCESO</t>
  </si>
  <si>
    <t>TE_Componente</t>
  </si>
  <si>
    <t>TR_Area</t>
  </si>
  <si>
    <t>TR_Semestre</t>
  </si>
  <si>
    <t>TR_Asignatura</t>
  </si>
  <si>
    <t>TR_Tipologia</t>
  </si>
  <si>
    <t>TR_Contenidos</t>
  </si>
  <si>
    <t>TR_CreditosAcademicos</t>
  </si>
  <si>
    <t>TR_HorastrabajoAcom</t>
  </si>
  <si>
    <t>TR_HorastrabajoIndp</t>
  </si>
  <si>
    <t>TR_Horastrabajototales</t>
  </si>
  <si>
    <t>TR_CredProgramIndp</t>
  </si>
  <si>
    <t>TR_CredProgramAcom</t>
  </si>
  <si>
    <t>TR_Comp_Formacion_disciplinar</t>
  </si>
  <si>
    <t>TR_Comp_Formacion_propedeutica</t>
  </si>
  <si>
    <t>TR_Comp_Formacion_transversal</t>
  </si>
  <si>
    <t>TR_Comp_Formacion_electivo</t>
  </si>
  <si>
    <t>N°</t>
  </si>
  <si>
    <t>LLAVE CRUCE ASIGNATURA</t>
  </si>
  <si>
    <t>LLAVE CRUCE</t>
  </si>
  <si>
    <t>TRIGGER</t>
  </si>
  <si>
    <t>TIPIFICACION TIPOLOGIA</t>
  </si>
  <si>
    <t>CONTADOR DE CREDITOS</t>
  </si>
  <si>
    <t>°</t>
  </si>
  <si>
    <t>NOMBRE</t>
  </si>
  <si>
    <t>NIVEL</t>
  </si>
  <si>
    <t>CREDITOS PERMITIDOS MINIMO- MAXIMO</t>
  </si>
  <si>
    <t xml:space="preserve">TOTAL CREDITOS </t>
  </si>
  <si>
    <t xml:space="preserve">TECNICO </t>
  </si>
  <si>
    <t>Técnico profesional 64 a 68 créditos sin propedéutica</t>
  </si>
  <si>
    <r>
      <t xml:space="preserve">PLAN DE ESTUDIO </t>
    </r>
    <r>
      <rPr>
        <b/>
        <sz val="11"/>
        <color rgb="FFFF0000"/>
        <rFont val="Calibri"/>
        <family val="2"/>
        <scheme val="minor"/>
      </rPr>
      <t>(SI APLICA)</t>
    </r>
  </si>
  <si>
    <t>TECNOLOGO</t>
  </si>
  <si>
    <t xml:space="preserve">Tecnólogo 32 a 35 créditos con propedéutica ciclo Técnico y sin propedéutica ciclo tecnológico </t>
  </si>
  <si>
    <r>
      <t xml:space="preserve">TECNICO </t>
    </r>
    <r>
      <rPr>
        <b/>
        <sz val="11"/>
        <color rgb="FFFF0000"/>
        <rFont val="Calibri"/>
        <family val="2"/>
        <scheme val="minor"/>
      </rPr>
      <t>(SI APLICA)</t>
    </r>
  </si>
  <si>
    <t>PROFESIONAL</t>
  </si>
  <si>
    <t xml:space="preserve"> Profesional 48 a 57  con propedéuticas nivel técnico y tecnológico</t>
  </si>
  <si>
    <r>
      <t xml:space="preserve">TECNOLOGO </t>
    </r>
    <r>
      <rPr>
        <b/>
        <sz val="11"/>
        <color rgb="FFFF0000"/>
        <rFont val="Calibri"/>
        <family val="2"/>
        <scheme val="minor"/>
      </rPr>
      <t>(SI APLICA)</t>
    </r>
  </si>
  <si>
    <t>TOTAL PREGRADO</t>
  </si>
  <si>
    <t>Total de los 3 ciclos 146 a 157 créditos para la totalidad del programa.</t>
  </si>
  <si>
    <r>
      <t xml:space="preserve">PROFESIONAL </t>
    </r>
    <r>
      <rPr>
        <b/>
        <sz val="11"/>
        <color rgb="FFFF0000"/>
        <rFont val="Calibri"/>
        <family val="2"/>
        <scheme val="minor"/>
      </rPr>
      <t>(SI APLICA)</t>
    </r>
  </si>
  <si>
    <t>ESPECIALIZACION SEMESTRE I</t>
  </si>
  <si>
    <t>Máximo 16  créditos por semestre</t>
  </si>
  <si>
    <r>
      <t xml:space="preserve">ESPECIALIZACION </t>
    </r>
    <r>
      <rPr>
        <b/>
        <sz val="11"/>
        <color rgb="FFFF0000"/>
        <rFont val="Calibri"/>
        <family val="2"/>
        <scheme val="minor"/>
      </rPr>
      <t>(SI APLICA)</t>
    </r>
  </si>
  <si>
    <t>ESPECIALIZACION SEMESTRE II</t>
  </si>
  <si>
    <t>MODALIDAD</t>
  </si>
  <si>
    <t>TOTAL POSGRADO</t>
  </si>
  <si>
    <t>Máximo 28 créditos totales por programa de Especialización</t>
  </si>
  <si>
    <r>
      <t xml:space="preserve">CICLO </t>
    </r>
    <r>
      <rPr>
        <b/>
        <sz val="11"/>
        <color rgb="FFFF0000"/>
        <rFont val="Calibri"/>
        <family val="2"/>
        <scheme val="minor"/>
      </rPr>
      <t>PREGRADO</t>
    </r>
  </si>
  <si>
    <t>COMPONENTES</t>
  </si>
  <si>
    <t>AREA</t>
  </si>
  <si>
    <t>DISCIPLINAR</t>
  </si>
  <si>
    <t>PRÁCTICA</t>
  </si>
  <si>
    <t>ELECTIVOS</t>
  </si>
  <si>
    <t>Profundización</t>
  </si>
  <si>
    <t>Complementaria</t>
  </si>
  <si>
    <t>TRANSVERSAL- INSTITUCIONAL</t>
  </si>
  <si>
    <t>Emprendimiento</t>
  </si>
  <si>
    <t>Ciencias básicas</t>
  </si>
  <si>
    <t>Humanidades</t>
  </si>
  <si>
    <t>Tecnología</t>
  </si>
  <si>
    <t>Investigación</t>
  </si>
  <si>
    <t>PROPEDÉUTICO</t>
  </si>
  <si>
    <r>
      <t>CICLO</t>
    </r>
    <r>
      <rPr>
        <b/>
        <sz val="11"/>
        <color rgb="FFFF0000"/>
        <rFont val="Calibri"/>
        <family val="2"/>
        <scheme val="minor"/>
      </rPr>
      <t xml:space="preserve"> POSGRADO</t>
    </r>
  </si>
  <si>
    <t>ELECTIVA</t>
  </si>
  <si>
    <t>ESTRUCTURA CURRICULAR</t>
  </si>
  <si>
    <t>Código: ASA-FOR-012</t>
  </si>
  <si>
    <t>Versión: 01</t>
  </si>
  <si>
    <t>Página: 1 de 1</t>
  </si>
  <si>
    <t>Ciclo</t>
  </si>
  <si>
    <t>Total de créditos académicos</t>
  </si>
  <si>
    <t>Componentes</t>
  </si>
  <si>
    <t>Áreas</t>
  </si>
  <si>
    <t>I SEMESTRE</t>
  </si>
  <si>
    <t>II SEMESTRE</t>
  </si>
  <si>
    <t>III SEMESTRE</t>
  </si>
  <si>
    <t>IV SEMESTRE</t>
  </si>
  <si>
    <t>Créditos por área</t>
  </si>
  <si>
    <t>Créditos por componente</t>
  </si>
  <si>
    <t>Distribución por componente</t>
  </si>
  <si>
    <t>V SEMESTRE</t>
  </si>
  <si>
    <t>VI SEMESTRE</t>
  </si>
  <si>
    <t>VII SEMESTRE</t>
  </si>
  <si>
    <t>VIII SEMESTRE</t>
  </si>
  <si>
    <t>IX SEMESTRE</t>
  </si>
  <si>
    <t>TOTAL</t>
  </si>
  <si>
    <t>H.T.P</t>
  </si>
  <si>
    <t>H.T.I</t>
  </si>
  <si>
    <t>CRÉDITOS</t>
  </si>
  <si>
    <t>TOTAL CRÉDITOS ACADÉMICOS SIN EL COMPONENTE PROPEDÉUTICO</t>
  </si>
  <si>
    <t>TOTAL CRÉDITOS ACADÉMICOS DEL PROGRAMA</t>
  </si>
  <si>
    <t>TOTAL CRÉDITOS ACADÉMICOS CON EL COMPONENTE PROPEDÉUTICO</t>
  </si>
  <si>
    <t>ASIGNATURAS FIJAS PREGRADO</t>
  </si>
  <si>
    <t>CREDITOS PRESENCIAL</t>
  </si>
  <si>
    <t>CREDITOS VIRTUAL</t>
  </si>
  <si>
    <t>CREDITOS DISTANCIA</t>
  </si>
  <si>
    <t>CREDITOS</t>
  </si>
  <si>
    <t>Horas de trabajo independiente</t>
  </si>
  <si>
    <t>Horas de trabajo totales</t>
  </si>
  <si>
    <t>ASIGNATURAS FIJAS POSGRADO</t>
  </si>
  <si>
    <t>ACOMPAÑADO</t>
  </si>
  <si>
    <t>AUTONOMO</t>
  </si>
  <si>
    <t>Cátedra de Pensamiento Cunista I</t>
  </si>
  <si>
    <t>TP</t>
  </si>
  <si>
    <t xml:space="preserve"> Espíritu emprendedor</t>
  </si>
  <si>
    <t xml:space="preserve"> Proyecto de vida </t>
  </si>
  <si>
    <t>Habilidades Gerenciales</t>
  </si>
  <si>
    <t>Inteligencia emocional</t>
  </si>
  <si>
    <t>Opción de Grado Tecnológica</t>
  </si>
  <si>
    <t> Aspectos metodológicos  </t>
  </si>
  <si>
    <t>Creativity Workshop</t>
  </si>
  <si>
    <t>Razonamiento Cuantitativo</t>
  </si>
  <si>
    <t>Algebra y aritmética</t>
  </si>
  <si>
    <t>Liderazgo para el siglo XXI</t>
  </si>
  <si>
    <t>Informática y Convergencia Tecnológica</t>
  </si>
  <si>
    <t>Almacenamiento en la nube</t>
  </si>
  <si>
    <t>Trabajo en equipo</t>
  </si>
  <si>
    <t>Opción de Grado Profesional</t>
  </si>
  <si>
    <t xml:space="preserve">Análisis de datos  </t>
  </si>
  <si>
    <t>Resolución de conflictos</t>
  </si>
  <si>
    <t>Práctica Técnica Profesional</t>
  </si>
  <si>
    <t>P</t>
  </si>
  <si>
    <t>Aprestamiento de la práctica</t>
  </si>
  <si>
    <t>Historia Cunista</t>
  </si>
  <si>
    <t>Práctica Profesional</t>
  </si>
  <si>
    <t>Práctica Tecnológica</t>
  </si>
  <si>
    <t>SEMESTRES</t>
  </si>
  <si>
    <t>LISTA CONDICIONAL</t>
  </si>
  <si>
    <t>ASIGNATURA</t>
  </si>
  <si>
    <t>LISTA AREA</t>
  </si>
  <si>
    <t>Cierre del proceso</t>
  </si>
  <si>
    <t>Taller de creatividad</t>
  </si>
  <si>
    <t>PREGRADO</t>
  </si>
  <si>
    <t>PRESENCIAL</t>
  </si>
  <si>
    <t>T</t>
  </si>
  <si>
    <t>POSGRADO</t>
  </si>
  <si>
    <t>VIRTUAL</t>
  </si>
  <si>
    <t>Proyecto I</t>
  </si>
  <si>
    <t>El problema de investigación</t>
  </si>
  <si>
    <t>DISTANCIA</t>
  </si>
  <si>
    <t>Cátedra de Pensamiento Cunista III</t>
  </si>
  <si>
    <t>Creatividad y desarrollo de negocios</t>
  </si>
  <si>
    <t>Objetivos de investigación</t>
  </si>
  <si>
    <t>Ética y Responsabilidad Social</t>
  </si>
  <si>
    <t>Cuestiones éticas en las relaciones laborales y en una sociedad</t>
  </si>
  <si>
    <t>Justificación</t>
  </si>
  <si>
    <t>Estadística Descriptiva</t>
  </si>
  <si>
    <t>Definiciones básicas</t>
  </si>
  <si>
    <t>Marco teórico</t>
  </si>
  <si>
    <t>Derechos humanos</t>
  </si>
  <si>
    <t>Aspectos metodológicos</t>
  </si>
  <si>
    <t>Diseño de modelo de negocios</t>
  </si>
  <si>
    <t>Espíritu Emprendedor</t>
  </si>
  <si>
    <t xml:space="preserve">Ecosistema emprendedor
</t>
  </si>
  <si>
    <t>Cátedra de Pensamiento Cunista II</t>
  </si>
  <si>
    <t>Empresarismo</t>
  </si>
  <si>
    <t xml:space="preserve">Creatividad y desarrollo de negocios </t>
  </si>
  <si>
    <t>Formulación de hipótesis </t>
  </si>
  <si>
    <t>Gestión de la innovación</t>
  </si>
  <si>
    <t>Opción de Grado Técnica Profesional</t>
  </si>
  <si>
    <t>Formulación del problema</t>
  </si>
  <si>
    <t>Metodologías y herramientas para el Emprendimiento</t>
  </si>
  <si>
    <t>Lógica y Pensamiento Matemático</t>
  </si>
  <si>
    <t>Fundamentos lógica matemática</t>
  </si>
  <si>
    <t>Proyecto II</t>
  </si>
  <si>
    <t>Validación de Instrumentos</t>
  </si>
  <si>
    <t>Generalidades del proceso de práctica</t>
  </si>
  <si>
    <t>Recolección de datos</t>
  </si>
  <si>
    <t>Análisis de Datos</t>
  </si>
  <si>
    <t>Entre  I y II SEMESTRE</t>
  </si>
  <si>
    <t>Habilidades Comunicativas</t>
  </si>
  <si>
    <t>Asertividad</t>
  </si>
  <si>
    <t>Resultados e inferencias</t>
  </si>
  <si>
    <t>Comunicación no verbal</t>
  </si>
  <si>
    <t>Electiva Complementaria</t>
  </si>
  <si>
    <t xml:space="preserve">Comunicación verbal </t>
  </si>
  <si>
    <t>Empatía</t>
  </si>
  <si>
    <t xml:space="preserve">Escucha activa </t>
  </si>
  <si>
    <t xml:space="preserve">Gestión de la innovación </t>
  </si>
  <si>
    <t>Informe final</t>
  </si>
  <si>
    <t>Introducción a la lógica matemática</t>
  </si>
  <si>
    <t>Introducción y fundamentos matemáticos</t>
  </si>
  <si>
    <t>Justificación </t>
  </si>
  <si>
    <t>La ética y el trabajo</t>
  </si>
  <si>
    <t xml:space="preserve">La responsabilidad social empresarial y medio ambiente </t>
  </si>
  <si>
    <t>Marco teórico </t>
  </si>
  <si>
    <t>Medidas de forma</t>
  </si>
  <si>
    <t>Medidas de posición</t>
  </si>
  <si>
    <t>Medidas de tendencia central</t>
  </si>
  <si>
    <t>Medidas de variabilidad</t>
  </si>
  <si>
    <t>Objetivos (general y específicos)</t>
  </si>
  <si>
    <t>Ofimática</t>
  </si>
  <si>
    <t>Pensamiento crítico</t>
  </si>
  <si>
    <t>Pensamiento Divergente</t>
  </si>
  <si>
    <t>Planteamiento del problema</t>
  </si>
  <si>
    <t>Probabilidades</t>
  </si>
  <si>
    <t>Razonamiento algorítmico</t>
  </si>
  <si>
    <t xml:space="preserve">Recolección de datos  </t>
  </si>
  <si>
    <t>Redes comunicativas</t>
  </si>
  <si>
    <t>Representación de datos</t>
  </si>
  <si>
    <t>Responsabilidad social empresarial</t>
  </si>
  <si>
    <t xml:space="preserve">Resultados e inferencia  </t>
  </si>
  <si>
    <t>Seguimiento al proceso</t>
  </si>
  <si>
    <t>Seguridad Informática</t>
  </si>
  <si>
    <t>Seminario trabajo de grado</t>
  </si>
  <si>
    <t>Sistematización del problema</t>
  </si>
  <si>
    <t>Software y hardware</t>
  </si>
  <si>
    <t>Solución de problemas</t>
  </si>
  <si>
    <t>Sostenibilidad ambiental</t>
  </si>
  <si>
    <t>Sostenibilidad económica</t>
  </si>
  <si>
    <t>Sostenibilidad Social</t>
  </si>
  <si>
    <t>Taller: problema y objetivos de investigación </t>
  </si>
  <si>
    <t>Tecnologías de convergencia</t>
  </si>
  <si>
    <t>Teoría de conjuntos</t>
  </si>
  <si>
    <t>Trabajo de práctica</t>
  </si>
  <si>
    <t xml:space="preserve">Validación de instrumentos  </t>
  </si>
  <si>
    <t>Electiva Complementaria I</t>
  </si>
  <si>
    <t>Electiva de Profundización I</t>
  </si>
  <si>
    <t>Electiva de Profundización III</t>
  </si>
  <si>
    <t>Electiva Complementaria II</t>
  </si>
  <si>
    <t>Electiva de Profundización II</t>
  </si>
  <si>
    <t>Electiva Complementaria III</t>
  </si>
  <si>
    <t>x SEMESTRE</t>
  </si>
  <si>
    <t>Teórico-práctica</t>
  </si>
  <si>
    <t>TRANSVERSAL - INSTITUCIONAL</t>
  </si>
  <si>
    <t xml:space="preserve">TOTAL CRÉDITOS ACADÉMICOS </t>
  </si>
  <si>
    <t>SEMESTRE</t>
  </si>
  <si>
    <t>TIPOLOGÍA DE ASIGNATURA</t>
  </si>
  <si>
    <t>CRÉDITOS ACADÉMICOS</t>
  </si>
  <si>
    <t>HORAS DE TRABAJO ACOMPAÑADO</t>
  </si>
  <si>
    <t>HORAS DE TRABAJO INDEPENDIENTE</t>
  </si>
  <si>
    <t>HORAS DE TRABAJO TOTALES</t>
  </si>
  <si>
    <t>PLAN DE ESTUDIOS DEL PROGRAMA</t>
  </si>
  <si>
    <t>TR_SNIES</t>
  </si>
  <si>
    <t>Orden_Asignatura</t>
  </si>
  <si>
    <t>Orden_Contenido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</si>
</sst>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72"/>
      <color rgb="FFFFFFFF"/>
      <name val="Arial"/>
      <family val="2"/>
    </font>
    <font>
      <sz val="11"/>
      <name val="Aptos Narrow"/>
      <family val="2"/>
    </font>
    <font>
      <b/>
      <sz val="36"/>
      <color rgb="FF000000"/>
      <name val="Arial"/>
      <family val="2"/>
    </font>
    <font>
      <sz val="36"/>
      <color rgb="FF000000"/>
      <name val="Arial"/>
      <family val="2"/>
    </font>
    <font>
      <sz val="48"/>
      <color rgb="FF000000"/>
      <name val="Arial"/>
      <family val="2"/>
    </font>
    <font>
      <b/>
      <sz val="45"/>
      <color rgb="FFFFFFFF"/>
      <name val="Arial"/>
      <family val="2"/>
    </font>
    <font>
      <b/>
      <sz val="36"/>
      <color rgb="FFFFFFFF"/>
      <name val="Arial"/>
      <family val="2"/>
    </font>
    <font>
      <sz val="7"/>
      <color rgb="FF000000"/>
      <name val="Arial"/>
      <family val="2"/>
    </font>
    <font>
      <b/>
      <sz val="11"/>
      <color rgb="FF000000"/>
      <name val="Arial"/>
      <family val="2"/>
    </font>
    <font>
      <b/>
      <sz val="16"/>
      <color rgb="FFFFFFFF"/>
      <name val="Arial"/>
      <family val="2"/>
    </font>
    <font>
      <b/>
      <sz val="48"/>
      <color rgb="FF000000"/>
      <name val="Arial"/>
      <family val="2"/>
    </font>
    <font>
      <sz val="16"/>
      <color rgb="FFFFFFFF"/>
      <name val="Arial"/>
      <family val="2"/>
    </font>
    <font>
      <b/>
      <sz val="24"/>
      <color rgb="FF000000"/>
      <name val="Arial"/>
      <family val="2"/>
    </font>
    <font>
      <b/>
      <sz val="28"/>
      <color rgb="FF000000"/>
      <name val="Arial"/>
      <family val="2"/>
    </font>
    <font>
      <b/>
      <sz val="25"/>
      <color rgb="FF000000"/>
      <name val="Arial"/>
      <family val="2"/>
    </font>
    <font>
      <b/>
      <sz val="24"/>
      <color rgb="FFFFFFFF"/>
      <name val="Arial"/>
      <family val="2"/>
    </font>
    <font>
      <b/>
      <sz val="28"/>
      <color rgb="FFFFFFFF"/>
      <name val="Arial"/>
      <family val="2"/>
    </font>
    <font>
      <sz val="28"/>
      <color rgb="FF000000"/>
      <name val="Arial"/>
      <family val="2"/>
    </font>
    <font>
      <sz val="11"/>
      <color theme="1"/>
      <name val="Calibri"/>
      <family val="2"/>
    </font>
    <font>
      <b/>
      <sz val="20"/>
      <color rgb="FF000000"/>
      <name val="Arial"/>
      <family val="2"/>
    </font>
    <font>
      <sz val="20"/>
      <color rgb="FF000000"/>
      <name val="Arial"/>
      <family val="2"/>
    </font>
    <font>
      <sz val="20"/>
      <color rgb="FFFFFFFF"/>
      <name val="Arial"/>
      <family val="2"/>
    </font>
    <font>
      <b/>
      <sz val="26"/>
      <color rgb="FF000000"/>
      <name val="Arial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sz val="14"/>
      <color rgb="FFFFFFFF"/>
      <name val="Arial"/>
      <family val="2"/>
    </font>
    <font>
      <sz val="18"/>
      <color rgb="FF000000"/>
      <name val="Arial"/>
      <family val="2"/>
    </font>
    <font>
      <sz val="18"/>
      <color rgb="FFFFFFFF"/>
      <name val="Arial"/>
      <family val="2"/>
    </font>
    <font>
      <b/>
      <sz val="24"/>
      <color theme="0"/>
      <name val="Arial"/>
      <family val="2"/>
    </font>
    <font>
      <sz val="11"/>
      <color rgb="FFFFFFFF"/>
      <name val="Arial"/>
      <family val="2"/>
    </font>
    <font>
      <b/>
      <sz val="20"/>
      <color rgb="FFFFFFFF"/>
      <name val="Arial"/>
      <family val="2"/>
    </font>
    <font>
      <sz val="28"/>
      <color rgb="FFFFFFFF"/>
      <name val="Arial"/>
      <family val="2"/>
    </font>
    <font>
      <b/>
      <sz val="60"/>
      <color rgb="FF000000"/>
      <name val="Arial"/>
      <family val="2"/>
    </font>
    <font>
      <sz val="7"/>
      <color rgb="FF1F1F1F"/>
      <name val="Arial"/>
      <family val="2"/>
    </font>
    <font>
      <b/>
      <sz val="28"/>
      <color theme="0"/>
      <name val="Arial"/>
      <family val="2"/>
    </font>
    <font>
      <b/>
      <sz val="28"/>
      <color theme="1"/>
      <name val="Arial"/>
      <family val="2"/>
    </font>
    <font>
      <sz val="28"/>
      <color theme="1"/>
      <name val="Arial"/>
      <family val="2"/>
    </font>
    <font>
      <sz val="11"/>
      <name val="Calibri"/>
      <family val="2"/>
    </font>
    <font>
      <b/>
      <sz val="36"/>
      <color theme="1"/>
      <name val="Arial"/>
      <family val="2"/>
    </font>
    <font>
      <b/>
      <sz val="36"/>
      <color theme="0"/>
      <name val="Arial"/>
      <family val="2"/>
    </font>
    <font>
      <sz val="11"/>
      <color theme="1"/>
      <name val="Arial"/>
      <family val="2"/>
    </font>
    <font>
      <b/>
      <sz val="24"/>
      <color theme="1"/>
      <name val="Arial"/>
      <family val="2"/>
    </font>
    <font>
      <b/>
      <sz val="48"/>
      <color theme="1"/>
      <name val="Arial"/>
      <family val="2"/>
    </font>
    <font>
      <sz val="48"/>
      <color theme="1"/>
      <name val="Arial"/>
      <family val="2"/>
    </font>
    <font>
      <sz val="36"/>
      <color theme="1"/>
      <name val="Arial"/>
      <family val="2"/>
    </font>
    <font>
      <sz val="18"/>
      <color theme="0"/>
      <name val="Arial"/>
      <family val="2"/>
    </font>
    <font>
      <sz val="18"/>
      <color theme="1"/>
      <name val="Arial"/>
      <family val="2"/>
    </font>
    <font>
      <b/>
      <sz val="20"/>
      <color theme="0"/>
      <name val="Arial"/>
      <family val="2"/>
    </font>
    <font>
      <sz val="16"/>
      <color theme="0"/>
      <name val="Arial"/>
      <family val="2"/>
    </font>
    <font>
      <sz val="28"/>
      <color theme="0"/>
      <name val="Arial"/>
      <family val="2"/>
    </font>
    <font>
      <b/>
      <sz val="60"/>
      <color theme="1"/>
      <name val="Arial"/>
      <family val="2"/>
    </font>
    <font>
      <b/>
      <sz val="10"/>
      <color theme="1"/>
      <name val="Times New Roman"/>
      <family val="1"/>
    </font>
    <font>
      <b/>
      <sz val="9"/>
      <color rgb="FFFFFFFF"/>
      <name val="Times New Roman"/>
      <family val="1"/>
    </font>
    <font>
      <b/>
      <sz val="9"/>
      <color theme="1"/>
      <name val="Times New Roman"/>
      <family val="1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8"/>
      <color rgb="FF000000"/>
      <name val="Arial"/>
      <family val="2"/>
    </font>
    <font>
      <b/>
      <sz val="14"/>
      <color rgb="FF000000"/>
      <name val="Century Gothic"/>
      <family val="2"/>
    </font>
    <font>
      <sz val="14"/>
      <color rgb="FF000000"/>
      <name val="Century Gothic"/>
      <family val="2"/>
    </font>
    <font>
      <b/>
      <sz val="14"/>
      <color theme="1"/>
      <name val="Century Gothic"/>
      <family val="2"/>
    </font>
    <font>
      <b/>
      <sz val="12"/>
      <color rgb="FF000000"/>
      <name val="Century Gothic"/>
      <family val="2"/>
    </font>
    <font>
      <b/>
      <sz val="11"/>
      <color rgb="FF000000"/>
      <name val="Century Gothic"/>
      <family val="2"/>
    </font>
    <font>
      <sz val="14"/>
      <color theme="1"/>
      <name val="Calibri"/>
      <family val="2"/>
    </font>
    <font>
      <sz val="12"/>
      <color rgb="FFFFFFFF"/>
      <name val="Century Gothic"/>
      <family val="2"/>
    </font>
    <font>
      <sz val="12"/>
      <color rgb="FF000000"/>
      <name val="Century Gothic"/>
      <family val="2"/>
    </font>
    <font>
      <sz val="14"/>
      <color theme="1"/>
      <name val="Century Gothic"/>
      <family val="2"/>
    </font>
    <font>
      <sz val="14"/>
      <color rgb="FFFFFFFF"/>
      <name val="Century Gothic"/>
      <family val="2"/>
    </font>
    <font>
      <b/>
      <sz val="11"/>
      <color rgb="FFFF0000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rgb="FFFFFFFF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rgb="FF92D050"/>
      </patternFill>
    </fill>
    <fill>
      <patternFill patternType="solid">
        <fgColor rgb="FFADDB7B"/>
        <bgColor rgb="FFADDB7B"/>
      </patternFill>
    </fill>
    <fill>
      <patternFill patternType="solid">
        <fgColor rgb="FFD8D8D8"/>
        <bgColor rgb="FFD8D8D8"/>
      </patternFill>
    </fill>
    <fill>
      <patternFill patternType="solid">
        <fgColor rgb="FFDBDBDB"/>
        <bgColor rgb="FFDBDBDB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theme="0"/>
      </patternFill>
    </fill>
    <fill>
      <patternFill patternType="solid">
        <fgColor rgb="FF548135"/>
        <bgColor rgb="FF548135"/>
      </patternFill>
    </fill>
    <fill>
      <patternFill patternType="solid">
        <fgColor rgb="FFC5E0B3"/>
        <bgColor rgb="FFC5E0B3"/>
      </patternFill>
    </fill>
    <fill>
      <patternFill patternType="solid">
        <fgColor rgb="FF7B7B7B"/>
        <bgColor rgb="FF7B7B7B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rgb="FF92D050"/>
      </patternFill>
    </fill>
    <fill>
      <patternFill patternType="solid">
        <fgColor theme="9"/>
        <bgColor theme="9"/>
      </patternFill>
    </fill>
    <fill>
      <patternFill patternType="solid">
        <fgColor theme="0"/>
        <bgColor rgb="FFFFFFFF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C206"/>
        <bgColor rgb="FF49C206"/>
      </patternFill>
    </fill>
    <fill>
      <patternFill patternType="solid">
        <fgColor rgb="FFD3F0E2"/>
        <bgColor rgb="FFD3F0E2"/>
      </patternFill>
    </fill>
    <fill>
      <patternFill patternType="solid">
        <fgColor rgb="FF00B0F0"/>
        <bgColor rgb="FF00B0F0"/>
      </patternFill>
    </fill>
    <fill>
      <patternFill patternType="solid">
        <fgColor rgb="FFC0C0C0"/>
        <bgColor rgb="FFC0C0C0"/>
      </patternFill>
    </fill>
    <fill>
      <patternFill patternType="solid">
        <fgColor rgb="FFFFE598"/>
        <bgColor rgb="FFFFE598"/>
      </patternFill>
    </fill>
    <fill>
      <patternFill patternType="solid">
        <fgColor rgb="FFA8D08D"/>
        <bgColor rgb="FFA8D08D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rgb="FFD8D8D8"/>
      </patternFill>
    </fill>
    <fill>
      <patternFill patternType="solid">
        <fgColor theme="0"/>
        <bgColor rgb="FFD8D8D8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DBDBDB"/>
      </patternFill>
    </fill>
    <fill>
      <patternFill patternType="solid">
        <fgColor theme="0" tint="-4.9989318521683403E-2"/>
        <bgColor rgb="FFFFFFFF"/>
      </patternFill>
    </fill>
  </fills>
  <borders count="177">
    <border>
      <left/>
      <right/>
      <top/>
      <bottom/>
      <diagonal/>
    </border>
    <border>
      <left/>
      <right/>
      <top style="thin">
        <color rgb="FF548135"/>
      </top>
      <bottom/>
      <diagonal/>
    </border>
    <border>
      <left/>
      <right style="thin">
        <color rgb="FF548135"/>
      </right>
      <top style="thin">
        <color rgb="FF548135"/>
      </top>
      <bottom/>
      <diagonal/>
    </border>
    <border>
      <left style="thin">
        <color rgb="FF548135"/>
      </left>
      <right/>
      <top style="thin">
        <color rgb="FF548135"/>
      </top>
      <bottom/>
      <diagonal/>
    </border>
    <border>
      <left style="thin">
        <color rgb="FF548135"/>
      </left>
      <right/>
      <top style="thin">
        <color rgb="FF548135"/>
      </top>
      <bottom style="thin">
        <color rgb="FF548135"/>
      </bottom>
      <diagonal/>
    </border>
    <border>
      <left/>
      <right/>
      <top style="thin">
        <color rgb="FF548135"/>
      </top>
      <bottom style="thin">
        <color rgb="FF548135"/>
      </bottom>
      <diagonal/>
    </border>
    <border>
      <left/>
      <right style="thin">
        <color rgb="FF548135"/>
      </right>
      <top style="thin">
        <color rgb="FF548135"/>
      </top>
      <bottom style="thin">
        <color rgb="FF548135"/>
      </bottom>
      <diagonal/>
    </border>
    <border>
      <left style="thin">
        <color rgb="FF548135"/>
      </left>
      <right/>
      <top/>
      <bottom/>
      <diagonal/>
    </border>
    <border>
      <left/>
      <right/>
      <top/>
      <bottom style="thin">
        <color rgb="FF548135"/>
      </bottom>
      <diagonal/>
    </border>
    <border>
      <left style="thin">
        <color rgb="FF548135"/>
      </left>
      <right/>
      <top/>
      <bottom style="thin">
        <color rgb="FF548135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548135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rgb="FF548135"/>
      </right>
      <top/>
      <bottom style="thin">
        <color rgb="FFFFFFFF"/>
      </bottom>
      <diagonal/>
    </border>
    <border>
      <left/>
      <right style="thin">
        <color rgb="FFFFFFFF"/>
      </right>
      <top style="thin">
        <color rgb="FF548135"/>
      </top>
      <bottom/>
      <diagonal/>
    </border>
    <border>
      <left style="thin">
        <color rgb="FFFFFFFF"/>
      </left>
      <right/>
      <top/>
      <bottom/>
      <diagonal/>
    </border>
    <border>
      <left style="thin">
        <color rgb="FF548135"/>
      </left>
      <right style="thin">
        <color rgb="FF548135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548135"/>
      </right>
      <top/>
      <bottom style="thin">
        <color rgb="FFFFFFFF"/>
      </bottom>
      <diagonal/>
    </border>
    <border>
      <left style="thin">
        <color rgb="FF548135"/>
      </left>
      <right style="thin">
        <color rgb="FFFFFFFF"/>
      </right>
      <top/>
      <bottom style="thin">
        <color rgb="FFFFFFFF"/>
      </bottom>
      <diagonal/>
    </border>
    <border>
      <left style="thin">
        <color rgb="FF548135"/>
      </left>
      <right style="thin">
        <color rgb="FF548135"/>
      </right>
      <top style="thin">
        <color rgb="FF548135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548135"/>
      </left>
      <right style="thin">
        <color rgb="FF548135"/>
      </right>
      <top/>
      <bottom/>
      <diagonal/>
    </border>
    <border>
      <left/>
      <right style="thin">
        <color rgb="FF548135"/>
      </right>
      <top/>
      <bottom/>
      <diagonal/>
    </border>
    <border>
      <left style="thin">
        <color rgb="FF548135"/>
      </left>
      <right style="thin">
        <color rgb="FF548135"/>
      </right>
      <top/>
      <bottom style="thin">
        <color rgb="FF548135"/>
      </bottom>
      <diagonal/>
    </border>
    <border>
      <left/>
      <right style="thin">
        <color rgb="FF548135"/>
      </right>
      <top/>
      <bottom style="thin">
        <color rgb="FF548135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548135"/>
      </left>
      <right style="thin">
        <color rgb="FFFFFFFF"/>
      </right>
      <top/>
      <bottom style="thin">
        <color rgb="FF548135"/>
      </bottom>
      <diagonal/>
    </border>
    <border>
      <left/>
      <right style="thin">
        <color rgb="FFFFFFFF"/>
      </right>
      <top/>
      <bottom style="thin">
        <color rgb="FF548135"/>
      </bottom>
      <diagonal/>
    </border>
    <border>
      <left/>
      <right style="thin">
        <color rgb="FFFFFFFF"/>
      </right>
      <top style="thin">
        <color rgb="FFFFFFFF"/>
      </top>
      <bottom style="thin">
        <color rgb="FF548135"/>
      </bottom>
      <diagonal/>
    </border>
    <border>
      <left style="thin">
        <color rgb="FFFFFFFF"/>
      </left>
      <right/>
      <top/>
      <bottom style="thin">
        <color rgb="FF548135"/>
      </bottom>
      <diagonal/>
    </border>
    <border>
      <left style="thin">
        <color rgb="FFFFFFFF"/>
      </left>
      <right style="thin">
        <color rgb="FF548135"/>
      </right>
      <top/>
      <bottom style="thin">
        <color rgb="FF548135"/>
      </bottom>
      <diagonal/>
    </border>
    <border>
      <left style="thin">
        <color rgb="FF548135"/>
      </left>
      <right style="thin">
        <color rgb="FF548135"/>
      </right>
      <top style="thin">
        <color rgb="FF548135"/>
      </top>
      <bottom style="thin">
        <color rgb="FF548135"/>
      </bottom>
      <diagonal/>
    </border>
    <border>
      <left/>
      <right style="thin">
        <color rgb="FF548135"/>
      </right>
      <top style="thin">
        <color rgb="FFFFFFFF"/>
      </top>
      <bottom style="thin">
        <color rgb="FFFFFFFF"/>
      </bottom>
      <diagonal/>
    </border>
    <border>
      <left style="thin">
        <color rgb="FF548135"/>
      </left>
      <right/>
      <top style="thin">
        <color rgb="FFFFFFFF"/>
      </top>
      <bottom/>
      <diagonal/>
    </border>
    <border>
      <left style="thin">
        <color rgb="FF548135"/>
      </left>
      <right style="thin">
        <color rgb="FF548135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548135"/>
      </bottom>
      <diagonal/>
    </border>
    <border>
      <left style="thin">
        <color rgb="FF548135"/>
      </left>
      <right style="thin">
        <color rgb="FFFFFFFF"/>
      </right>
      <top style="thin">
        <color rgb="FFFFFFFF"/>
      </top>
      <bottom style="thin">
        <color rgb="FF548135"/>
      </bottom>
      <diagonal/>
    </border>
    <border>
      <left style="thin">
        <color rgb="FFFFFFFF"/>
      </left>
      <right style="thin">
        <color rgb="FFFFFFFF"/>
      </right>
      <top/>
      <bottom style="thin">
        <color rgb="FF548135"/>
      </bottom>
      <diagonal/>
    </border>
    <border>
      <left style="thin">
        <color rgb="FF548135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548135"/>
      </left>
      <right style="medium">
        <color rgb="FF548135"/>
      </right>
      <top style="medium">
        <color rgb="FF548135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548135"/>
      </left>
      <right style="medium">
        <color rgb="FF548135"/>
      </right>
      <top/>
      <bottom/>
      <diagonal/>
    </border>
    <border>
      <left style="medium">
        <color rgb="FF548135"/>
      </left>
      <right style="medium">
        <color rgb="FF548135"/>
      </right>
      <top/>
      <bottom style="medium">
        <color rgb="FF548135"/>
      </bottom>
      <diagonal/>
    </border>
    <border>
      <left style="medium">
        <color rgb="FF548135"/>
      </left>
      <right/>
      <top style="medium">
        <color rgb="FF548135"/>
      </top>
      <bottom/>
      <diagonal/>
    </border>
    <border>
      <left/>
      <right/>
      <top style="medium">
        <color rgb="FF548135"/>
      </top>
      <bottom/>
      <diagonal/>
    </border>
    <border>
      <left/>
      <right style="medium">
        <color rgb="FF548135"/>
      </right>
      <top style="medium">
        <color rgb="FF548135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548135"/>
      </left>
      <right/>
      <top/>
      <bottom/>
      <diagonal/>
    </border>
    <border>
      <left/>
      <right style="medium">
        <color rgb="FF548135"/>
      </right>
      <top/>
      <bottom/>
      <diagonal/>
    </border>
    <border>
      <left style="medium">
        <color rgb="FF548135"/>
      </left>
      <right/>
      <top/>
      <bottom style="medium">
        <color rgb="FF548135"/>
      </bottom>
      <diagonal/>
    </border>
    <border>
      <left/>
      <right/>
      <top/>
      <bottom style="medium">
        <color rgb="FF548135"/>
      </bottom>
      <diagonal/>
    </border>
    <border>
      <left/>
      <right style="medium">
        <color rgb="FF548135"/>
      </right>
      <top/>
      <bottom style="medium">
        <color rgb="FF54813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theme="0"/>
      </bottom>
      <diagonal/>
    </border>
    <border>
      <left style="medium">
        <color rgb="FF548135"/>
      </left>
      <right/>
      <top style="medium">
        <color rgb="FF548135"/>
      </top>
      <bottom style="medium">
        <color rgb="FF548135"/>
      </bottom>
      <diagonal/>
    </border>
    <border>
      <left/>
      <right/>
      <top style="medium">
        <color rgb="FF548135"/>
      </top>
      <bottom style="medium">
        <color rgb="FF548135"/>
      </bottom>
      <diagonal/>
    </border>
    <border>
      <left/>
      <right style="medium">
        <color rgb="FF548135"/>
      </right>
      <top style="medium">
        <color rgb="FF548135"/>
      </top>
      <bottom style="medium">
        <color rgb="FF548135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rgb="FF548135"/>
      </left>
      <right style="thin">
        <color rgb="FF548135"/>
      </right>
      <top style="medium">
        <color rgb="FF548135"/>
      </top>
      <bottom style="medium">
        <color rgb="FF548135"/>
      </bottom>
      <diagonal/>
    </border>
    <border>
      <left style="thin">
        <color rgb="FF548135"/>
      </left>
      <right style="thin">
        <color rgb="FF548135"/>
      </right>
      <top style="medium">
        <color rgb="FF548135"/>
      </top>
      <bottom style="medium">
        <color rgb="FF548135"/>
      </bottom>
      <diagonal/>
    </border>
    <border>
      <left style="thin">
        <color rgb="FF548135"/>
      </left>
      <right style="medium">
        <color rgb="FF548135"/>
      </right>
      <top style="medium">
        <color rgb="FF548135"/>
      </top>
      <bottom style="medium">
        <color rgb="FF548135"/>
      </bottom>
      <diagonal/>
    </border>
    <border>
      <left/>
      <right style="medium">
        <color rgb="FF548135"/>
      </right>
      <top/>
      <bottom style="thin">
        <color theme="0"/>
      </bottom>
      <diagonal/>
    </border>
    <border>
      <left style="medium">
        <color rgb="FF548135"/>
      </left>
      <right style="medium">
        <color rgb="FF548135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rgb="FF548135"/>
      </right>
      <top/>
      <bottom style="thin">
        <color theme="0"/>
      </bottom>
      <diagonal/>
    </border>
    <border>
      <left style="medium">
        <color rgb="FF548135"/>
      </left>
      <right style="thin">
        <color rgb="FF548135"/>
      </right>
      <top style="medium">
        <color rgb="FF548135"/>
      </top>
      <bottom/>
      <diagonal/>
    </border>
    <border>
      <left style="thin">
        <color rgb="FF548135"/>
      </left>
      <right style="thin">
        <color rgb="FF548135"/>
      </right>
      <top style="medium">
        <color rgb="FF548135"/>
      </top>
      <bottom/>
      <diagonal/>
    </border>
    <border>
      <left style="thin">
        <color rgb="FF548135"/>
      </left>
      <right style="medium">
        <color rgb="FF548135"/>
      </right>
      <top style="medium">
        <color rgb="FF548135"/>
      </top>
      <bottom/>
      <diagonal/>
    </border>
    <border>
      <left style="medium">
        <color rgb="FF548135"/>
      </left>
      <right style="thin">
        <color rgb="FF548135"/>
      </right>
      <top/>
      <bottom/>
      <diagonal/>
    </border>
    <border>
      <left style="thin">
        <color rgb="FF548135"/>
      </left>
      <right style="medium">
        <color rgb="FF548135"/>
      </right>
      <top/>
      <bottom/>
      <diagonal/>
    </border>
    <border>
      <left/>
      <right/>
      <top style="thin">
        <color theme="0"/>
      </top>
      <bottom/>
      <diagonal/>
    </border>
    <border>
      <left style="medium">
        <color rgb="FF548135"/>
      </left>
      <right style="medium">
        <color rgb="FF548135"/>
      </right>
      <top style="thin">
        <color theme="0"/>
      </top>
      <bottom style="thin">
        <color theme="0"/>
      </bottom>
      <diagonal/>
    </border>
    <border>
      <left style="medium">
        <color rgb="FF548135"/>
      </left>
      <right style="thin">
        <color rgb="FF548135"/>
      </right>
      <top/>
      <bottom style="medium">
        <color rgb="FF548135"/>
      </bottom>
      <diagonal/>
    </border>
    <border>
      <left style="thin">
        <color rgb="FF548135"/>
      </left>
      <right style="thin">
        <color rgb="FF548135"/>
      </right>
      <top/>
      <bottom style="medium">
        <color rgb="FF548135"/>
      </bottom>
      <diagonal/>
    </border>
    <border>
      <left style="thin">
        <color rgb="FF548135"/>
      </left>
      <right style="medium">
        <color rgb="FF548135"/>
      </right>
      <top/>
      <bottom style="medium">
        <color rgb="FF54813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548135"/>
      </left>
      <right style="thin">
        <color rgb="FF000000"/>
      </right>
      <top style="thin">
        <color rgb="FFFFFFFF"/>
      </top>
      <bottom/>
      <diagonal/>
    </border>
    <border>
      <left style="thin">
        <color rgb="FF548135"/>
      </left>
      <right style="thin">
        <color rgb="FF000000"/>
      </right>
      <top/>
      <bottom/>
      <diagonal/>
    </border>
    <border>
      <left style="thin">
        <color rgb="FF548135"/>
      </left>
      <right style="thin">
        <color rgb="FF000000"/>
      </right>
      <top/>
      <bottom style="thin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FFFFFF"/>
      </left>
      <right style="thin">
        <color rgb="FF548135"/>
      </right>
      <top style="thin">
        <color rgb="FFFFFFFF"/>
      </top>
      <bottom style="thin">
        <color theme="9" tint="-0.249977111117893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thin">
        <color theme="9"/>
      </bottom>
      <diagonal/>
    </border>
    <border>
      <left style="medium">
        <color theme="9" tint="-0.249977111117893"/>
      </left>
      <right style="medium">
        <color theme="9" tint="-0.249977111117893"/>
      </right>
      <top style="thin">
        <color theme="9"/>
      </top>
      <bottom style="thin">
        <color theme="9"/>
      </bottom>
      <diagonal/>
    </border>
    <border>
      <left style="medium">
        <color theme="9" tint="-0.249977111117893"/>
      </left>
      <right style="medium">
        <color theme="9" tint="-0.249977111117893"/>
      </right>
      <top style="thin">
        <color theme="9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</borders>
  <cellStyleXfs count="2">
    <xf numFmtId="0" fontId="0" fillId="0" borderId="0"/>
    <xf numFmtId="0" fontId="2" fillId="0" borderId="0"/>
  </cellStyleXfs>
  <cellXfs count="767">
    <xf numFmtId="0" fontId="0" fillId="0" borderId="0" xfId="0"/>
    <xf numFmtId="0" fontId="0" fillId="0" borderId="0" xfId="0" applyAlignment="1">
      <alignment horizontal="center" vertical="center"/>
    </xf>
    <xf numFmtId="0" fontId="3" fillId="2" borderId="0" xfId="1" applyFont="1" applyFill="1" applyProtection="1">
      <protection hidden="1"/>
    </xf>
    <xf numFmtId="0" fontId="3" fillId="2" borderId="1" xfId="1" applyFont="1" applyFill="1" applyBorder="1" applyProtection="1">
      <protection hidden="1"/>
    </xf>
    <xf numFmtId="0" fontId="3" fillId="2" borderId="2" xfId="1" applyFont="1" applyFill="1" applyBorder="1" applyProtection="1">
      <protection hidden="1"/>
    </xf>
    <xf numFmtId="0" fontId="2" fillId="0" borderId="0" xfId="1" applyProtection="1">
      <protection hidden="1"/>
    </xf>
    <xf numFmtId="0" fontId="7" fillId="2" borderId="4" xfId="1" applyFont="1" applyFill="1" applyBorder="1" applyAlignment="1" applyProtection="1">
      <alignment horizontal="left"/>
      <protection hidden="1"/>
    </xf>
    <xf numFmtId="0" fontId="7" fillId="2" borderId="5" xfId="1" applyFont="1" applyFill="1" applyBorder="1" applyAlignment="1" applyProtection="1">
      <alignment horizontal="left"/>
      <protection hidden="1"/>
    </xf>
    <xf numFmtId="0" fontId="7" fillId="2" borderId="6" xfId="1" applyFont="1" applyFill="1" applyBorder="1" applyAlignment="1" applyProtection="1">
      <alignment horizontal="left"/>
      <protection hidden="1"/>
    </xf>
    <xf numFmtId="0" fontId="8" fillId="2" borderId="0" xfId="1" applyFont="1" applyFill="1" applyProtection="1">
      <protection hidden="1"/>
    </xf>
    <xf numFmtId="0" fontId="7" fillId="2" borderId="0" xfId="1" applyFont="1" applyFill="1" applyProtection="1">
      <protection hidden="1"/>
    </xf>
    <xf numFmtId="0" fontId="9" fillId="2" borderId="0" xfId="1" applyFont="1" applyFill="1" applyProtection="1">
      <protection hidden="1"/>
    </xf>
    <xf numFmtId="0" fontId="3" fillId="0" borderId="10" xfId="1" applyFont="1" applyBorder="1" applyProtection="1">
      <protection hidden="1"/>
    </xf>
    <xf numFmtId="0" fontId="3" fillId="0" borderId="11" xfId="1" applyFont="1" applyBorder="1" applyProtection="1">
      <protection hidden="1"/>
    </xf>
    <xf numFmtId="0" fontId="3" fillId="0" borderId="12" xfId="1" applyFont="1" applyBorder="1" applyProtection="1">
      <protection hidden="1"/>
    </xf>
    <xf numFmtId="0" fontId="3" fillId="0" borderId="13" xfId="1" applyFont="1" applyBorder="1" applyProtection="1">
      <protection hidden="1"/>
    </xf>
    <xf numFmtId="0" fontId="3" fillId="0" borderId="14" xfId="1" applyFont="1" applyBorder="1" applyProtection="1">
      <protection hidden="1"/>
    </xf>
    <xf numFmtId="0" fontId="8" fillId="0" borderId="14" xfId="1" applyFont="1" applyBorder="1" applyProtection="1">
      <protection hidden="1"/>
    </xf>
    <xf numFmtId="0" fontId="3" fillId="0" borderId="15" xfId="1" applyFont="1" applyBorder="1" applyProtection="1">
      <protection hidden="1"/>
    </xf>
    <xf numFmtId="0" fontId="3" fillId="2" borderId="14" xfId="1" applyFont="1" applyFill="1" applyBorder="1" applyProtection="1">
      <protection hidden="1"/>
    </xf>
    <xf numFmtId="0" fontId="7" fillId="0" borderId="14" xfId="1" applyFont="1" applyBorder="1" applyProtection="1">
      <protection hidden="1"/>
    </xf>
    <xf numFmtId="0" fontId="9" fillId="0" borderId="14" xfId="1" applyFont="1" applyBorder="1" applyProtection="1">
      <protection hidden="1"/>
    </xf>
    <xf numFmtId="0" fontId="9" fillId="0" borderId="0" xfId="1" applyFont="1" applyProtection="1">
      <protection hidden="1"/>
    </xf>
    <xf numFmtId="0" fontId="9" fillId="0" borderId="17" xfId="1" applyFont="1" applyBorder="1" applyProtection="1">
      <protection hidden="1"/>
    </xf>
    <xf numFmtId="0" fontId="3" fillId="0" borderId="18" xfId="1" applyFont="1" applyBorder="1" applyProtection="1">
      <protection hidden="1"/>
    </xf>
    <xf numFmtId="0" fontId="7" fillId="0" borderId="0" xfId="1" applyFont="1" applyProtection="1">
      <protection hidden="1"/>
    </xf>
    <xf numFmtId="0" fontId="8" fillId="0" borderId="17" xfId="1" applyFont="1" applyBorder="1" applyProtection="1">
      <protection hidden="1"/>
    </xf>
    <xf numFmtId="0" fontId="3" fillId="0" borderId="0" xfId="1" applyFont="1" applyProtection="1">
      <protection hidden="1"/>
    </xf>
    <xf numFmtId="0" fontId="3" fillId="0" borderId="17" xfId="1" applyFont="1" applyBorder="1" applyProtection="1">
      <protection hidden="1"/>
    </xf>
    <xf numFmtId="0" fontId="3" fillId="0" borderId="19" xfId="1" applyFont="1" applyBorder="1" applyProtection="1">
      <protection hidden="1"/>
    </xf>
    <xf numFmtId="0" fontId="3" fillId="0" borderId="20" xfId="1" applyFont="1" applyBorder="1" applyProtection="1">
      <protection hidden="1"/>
    </xf>
    <xf numFmtId="0" fontId="12" fillId="0" borderId="20" xfId="1" applyFont="1" applyBorder="1" applyProtection="1">
      <protection hidden="1"/>
    </xf>
    <xf numFmtId="0" fontId="13" fillId="0" borderId="20" xfId="1" applyFont="1" applyBorder="1" applyProtection="1">
      <protection hidden="1"/>
    </xf>
    <xf numFmtId="0" fontId="13" fillId="0" borderId="18" xfId="1" applyFont="1" applyBorder="1" applyProtection="1">
      <protection hidden="1"/>
    </xf>
    <xf numFmtId="0" fontId="13" fillId="0" borderId="11" xfId="1" applyFont="1" applyBorder="1" applyProtection="1">
      <protection hidden="1"/>
    </xf>
    <xf numFmtId="0" fontId="14" fillId="0" borderId="21" xfId="1" applyFont="1" applyBorder="1" applyProtection="1">
      <protection hidden="1"/>
    </xf>
    <xf numFmtId="0" fontId="3" fillId="0" borderId="22" xfId="1" applyFont="1" applyBorder="1" applyProtection="1">
      <protection hidden="1"/>
    </xf>
    <xf numFmtId="0" fontId="3" fillId="0" borderId="23" xfId="1" applyFont="1" applyBorder="1" applyProtection="1">
      <protection hidden="1"/>
    </xf>
    <xf numFmtId="0" fontId="8" fillId="0" borderId="11" xfId="1" applyFont="1" applyBorder="1" applyProtection="1">
      <protection hidden="1"/>
    </xf>
    <xf numFmtId="0" fontId="3" fillId="2" borderId="11" xfId="1" applyFont="1" applyFill="1" applyBorder="1" applyProtection="1">
      <protection hidden="1"/>
    </xf>
    <xf numFmtId="0" fontId="9" fillId="0" borderId="11" xfId="1" applyFont="1" applyBorder="1" applyProtection="1">
      <protection hidden="1"/>
    </xf>
    <xf numFmtId="0" fontId="3" fillId="2" borderId="20" xfId="1" applyFont="1" applyFill="1" applyBorder="1" applyProtection="1">
      <protection hidden="1"/>
    </xf>
    <xf numFmtId="0" fontId="7" fillId="0" borderId="10" xfId="1" applyFont="1" applyBorder="1" applyProtection="1">
      <protection hidden="1"/>
    </xf>
    <xf numFmtId="0" fontId="15" fillId="0" borderId="10" xfId="1" applyFont="1" applyBorder="1" applyProtection="1">
      <protection hidden="1"/>
    </xf>
    <xf numFmtId="0" fontId="16" fillId="0" borderId="11" xfId="1" applyFont="1" applyBorder="1" applyProtection="1">
      <protection hidden="1"/>
    </xf>
    <xf numFmtId="0" fontId="7" fillId="0" borderId="11" xfId="1" applyFont="1" applyBorder="1" applyProtection="1">
      <protection hidden="1"/>
    </xf>
    <xf numFmtId="0" fontId="17" fillId="0" borderId="10" xfId="1" applyFont="1" applyBorder="1" applyProtection="1">
      <protection hidden="1"/>
    </xf>
    <xf numFmtId="0" fontId="17" fillId="0" borderId="12" xfId="1" applyFont="1" applyBorder="1" applyProtection="1">
      <protection hidden="1"/>
    </xf>
    <xf numFmtId="0" fontId="20" fillId="0" borderId="22" xfId="1" applyFont="1" applyBorder="1" applyProtection="1">
      <protection hidden="1"/>
    </xf>
    <xf numFmtId="0" fontId="17" fillId="0" borderId="20" xfId="1" applyFont="1" applyBorder="1" applyProtection="1">
      <protection hidden="1"/>
    </xf>
    <xf numFmtId="0" fontId="7" fillId="0" borderId="25" xfId="1" applyFont="1" applyBorder="1" applyAlignment="1" applyProtection="1">
      <alignment horizontal="center" vertical="center" wrapText="1"/>
      <protection hidden="1"/>
    </xf>
    <xf numFmtId="0" fontId="3" fillId="2" borderId="0" xfId="1" applyFont="1" applyFill="1" applyAlignment="1" applyProtection="1">
      <alignment horizontal="center" vertical="center" wrapText="1"/>
      <protection hidden="1"/>
    </xf>
    <xf numFmtId="0" fontId="18" fillId="0" borderId="20" xfId="1" applyFont="1" applyBorder="1" applyAlignment="1" applyProtection="1">
      <alignment vertical="center" wrapText="1"/>
      <protection hidden="1"/>
    </xf>
    <xf numFmtId="0" fontId="22" fillId="0" borderId="20" xfId="1" applyFont="1" applyBorder="1" applyAlignment="1" applyProtection="1">
      <alignment vertical="center" wrapText="1"/>
      <protection hidden="1"/>
    </xf>
    <xf numFmtId="0" fontId="17" fillId="0" borderId="18" xfId="1" applyFont="1" applyBorder="1" applyProtection="1">
      <protection hidden="1"/>
    </xf>
    <xf numFmtId="0" fontId="17" fillId="0" borderId="11" xfId="1" applyFont="1" applyBorder="1" applyProtection="1">
      <protection hidden="1"/>
    </xf>
    <xf numFmtId="0" fontId="23" fillId="2" borderId="0" xfId="1" applyFont="1" applyFill="1" applyProtection="1">
      <protection hidden="1"/>
    </xf>
    <xf numFmtId="0" fontId="40" fillId="0" borderId="64" xfId="0" applyFont="1" applyBorder="1" applyAlignment="1" applyProtection="1">
      <alignment vertical="center"/>
      <protection hidden="1"/>
    </xf>
    <xf numFmtId="0" fontId="41" fillId="0" borderId="64" xfId="0" applyFont="1" applyBorder="1" applyAlignment="1" applyProtection="1">
      <alignment vertical="center" wrapText="1"/>
      <protection hidden="1"/>
    </xf>
    <xf numFmtId="0" fontId="20" fillId="0" borderId="11" xfId="1" applyFont="1" applyBorder="1" applyProtection="1">
      <protection hidden="1"/>
    </xf>
    <xf numFmtId="0" fontId="43" fillId="0" borderId="70" xfId="0" applyFont="1" applyBorder="1" applyAlignment="1" applyProtection="1">
      <alignment vertical="center"/>
      <protection hidden="1"/>
    </xf>
    <xf numFmtId="0" fontId="17" fillId="0" borderId="19" xfId="1" applyFont="1" applyBorder="1" applyProtection="1">
      <protection hidden="1"/>
    </xf>
    <xf numFmtId="0" fontId="17" fillId="0" borderId="22" xfId="1" applyFont="1" applyBorder="1" applyProtection="1">
      <protection hidden="1"/>
    </xf>
    <xf numFmtId="0" fontId="7" fillId="0" borderId="20" xfId="1" applyFont="1" applyBorder="1" applyProtection="1">
      <protection hidden="1"/>
    </xf>
    <xf numFmtId="0" fontId="7" fillId="0" borderId="19" xfId="1" applyFont="1" applyBorder="1" applyAlignment="1" applyProtection="1">
      <alignment horizontal="center" vertical="center" wrapText="1"/>
      <protection hidden="1"/>
    </xf>
    <xf numFmtId="0" fontId="7" fillId="0" borderId="19" xfId="1" applyFont="1" applyBorder="1" applyProtection="1">
      <protection hidden="1"/>
    </xf>
    <xf numFmtId="0" fontId="8" fillId="0" borderId="13" xfId="1" applyFont="1" applyBorder="1" applyProtection="1">
      <protection hidden="1"/>
    </xf>
    <xf numFmtId="0" fontId="8" fillId="0" borderId="30" xfId="1" applyFont="1" applyBorder="1" applyProtection="1">
      <protection hidden="1"/>
    </xf>
    <xf numFmtId="0" fontId="3" fillId="0" borderId="11" xfId="1" applyFont="1" applyBorder="1" applyAlignment="1" applyProtection="1">
      <alignment horizontal="center" vertical="center" wrapText="1"/>
      <protection hidden="1"/>
    </xf>
    <xf numFmtId="0" fontId="3" fillId="0" borderId="14" xfId="1" applyFont="1" applyBorder="1" applyAlignment="1" applyProtection="1">
      <alignment horizontal="center" vertical="center" wrapText="1"/>
      <protection hidden="1"/>
    </xf>
    <xf numFmtId="0" fontId="3" fillId="2" borderId="20" xfId="1" applyFont="1" applyFill="1" applyBorder="1" applyAlignment="1" applyProtection="1">
      <alignment horizontal="center" vertical="center" wrapText="1"/>
      <protection hidden="1"/>
    </xf>
    <xf numFmtId="0" fontId="3" fillId="0" borderId="30" xfId="1" applyFont="1" applyBorder="1" applyProtection="1">
      <protection hidden="1"/>
    </xf>
    <xf numFmtId="0" fontId="7" fillId="0" borderId="31" xfId="1" applyFont="1" applyBorder="1" applyProtection="1">
      <protection hidden="1"/>
    </xf>
    <xf numFmtId="0" fontId="15" fillId="0" borderId="20" xfId="1" applyFont="1" applyBorder="1" applyProtection="1">
      <protection hidden="1"/>
    </xf>
    <xf numFmtId="0" fontId="7" fillId="0" borderId="30" xfId="1" applyFont="1" applyBorder="1" applyProtection="1">
      <protection hidden="1"/>
    </xf>
    <xf numFmtId="0" fontId="9" fillId="0" borderId="30" xfId="1" applyFont="1" applyBorder="1" applyProtection="1">
      <protection hidden="1"/>
    </xf>
    <xf numFmtId="0" fontId="7" fillId="2" borderId="20" xfId="1" applyFont="1" applyFill="1" applyBorder="1" applyProtection="1">
      <protection hidden="1"/>
    </xf>
    <xf numFmtId="0" fontId="9" fillId="0" borderId="20" xfId="1" applyFont="1" applyBorder="1" applyProtection="1">
      <protection hidden="1"/>
    </xf>
    <xf numFmtId="0" fontId="25" fillId="0" borderId="20" xfId="1" applyFont="1" applyBorder="1" applyProtection="1">
      <protection hidden="1"/>
    </xf>
    <xf numFmtId="0" fontId="15" fillId="2" borderId="20" xfId="1" applyFont="1" applyFill="1" applyBorder="1" applyProtection="1">
      <protection hidden="1"/>
    </xf>
    <xf numFmtId="0" fontId="25" fillId="0" borderId="18" xfId="1" applyFont="1" applyBorder="1" applyProtection="1">
      <protection hidden="1"/>
    </xf>
    <xf numFmtId="0" fontId="26" fillId="0" borderId="20" xfId="1" applyFont="1" applyBorder="1" applyProtection="1">
      <protection hidden="1"/>
    </xf>
    <xf numFmtId="0" fontId="3" fillId="0" borderId="20" xfId="1" applyFont="1" applyBorder="1" applyAlignment="1" applyProtection="1">
      <alignment horizontal="center" vertical="center" wrapText="1"/>
      <protection hidden="1"/>
    </xf>
    <xf numFmtId="0" fontId="20" fillId="7" borderId="42" xfId="1" applyFont="1" applyFill="1" applyBorder="1" applyAlignment="1" applyProtection="1">
      <alignment horizontal="center" vertical="center" wrapText="1"/>
      <protection hidden="1"/>
    </xf>
    <xf numFmtId="0" fontId="17" fillId="0" borderId="35" xfId="1" applyFont="1" applyBorder="1" applyAlignment="1" applyProtection="1">
      <alignment horizontal="center" vertical="center" wrapText="1"/>
      <protection hidden="1"/>
    </xf>
    <xf numFmtId="1" fontId="17" fillId="3" borderId="35" xfId="1" applyNumberFormat="1" applyFont="1" applyFill="1" applyBorder="1" applyAlignment="1" applyProtection="1">
      <alignment horizontal="center" vertical="center" wrapText="1"/>
      <protection hidden="1"/>
    </xf>
    <xf numFmtId="0" fontId="17" fillId="3" borderId="35" xfId="1" applyFont="1" applyFill="1" applyBorder="1" applyAlignment="1" applyProtection="1">
      <alignment horizontal="center" vertical="center" wrapText="1"/>
      <protection hidden="1"/>
    </xf>
    <xf numFmtId="0" fontId="3" fillId="0" borderId="13" xfId="1" applyFont="1" applyBorder="1" applyAlignment="1" applyProtection="1">
      <alignment horizontal="center" vertical="center" wrapText="1"/>
      <protection hidden="1"/>
    </xf>
    <xf numFmtId="0" fontId="3" fillId="0" borderId="30" xfId="1" applyFont="1" applyBorder="1" applyAlignment="1" applyProtection="1">
      <alignment horizontal="center" vertical="center" wrapText="1"/>
      <protection hidden="1"/>
    </xf>
    <xf numFmtId="0" fontId="3" fillId="2" borderId="17" xfId="1" applyFont="1" applyFill="1" applyBorder="1" applyProtection="1">
      <protection hidden="1"/>
    </xf>
    <xf numFmtId="0" fontId="28" fillId="0" borderId="11" xfId="1" applyFont="1" applyBorder="1" applyProtection="1">
      <protection hidden="1"/>
    </xf>
    <xf numFmtId="0" fontId="28" fillId="0" borderId="18" xfId="1" applyFont="1" applyBorder="1" applyProtection="1">
      <protection hidden="1"/>
    </xf>
    <xf numFmtId="0" fontId="16" fillId="0" borderId="20" xfId="1" applyFont="1" applyBorder="1" applyProtection="1">
      <protection hidden="1"/>
    </xf>
    <xf numFmtId="0" fontId="29" fillId="0" borderId="11" xfId="1" applyFont="1" applyBorder="1" applyProtection="1">
      <protection hidden="1"/>
    </xf>
    <xf numFmtId="0" fontId="29" fillId="0" borderId="18" xfId="1" applyFont="1" applyBorder="1" applyProtection="1">
      <protection hidden="1"/>
    </xf>
    <xf numFmtId="0" fontId="30" fillId="0" borderId="20" xfId="1" applyFont="1" applyBorder="1" applyProtection="1">
      <protection hidden="1"/>
    </xf>
    <xf numFmtId="0" fontId="31" fillId="0" borderId="11" xfId="1" applyFont="1" applyBorder="1" applyProtection="1">
      <protection hidden="1"/>
    </xf>
    <xf numFmtId="0" fontId="31" fillId="0" borderId="18" xfId="1" applyFont="1" applyBorder="1" applyProtection="1">
      <protection hidden="1"/>
    </xf>
    <xf numFmtId="0" fontId="32" fillId="0" borderId="20" xfId="1" applyFont="1" applyBorder="1" applyProtection="1">
      <protection hidden="1"/>
    </xf>
    <xf numFmtId="0" fontId="3" fillId="2" borderId="10" xfId="1" applyFont="1" applyFill="1" applyBorder="1" applyProtection="1">
      <protection hidden="1"/>
    </xf>
    <xf numFmtId="0" fontId="7" fillId="2" borderId="0" xfId="1" applyFont="1" applyFill="1" applyAlignment="1" applyProtection="1">
      <alignment horizontal="center"/>
      <protection hidden="1"/>
    </xf>
    <xf numFmtId="0" fontId="7" fillId="2" borderId="13" xfId="1" applyFont="1" applyFill="1" applyBorder="1" applyAlignment="1" applyProtection="1">
      <alignment horizontal="center"/>
      <protection hidden="1"/>
    </xf>
    <xf numFmtId="0" fontId="3" fillId="2" borderId="21" xfId="1" applyFont="1" applyFill="1" applyBorder="1" applyProtection="1">
      <protection hidden="1"/>
    </xf>
    <xf numFmtId="0" fontId="32" fillId="0" borderId="11" xfId="1" applyFont="1" applyBorder="1" applyProtection="1">
      <protection hidden="1"/>
    </xf>
    <xf numFmtId="0" fontId="28" fillId="0" borderId="20" xfId="1" applyFont="1" applyBorder="1" applyProtection="1">
      <protection hidden="1"/>
    </xf>
    <xf numFmtId="0" fontId="29" fillId="0" borderId="20" xfId="1" applyFont="1" applyBorder="1" applyProtection="1">
      <protection hidden="1"/>
    </xf>
    <xf numFmtId="0" fontId="3" fillId="0" borderId="0" xfId="1" applyFont="1" applyAlignment="1" applyProtection="1">
      <alignment horizontal="center" vertical="center" wrapText="1"/>
      <protection hidden="1"/>
    </xf>
    <xf numFmtId="0" fontId="3" fillId="0" borderId="45" xfId="1" applyFont="1" applyBorder="1" applyProtection="1">
      <protection hidden="1"/>
    </xf>
    <xf numFmtId="0" fontId="31" fillId="0" borderId="20" xfId="1" applyFont="1" applyBorder="1" applyProtection="1">
      <protection hidden="1"/>
    </xf>
    <xf numFmtId="0" fontId="3" fillId="2" borderId="14" xfId="1" applyFont="1" applyFill="1" applyBorder="1" applyAlignment="1" applyProtection="1">
      <alignment horizontal="center" vertical="center" wrapText="1"/>
      <protection hidden="1"/>
    </xf>
    <xf numFmtId="0" fontId="3" fillId="2" borderId="45" xfId="1" applyFont="1" applyFill="1" applyBorder="1" applyAlignment="1" applyProtection="1">
      <alignment horizontal="center" vertical="center" wrapText="1"/>
      <protection hidden="1"/>
    </xf>
    <xf numFmtId="0" fontId="3" fillId="2" borderId="11" xfId="1" applyFont="1" applyFill="1" applyBorder="1" applyAlignment="1" applyProtection="1">
      <alignment horizontal="center" vertical="center" wrapText="1"/>
      <protection hidden="1"/>
    </xf>
    <xf numFmtId="0" fontId="3" fillId="2" borderId="30" xfId="1" applyFont="1" applyFill="1" applyBorder="1" applyAlignment="1" applyProtection="1">
      <alignment horizontal="center" vertical="center" wrapText="1"/>
      <protection hidden="1"/>
    </xf>
    <xf numFmtId="0" fontId="25" fillId="2" borderId="46" xfId="1" applyFont="1" applyFill="1" applyBorder="1" applyAlignment="1" applyProtection="1">
      <alignment horizontal="center" vertical="center" wrapText="1"/>
      <protection hidden="1"/>
    </xf>
    <xf numFmtId="0" fontId="25" fillId="2" borderId="47" xfId="1" applyFont="1" applyFill="1" applyBorder="1" applyAlignment="1" applyProtection="1">
      <alignment horizontal="center" vertical="center" wrapText="1"/>
      <protection hidden="1"/>
    </xf>
    <xf numFmtId="0" fontId="3" fillId="2" borderId="19" xfId="1" applyFont="1" applyFill="1" applyBorder="1" applyAlignment="1" applyProtection="1">
      <alignment horizontal="center" vertical="center" wrapText="1"/>
      <protection hidden="1"/>
    </xf>
    <xf numFmtId="0" fontId="3" fillId="2" borderId="46" xfId="1" applyFont="1" applyFill="1" applyBorder="1" applyAlignment="1" applyProtection="1">
      <alignment horizontal="center" vertical="center" wrapText="1"/>
      <protection hidden="1"/>
    </xf>
    <xf numFmtId="0" fontId="3" fillId="2" borderId="47" xfId="1" applyFont="1" applyFill="1" applyBorder="1" applyAlignment="1" applyProtection="1">
      <alignment horizontal="center" vertical="center" wrapText="1"/>
      <protection hidden="1"/>
    </xf>
    <xf numFmtId="0" fontId="3" fillId="2" borderId="13" xfId="1" applyFont="1" applyFill="1" applyBorder="1" applyAlignment="1" applyProtection="1">
      <alignment horizontal="center" vertical="center" wrapText="1"/>
      <protection hidden="1"/>
    </xf>
    <xf numFmtId="0" fontId="3" fillId="2" borderId="13" xfId="1" applyFont="1" applyFill="1" applyBorder="1" applyProtection="1">
      <protection hidden="1"/>
    </xf>
    <xf numFmtId="0" fontId="7" fillId="2" borderId="11" xfId="1" applyFont="1" applyFill="1" applyBorder="1" applyProtection="1">
      <protection hidden="1"/>
    </xf>
    <xf numFmtId="0" fontId="3" fillId="2" borderId="17" xfId="1" applyFont="1" applyFill="1" applyBorder="1" applyAlignment="1" applyProtection="1">
      <alignment horizontal="center" vertical="center" wrapText="1"/>
      <protection hidden="1"/>
    </xf>
    <xf numFmtId="0" fontId="3" fillId="2" borderId="45" xfId="1" applyFont="1" applyFill="1" applyBorder="1" applyProtection="1">
      <protection hidden="1"/>
    </xf>
    <xf numFmtId="0" fontId="15" fillId="2" borderId="10" xfId="1" applyFont="1" applyFill="1" applyBorder="1" applyProtection="1">
      <protection hidden="1"/>
    </xf>
    <xf numFmtId="0" fontId="30" fillId="0" borderId="11" xfId="1" applyFont="1" applyBorder="1" applyProtection="1">
      <protection hidden="1"/>
    </xf>
    <xf numFmtId="0" fontId="3" fillId="0" borderId="19" xfId="1" applyFont="1" applyBorder="1" applyAlignment="1" applyProtection="1">
      <alignment horizontal="center" vertical="center" wrapText="1"/>
      <protection hidden="1"/>
    </xf>
    <xf numFmtId="0" fontId="17" fillId="2" borderId="0" xfId="1" applyFont="1" applyFill="1" applyAlignment="1" applyProtection="1">
      <alignment horizontal="center" vertical="center" wrapText="1"/>
      <protection hidden="1"/>
    </xf>
    <xf numFmtId="0" fontId="20" fillId="2" borderId="19" xfId="1" applyFont="1" applyFill="1" applyBorder="1" applyAlignment="1" applyProtection="1">
      <alignment horizontal="center" vertical="center" wrapText="1"/>
      <protection hidden="1"/>
    </xf>
    <xf numFmtId="0" fontId="17" fillId="2" borderId="0" xfId="1" applyFont="1" applyFill="1" applyAlignment="1" applyProtection="1">
      <alignment horizontal="center"/>
      <protection hidden="1"/>
    </xf>
    <xf numFmtId="0" fontId="7" fillId="0" borderId="13" xfId="1" applyFont="1" applyBorder="1" applyAlignment="1" applyProtection="1">
      <alignment horizontal="center" vertical="center" textRotation="90"/>
      <protection hidden="1"/>
    </xf>
    <xf numFmtId="0" fontId="6" fillId="0" borderId="46" xfId="1" applyFont="1" applyBorder="1" applyProtection="1">
      <protection hidden="1"/>
    </xf>
    <xf numFmtId="0" fontId="3" fillId="2" borderId="25" xfId="1" applyFont="1" applyFill="1" applyBorder="1" applyAlignment="1" applyProtection="1">
      <alignment horizontal="center" vertical="center" wrapText="1"/>
      <protection hidden="1"/>
    </xf>
    <xf numFmtId="0" fontId="34" fillId="2" borderId="31" xfId="1" applyFont="1" applyFill="1" applyBorder="1" applyAlignment="1" applyProtection="1">
      <alignment horizontal="center" vertical="center" wrapText="1"/>
      <protection hidden="1"/>
    </xf>
    <xf numFmtId="0" fontId="7" fillId="2" borderId="14" xfId="1" applyFont="1" applyFill="1" applyBorder="1" applyProtection="1">
      <protection hidden="1"/>
    </xf>
    <xf numFmtId="0" fontId="9" fillId="2" borderId="14" xfId="1" applyFont="1" applyFill="1" applyBorder="1" applyProtection="1">
      <protection hidden="1"/>
    </xf>
    <xf numFmtId="0" fontId="8" fillId="2" borderId="14" xfId="1" applyFont="1" applyFill="1" applyBorder="1" applyProtection="1">
      <protection hidden="1"/>
    </xf>
    <xf numFmtId="0" fontId="9" fillId="2" borderId="21" xfId="1" applyFont="1" applyFill="1" applyBorder="1" applyProtection="1">
      <protection hidden="1"/>
    </xf>
    <xf numFmtId="0" fontId="9" fillId="2" borderId="20" xfId="1" applyFont="1" applyFill="1" applyBorder="1" applyProtection="1">
      <protection hidden="1"/>
    </xf>
    <xf numFmtId="0" fontId="7" fillId="2" borderId="45" xfId="1" applyFont="1" applyFill="1" applyBorder="1" applyAlignment="1" applyProtection="1">
      <alignment vertical="center" wrapText="1"/>
      <protection hidden="1"/>
    </xf>
    <xf numFmtId="0" fontId="34" fillId="2" borderId="25" xfId="1" applyFont="1" applyFill="1" applyBorder="1" applyAlignment="1" applyProtection="1">
      <alignment horizontal="center" vertical="center" wrapText="1"/>
      <protection hidden="1"/>
    </xf>
    <xf numFmtId="0" fontId="29" fillId="0" borderId="14" xfId="1" applyFont="1" applyBorder="1" applyAlignment="1" applyProtection="1">
      <alignment horizontal="center" vertical="center" wrapText="1"/>
      <protection hidden="1"/>
    </xf>
    <xf numFmtId="0" fontId="7" fillId="0" borderId="30" xfId="1" applyFont="1" applyBorder="1" applyAlignment="1" applyProtection="1">
      <alignment vertical="center" wrapText="1"/>
      <protection hidden="1"/>
    </xf>
    <xf numFmtId="0" fontId="9" fillId="2" borderId="19" xfId="1" applyFont="1" applyFill="1" applyBorder="1" applyProtection="1">
      <protection hidden="1"/>
    </xf>
    <xf numFmtId="0" fontId="15" fillId="2" borderId="0" xfId="1" applyFont="1" applyFill="1" applyAlignment="1" applyProtection="1">
      <alignment horizontal="center"/>
      <protection hidden="1"/>
    </xf>
    <xf numFmtId="0" fontId="7" fillId="0" borderId="19" xfId="1" applyFont="1" applyBorder="1" applyAlignment="1" applyProtection="1">
      <alignment vertical="center" wrapText="1"/>
      <protection hidden="1"/>
    </xf>
    <xf numFmtId="0" fontId="7" fillId="0" borderId="0" xfId="1" applyFont="1" applyAlignment="1" applyProtection="1">
      <alignment vertical="center" wrapText="1"/>
      <protection hidden="1"/>
    </xf>
    <xf numFmtId="0" fontId="3" fillId="0" borderId="31" xfId="1" applyFont="1" applyBorder="1" applyAlignment="1" applyProtection="1">
      <alignment horizontal="center" vertical="center" wrapText="1"/>
      <protection hidden="1"/>
    </xf>
    <xf numFmtId="0" fontId="9" fillId="0" borderId="10" xfId="1" applyFont="1" applyBorder="1" applyProtection="1">
      <protection hidden="1"/>
    </xf>
    <xf numFmtId="0" fontId="7" fillId="0" borderId="14" xfId="1" applyFont="1" applyBorder="1" applyAlignment="1" applyProtection="1">
      <alignment vertical="center" wrapText="1"/>
      <protection hidden="1"/>
    </xf>
    <xf numFmtId="0" fontId="3" fillId="0" borderId="31" xfId="1" applyFont="1" applyBorder="1" applyAlignment="1" applyProtection="1">
      <alignment vertical="center" wrapText="1"/>
      <protection hidden="1"/>
    </xf>
    <xf numFmtId="0" fontId="31" fillId="0" borderId="11" xfId="1" applyFont="1" applyBorder="1" applyAlignment="1" applyProtection="1">
      <alignment horizontal="center" vertical="center" wrapText="1"/>
      <protection hidden="1"/>
    </xf>
    <xf numFmtId="0" fontId="31" fillId="0" borderId="14" xfId="1" applyFont="1" applyBorder="1" applyAlignment="1" applyProtection="1">
      <alignment horizontal="center" vertical="center" wrapText="1"/>
      <protection hidden="1"/>
    </xf>
    <xf numFmtId="0" fontId="31" fillId="2" borderId="11" xfId="1" applyFont="1" applyFill="1" applyBorder="1" applyAlignment="1" applyProtection="1">
      <alignment horizontal="center" vertical="center" wrapText="1"/>
      <protection hidden="1"/>
    </xf>
    <xf numFmtId="0" fontId="3" fillId="0" borderId="48" xfId="1" applyFont="1" applyBorder="1" applyProtection="1">
      <protection hidden="1"/>
    </xf>
    <xf numFmtId="0" fontId="13" fillId="0" borderId="49" xfId="1" applyFont="1" applyBorder="1" applyProtection="1">
      <protection hidden="1"/>
    </xf>
    <xf numFmtId="0" fontId="7" fillId="0" borderId="49" xfId="1" applyFont="1" applyBorder="1" applyProtection="1">
      <protection hidden="1"/>
    </xf>
    <xf numFmtId="0" fontId="3" fillId="0" borderId="29" xfId="1" applyFont="1" applyBorder="1" applyProtection="1">
      <protection hidden="1"/>
    </xf>
    <xf numFmtId="0" fontId="3" fillId="0" borderId="49" xfId="1" applyFont="1" applyBorder="1" applyProtection="1">
      <protection hidden="1"/>
    </xf>
    <xf numFmtId="0" fontId="3" fillId="0" borderId="50" xfId="1" applyFont="1" applyBorder="1" applyProtection="1">
      <protection hidden="1"/>
    </xf>
    <xf numFmtId="0" fontId="3" fillId="2" borderId="49" xfId="1" applyFont="1" applyFill="1" applyBorder="1" applyProtection="1">
      <protection hidden="1"/>
    </xf>
    <xf numFmtId="0" fontId="9" fillId="0" borderId="49" xfId="1" applyFont="1" applyBorder="1" applyProtection="1">
      <protection hidden="1"/>
    </xf>
    <xf numFmtId="0" fontId="3" fillId="0" borderId="8" xfId="1" applyFont="1" applyBorder="1" applyProtection="1">
      <protection hidden="1"/>
    </xf>
    <xf numFmtId="0" fontId="3" fillId="0" borderId="28" xfId="1" applyFont="1" applyBorder="1" applyProtection="1">
      <protection hidden="1"/>
    </xf>
    <xf numFmtId="0" fontId="8" fillId="0" borderId="49" xfId="1" applyFont="1" applyBorder="1" applyProtection="1">
      <protection hidden="1"/>
    </xf>
    <xf numFmtId="0" fontId="9" fillId="0" borderId="29" xfId="1" applyFont="1" applyBorder="1" applyProtection="1">
      <protection hidden="1"/>
    </xf>
    <xf numFmtId="0" fontId="7" fillId="0" borderId="8" xfId="1" applyFont="1" applyBorder="1" applyProtection="1">
      <protection hidden="1"/>
    </xf>
    <xf numFmtId="0" fontId="9" fillId="0" borderId="51" xfId="1" applyFont="1" applyBorder="1" applyProtection="1">
      <protection hidden="1"/>
    </xf>
    <xf numFmtId="0" fontId="8" fillId="0" borderId="51" xfId="1" applyFont="1" applyBorder="1" applyProtection="1">
      <protection hidden="1"/>
    </xf>
    <xf numFmtId="0" fontId="3" fillId="0" borderId="51" xfId="1" applyFont="1" applyBorder="1" applyProtection="1">
      <protection hidden="1"/>
    </xf>
    <xf numFmtId="0" fontId="16" fillId="0" borderId="49" xfId="1" applyFont="1" applyBorder="1" applyProtection="1">
      <protection hidden="1"/>
    </xf>
    <xf numFmtId="0" fontId="7" fillId="0" borderId="51" xfId="1" applyFont="1" applyBorder="1" applyProtection="1">
      <protection hidden="1"/>
    </xf>
    <xf numFmtId="0" fontId="3" fillId="0" borderId="52" xfId="1" applyFont="1" applyBorder="1" applyProtection="1">
      <protection hidden="1"/>
    </xf>
    <xf numFmtId="0" fontId="13" fillId="0" borderId="14" xfId="1" applyFont="1" applyBorder="1" applyProtection="1">
      <protection hidden="1"/>
    </xf>
    <xf numFmtId="0" fontId="3" fillId="0" borderId="27" xfId="1" applyFont="1" applyBorder="1" applyProtection="1">
      <protection hidden="1"/>
    </xf>
    <xf numFmtId="0" fontId="32" fillId="7" borderId="53" xfId="1" applyFont="1" applyFill="1" applyBorder="1" applyAlignment="1" applyProtection="1">
      <alignment horizontal="center" vertical="center"/>
      <protection hidden="1"/>
    </xf>
    <xf numFmtId="0" fontId="31" fillId="0" borderId="6" xfId="1" applyFont="1" applyBorder="1" applyAlignment="1" applyProtection="1">
      <alignment horizontal="center" vertical="center"/>
      <protection hidden="1"/>
    </xf>
    <xf numFmtId="0" fontId="31" fillId="3" borderId="6" xfId="1" applyFont="1" applyFill="1" applyBorder="1" applyAlignment="1" applyProtection="1">
      <alignment horizontal="center" vertical="center"/>
      <protection hidden="1"/>
    </xf>
    <xf numFmtId="0" fontId="31" fillId="0" borderId="21" xfId="1" applyFont="1" applyBorder="1" applyAlignment="1" applyProtection="1">
      <alignment horizontal="center" vertical="center"/>
      <protection hidden="1"/>
    </xf>
    <xf numFmtId="0" fontId="31" fillId="2" borderId="0" xfId="1" applyFont="1" applyFill="1" applyAlignment="1" applyProtection="1">
      <alignment horizontal="center"/>
      <protection hidden="1"/>
    </xf>
    <xf numFmtId="0" fontId="31" fillId="0" borderId="20" xfId="1" applyFont="1" applyBorder="1" applyAlignment="1" applyProtection="1">
      <alignment horizontal="center" vertical="center"/>
      <protection hidden="1"/>
    </xf>
    <xf numFmtId="0" fontId="31" fillId="0" borderId="15" xfId="1" applyFont="1" applyBorder="1" applyProtection="1">
      <protection hidden="1"/>
    </xf>
    <xf numFmtId="0" fontId="32" fillId="7" borderId="53" xfId="1" applyFont="1" applyFill="1" applyBorder="1" applyAlignment="1" applyProtection="1">
      <alignment horizontal="center"/>
      <protection hidden="1"/>
    </xf>
    <xf numFmtId="0" fontId="31" fillId="0" borderId="6" xfId="1" applyFont="1" applyBorder="1" applyAlignment="1" applyProtection="1">
      <alignment horizontal="center"/>
      <protection hidden="1"/>
    </xf>
    <xf numFmtId="0" fontId="31" fillId="3" borderId="6" xfId="1" applyFont="1" applyFill="1" applyBorder="1" applyAlignment="1" applyProtection="1">
      <alignment horizontal="center"/>
      <protection hidden="1"/>
    </xf>
    <xf numFmtId="0" fontId="31" fillId="7" borderId="53" xfId="1" applyFont="1" applyFill="1" applyBorder="1" applyAlignment="1" applyProtection="1">
      <alignment horizontal="center"/>
      <protection hidden="1"/>
    </xf>
    <xf numFmtId="0" fontId="3" fillId="0" borderId="54" xfId="1" applyFont="1" applyBorder="1" applyProtection="1">
      <protection hidden="1"/>
    </xf>
    <xf numFmtId="0" fontId="3" fillId="2" borderId="12" xfId="1" applyFont="1" applyFill="1" applyBorder="1" applyProtection="1">
      <protection hidden="1"/>
    </xf>
    <xf numFmtId="0" fontId="9" fillId="2" borderId="17" xfId="1" applyFont="1" applyFill="1" applyBorder="1" applyProtection="1">
      <protection hidden="1"/>
    </xf>
    <xf numFmtId="0" fontId="3" fillId="2" borderId="22" xfId="1" applyFont="1" applyFill="1" applyBorder="1" applyProtection="1">
      <protection hidden="1"/>
    </xf>
    <xf numFmtId="0" fontId="31" fillId="2" borderId="0" xfId="1" applyFont="1" applyFill="1" applyProtection="1">
      <protection hidden="1"/>
    </xf>
    <xf numFmtId="0" fontId="22" fillId="0" borderId="10" xfId="1" applyFont="1" applyBorder="1" applyProtection="1">
      <protection hidden="1"/>
    </xf>
    <xf numFmtId="0" fontId="22" fillId="0" borderId="20" xfId="1" applyFont="1" applyBorder="1" applyProtection="1">
      <protection hidden="1"/>
    </xf>
    <xf numFmtId="0" fontId="22" fillId="0" borderId="12" xfId="1" applyFont="1" applyBorder="1" applyProtection="1">
      <protection hidden="1"/>
    </xf>
    <xf numFmtId="0" fontId="8" fillId="2" borderId="0" xfId="1" applyFont="1" applyFill="1" applyAlignment="1" applyProtection="1">
      <alignment horizontal="center"/>
      <protection hidden="1"/>
    </xf>
    <xf numFmtId="0" fontId="22" fillId="0" borderId="15" xfId="1" applyFont="1" applyBorder="1" applyProtection="1">
      <protection hidden="1"/>
    </xf>
    <xf numFmtId="0" fontId="22" fillId="0" borderId="18" xfId="1" applyFont="1" applyBorder="1" applyProtection="1">
      <protection hidden="1"/>
    </xf>
    <xf numFmtId="0" fontId="36" fillId="0" borderId="20" xfId="1" applyFont="1" applyBorder="1" applyProtection="1">
      <protection hidden="1"/>
    </xf>
    <xf numFmtId="0" fontId="22" fillId="0" borderId="0" xfId="1" applyFont="1" applyProtection="1">
      <protection hidden="1"/>
    </xf>
    <xf numFmtId="0" fontId="22" fillId="0" borderId="7" xfId="1" applyFont="1" applyBorder="1" applyProtection="1">
      <protection hidden="1"/>
    </xf>
    <xf numFmtId="0" fontId="22" fillId="0" borderId="26" xfId="1" applyFont="1" applyBorder="1" applyProtection="1">
      <protection hidden="1"/>
    </xf>
    <xf numFmtId="0" fontId="36" fillId="0" borderId="0" xfId="1" applyFont="1" applyProtection="1">
      <protection hidden="1"/>
    </xf>
    <xf numFmtId="0" fontId="22" fillId="0" borderId="27" xfId="1" applyFont="1" applyBorder="1" applyProtection="1">
      <protection hidden="1"/>
    </xf>
    <xf numFmtId="0" fontId="22" fillId="0" borderId="46" xfId="1" applyFont="1" applyBorder="1" applyProtection="1">
      <protection hidden="1"/>
    </xf>
    <xf numFmtId="0" fontId="22" fillId="0" borderId="55" xfId="1" applyFont="1" applyBorder="1" applyProtection="1">
      <protection hidden="1"/>
    </xf>
    <xf numFmtId="0" fontId="3" fillId="0" borderId="21" xfId="1" applyFont="1" applyBorder="1" applyProtection="1">
      <protection hidden="1"/>
    </xf>
    <xf numFmtId="0" fontId="3" fillId="0" borderId="56" xfId="1" applyFont="1" applyBorder="1" applyProtection="1">
      <protection hidden="1"/>
    </xf>
    <xf numFmtId="0" fontId="22" fillId="0" borderId="57" xfId="1" applyFont="1" applyBorder="1" applyProtection="1">
      <protection hidden="1"/>
    </xf>
    <xf numFmtId="0" fontId="3" fillId="0" borderId="58" xfId="1" applyFont="1" applyBorder="1" applyProtection="1">
      <protection hidden="1"/>
    </xf>
    <xf numFmtId="0" fontId="9" fillId="2" borderId="8" xfId="1" applyFont="1" applyFill="1" applyBorder="1" applyProtection="1">
      <protection hidden="1"/>
    </xf>
    <xf numFmtId="0" fontId="3" fillId="0" borderId="59" xfId="1" applyFont="1" applyBorder="1" applyProtection="1">
      <protection hidden="1"/>
    </xf>
    <xf numFmtId="0" fontId="22" fillId="0" borderId="29" xfId="1" applyFont="1" applyBorder="1" applyProtection="1">
      <protection hidden="1"/>
    </xf>
    <xf numFmtId="0" fontId="9" fillId="2" borderId="51" xfId="1" applyFont="1" applyFill="1" applyBorder="1" applyProtection="1">
      <protection hidden="1"/>
    </xf>
    <xf numFmtId="0" fontId="16" fillId="0" borderId="14" xfId="1" applyFont="1" applyBorder="1" applyProtection="1">
      <protection hidden="1"/>
    </xf>
    <xf numFmtId="0" fontId="17" fillId="0" borderId="0" xfId="1" applyFont="1" applyProtection="1">
      <protection hidden="1"/>
    </xf>
    <xf numFmtId="0" fontId="3" fillId="0" borderId="44" xfId="1" applyFont="1" applyBorder="1" applyProtection="1">
      <protection hidden="1"/>
    </xf>
    <xf numFmtId="0" fontId="3" fillId="0" borderId="60" xfId="1" applyFont="1" applyBorder="1" applyProtection="1">
      <protection hidden="1"/>
    </xf>
    <xf numFmtId="0" fontId="7" fillId="0" borderId="21" xfId="1" applyFont="1" applyBorder="1" applyProtection="1">
      <protection hidden="1"/>
    </xf>
    <xf numFmtId="0" fontId="16" fillId="0" borderId="45" xfId="1" applyFont="1" applyBorder="1" applyProtection="1">
      <protection hidden="1"/>
    </xf>
    <xf numFmtId="0" fontId="17" fillId="0" borderId="21" xfId="1" applyFont="1" applyBorder="1" applyProtection="1">
      <protection hidden="1"/>
    </xf>
    <xf numFmtId="0" fontId="6" fillId="0" borderId="17" xfId="1" applyFont="1" applyBorder="1" applyProtection="1">
      <protection hidden="1"/>
    </xf>
    <xf numFmtId="0" fontId="6" fillId="0" borderId="14" xfId="1" applyFont="1" applyBorder="1" applyProtection="1">
      <protection hidden="1"/>
    </xf>
    <xf numFmtId="0" fontId="6" fillId="0" borderId="20" xfId="1" applyFont="1" applyBorder="1" applyProtection="1">
      <protection hidden="1"/>
    </xf>
    <xf numFmtId="0" fontId="3" fillId="2" borderId="8" xfId="1" applyFont="1" applyFill="1" applyBorder="1" applyProtection="1">
      <protection hidden="1"/>
    </xf>
    <xf numFmtId="0" fontId="17" fillId="2" borderId="20" xfId="1" applyFont="1" applyFill="1" applyBorder="1" applyProtection="1">
      <protection hidden="1"/>
    </xf>
    <xf numFmtId="0" fontId="0" fillId="19" borderId="0" xfId="0" applyFill="1"/>
    <xf numFmtId="0" fontId="0" fillId="0" borderId="0" xfId="0" applyProtection="1">
      <protection hidden="1"/>
    </xf>
    <xf numFmtId="0" fontId="0" fillId="0" borderId="62" xfId="0" applyBorder="1" applyProtection="1">
      <protection hidden="1"/>
    </xf>
    <xf numFmtId="0" fontId="0" fillId="13" borderId="0" xfId="0" applyFill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116" xfId="0" applyBorder="1" applyAlignment="1" applyProtection="1">
      <alignment horizontal="center" vertical="center" wrapText="1"/>
      <protection locked="0"/>
    </xf>
    <xf numFmtId="0" fontId="1" fillId="12" borderId="107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1" fillId="18" borderId="107" xfId="0" applyFont="1" applyFill="1" applyBorder="1" applyAlignment="1" applyProtection="1">
      <alignment horizontal="center" vertical="center" wrapText="1"/>
      <protection hidden="1"/>
    </xf>
    <xf numFmtId="0" fontId="1" fillId="18" borderId="108" xfId="0" applyFont="1" applyFill="1" applyBorder="1" applyAlignment="1" applyProtection="1">
      <alignment horizontal="center" vertical="center" wrapText="1"/>
      <protection hidden="1"/>
    </xf>
    <xf numFmtId="0" fontId="1" fillId="18" borderId="109" xfId="0" applyFont="1" applyFill="1" applyBorder="1" applyAlignment="1" applyProtection="1">
      <alignment horizontal="center" vertical="center" wrapText="1"/>
      <protection hidden="1"/>
    </xf>
    <xf numFmtId="0" fontId="1" fillId="0" borderId="110" xfId="0" applyFont="1" applyBorder="1" applyProtection="1">
      <protection hidden="1"/>
    </xf>
    <xf numFmtId="0" fontId="0" fillId="0" borderId="111" xfId="0" applyBorder="1" applyProtection="1">
      <protection hidden="1"/>
    </xf>
    <xf numFmtId="0" fontId="1" fillId="0" borderId="112" xfId="0" applyFont="1" applyBorder="1" applyProtection="1">
      <protection hidden="1"/>
    </xf>
    <xf numFmtId="0" fontId="1" fillId="0" borderId="113" xfId="0" applyFont="1" applyBorder="1" applyProtection="1">
      <protection hidden="1"/>
    </xf>
    <xf numFmtId="0" fontId="1" fillId="0" borderId="114" xfId="0" applyFont="1" applyBorder="1" applyProtection="1">
      <protection hidden="1"/>
    </xf>
    <xf numFmtId="0" fontId="0" fillId="0" borderId="62" xfId="0" applyBorder="1" applyAlignment="1" applyProtection="1">
      <alignment horizontal="center" vertical="center"/>
      <protection hidden="1"/>
    </xf>
    <xf numFmtId="0" fontId="1" fillId="12" borderId="108" xfId="0" applyFont="1" applyFill="1" applyBorder="1" applyAlignment="1" applyProtection="1">
      <alignment horizontal="center" vertical="center"/>
      <protection hidden="1"/>
    </xf>
    <xf numFmtId="0" fontId="1" fillId="12" borderId="109" xfId="0" applyFont="1" applyFill="1" applyBorder="1" applyAlignment="1" applyProtection="1">
      <alignment horizontal="center" vertical="center"/>
      <protection hidden="1"/>
    </xf>
    <xf numFmtId="0" fontId="0" fillId="22" borderId="0" xfId="0" applyFill="1" applyAlignment="1" applyProtection="1">
      <alignment horizontal="center" vertical="center"/>
      <protection hidden="1"/>
    </xf>
    <xf numFmtId="0" fontId="1" fillId="0" borderId="62" xfId="0" applyFont="1" applyBorder="1" applyAlignment="1" applyProtection="1">
      <alignment horizontal="center" vertical="center"/>
      <protection hidden="1"/>
    </xf>
    <xf numFmtId="1" fontId="0" fillId="0" borderId="62" xfId="0" applyNumberFormat="1" applyBorder="1" applyAlignment="1" applyProtection="1">
      <alignment horizontal="center" vertical="center"/>
      <protection hidden="1"/>
    </xf>
    <xf numFmtId="0" fontId="1" fillId="12" borderId="62" xfId="0" applyFont="1" applyFill="1" applyBorder="1" applyAlignment="1" applyProtection="1">
      <alignment horizontal="center" vertical="center"/>
      <protection hidden="1"/>
    </xf>
    <xf numFmtId="0" fontId="1" fillId="12" borderId="123" xfId="0" applyFont="1" applyFill="1" applyBorder="1" applyAlignment="1" applyProtection="1">
      <alignment horizontal="center" vertical="center"/>
      <protection hidden="1"/>
    </xf>
    <xf numFmtId="0" fontId="0" fillId="20" borderId="125" xfId="0" applyFill="1" applyBorder="1" applyAlignment="1" applyProtection="1">
      <alignment horizontal="center" vertical="center"/>
      <protection locked="0"/>
    </xf>
    <xf numFmtId="0" fontId="1" fillId="12" borderId="120" xfId="0" applyFont="1" applyFill="1" applyBorder="1" applyAlignment="1" applyProtection="1">
      <alignment horizontal="center" vertical="center"/>
      <protection hidden="1"/>
    </xf>
    <xf numFmtId="0" fontId="1" fillId="12" borderId="129" xfId="0" applyFont="1" applyFill="1" applyBorder="1" applyAlignment="1" applyProtection="1">
      <alignment horizontal="center" vertical="center"/>
      <protection hidden="1"/>
    </xf>
    <xf numFmtId="0" fontId="1" fillId="12" borderId="130" xfId="0" applyFont="1" applyFill="1" applyBorder="1" applyAlignment="1" applyProtection="1">
      <alignment horizontal="center" vertical="center"/>
      <protection hidden="1"/>
    </xf>
    <xf numFmtId="0" fontId="1" fillId="12" borderId="131" xfId="0" applyFont="1" applyFill="1" applyBorder="1" applyAlignment="1" applyProtection="1">
      <alignment horizontal="center" vertical="center"/>
      <protection hidden="1"/>
    </xf>
    <xf numFmtId="0" fontId="0" fillId="0" borderId="122" xfId="0" applyBorder="1" applyAlignment="1" applyProtection="1">
      <alignment horizontal="center" vertical="center" wrapText="1"/>
      <protection locked="0"/>
    </xf>
    <xf numFmtId="0" fontId="1" fillId="12" borderId="141" xfId="0" applyFont="1" applyFill="1" applyBorder="1" applyAlignment="1" applyProtection="1">
      <alignment horizontal="center" vertical="center"/>
      <protection hidden="1"/>
    </xf>
    <xf numFmtId="0" fontId="38" fillId="12" borderId="115" xfId="0" applyFont="1" applyFill="1" applyBorder="1" applyAlignment="1" applyProtection="1">
      <alignment horizontal="center" vertical="center"/>
      <protection hidden="1"/>
    </xf>
    <xf numFmtId="0" fontId="1" fillId="12" borderId="142" xfId="0" applyFont="1" applyFill="1" applyBorder="1" applyAlignment="1" applyProtection="1">
      <alignment horizontal="center" vertical="center"/>
      <protection hidden="1"/>
    </xf>
    <xf numFmtId="0" fontId="1" fillId="12" borderId="116" xfId="0" applyFont="1" applyFill="1" applyBorder="1" applyAlignment="1" applyProtection="1">
      <alignment horizontal="center" vertical="center"/>
      <protection hidden="1"/>
    </xf>
    <xf numFmtId="0" fontId="1" fillId="12" borderId="127" xfId="0" applyFont="1" applyFill="1" applyBorder="1" applyAlignment="1" applyProtection="1">
      <alignment horizontal="center" vertical="center"/>
      <protection hidden="1"/>
    </xf>
    <xf numFmtId="0" fontId="38" fillId="12" borderId="127" xfId="0" applyFont="1" applyFill="1" applyBorder="1" applyAlignment="1" applyProtection="1">
      <alignment horizontal="center" vertical="center"/>
      <protection hidden="1"/>
    </xf>
    <xf numFmtId="0" fontId="1" fillId="12" borderId="126" xfId="0" applyFont="1" applyFill="1" applyBorder="1" applyAlignment="1" applyProtection="1">
      <alignment horizontal="center" vertical="center" wrapText="1"/>
      <protection hidden="1"/>
    </xf>
    <xf numFmtId="0" fontId="1" fillId="12" borderId="144" xfId="0" applyFont="1" applyFill="1" applyBorder="1" applyAlignment="1" applyProtection="1">
      <alignment horizontal="center" vertical="center"/>
      <protection hidden="1"/>
    </xf>
    <xf numFmtId="0" fontId="1" fillId="12" borderId="119" xfId="0" applyFont="1" applyFill="1" applyBorder="1" applyAlignment="1" applyProtection="1">
      <alignment horizontal="center" vertical="center"/>
      <protection hidden="1"/>
    </xf>
    <xf numFmtId="0" fontId="1" fillId="12" borderId="135" xfId="0" applyFont="1" applyFill="1" applyBorder="1" applyAlignment="1" applyProtection="1">
      <alignment horizontal="center" vertical="center"/>
      <protection hidden="1"/>
    </xf>
    <xf numFmtId="0" fontId="1" fillId="12" borderId="137" xfId="0" applyFont="1" applyFill="1" applyBorder="1" applyAlignment="1" applyProtection="1">
      <alignment horizontal="center" vertical="center"/>
      <protection hidden="1"/>
    </xf>
    <xf numFmtId="0" fontId="0" fillId="12" borderId="62" xfId="0" applyFill="1" applyBorder="1" applyAlignment="1" applyProtection="1">
      <alignment horizontal="center" vertical="center"/>
      <protection hidden="1"/>
    </xf>
    <xf numFmtId="0" fontId="0" fillId="23" borderId="142" xfId="0" applyFill="1" applyBorder="1" applyAlignment="1" applyProtection="1">
      <alignment horizontal="center" vertical="center" wrapText="1"/>
      <protection hidden="1"/>
    </xf>
    <xf numFmtId="0" fontId="0" fillId="23" borderId="134" xfId="0" applyFill="1" applyBorder="1" applyAlignment="1" applyProtection="1">
      <alignment horizontal="center" vertical="center"/>
      <protection hidden="1"/>
    </xf>
    <xf numFmtId="0" fontId="0" fillId="23" borderId="136" xfId="0" applyFill="1" applyBorder="1" applyAlignment="1" applyProtection="1">
      <alignment horizontal="center" vertical="center"/>
      <protection hidden="1"/>
    </xf>
    <xf numFmtId="0" fontId="0" fillId="23" borderId="129" xfId="0" applyFill="1" applyBorder="1" applyAlignment="1" applyProtection="1">
      <alignment horizontal="center" vertical="center" wrapText="1"/>
      <protection hidden="1"/>
    </xf>
    <xf numFmtId="0" fontId="0" fillId="23" borderId="143" xfId="0" applyFill="1" applyBorder="1" applyAlignment="1" applyProtection="1">
      <alignment horizontal="center" vertical="center" wrapText="1"/>
      <protection hidden="1"/>
    </xf>
    <xf numFmtId="0" fontId="0" fillId="23" borderId="138" xfId="0" applyFill="1" applyBorder="1" applyAlignment="1" applyProtection="1">
      <alignment horizontal="center" vertical="center"/>
      <protection hidden="1"/>
    </xf>
    <xf numFmtId="0" fontId="0" fillId="23" borderId="142" xfId="0" applyFill="1" applyBorder="1" applyAlignment="1" applyProtection="1">
      <alignment horizontal="center" vertical="center"/>
      <protection hidden="1"/>
    </xf>
    <xf numFmtId="0" fontId="0" fillId="23" borderId="129" xfId="0" applyFill="1" applyBorder="1" applyAlignment="1" applyProtection="1">
      <alignment horizontal="center" vertical="center"/>
      <protection hidden="1"/>
    </xf>
    <xf numFmtId="0" fontId="61" fillId="12" borderId="123" xfId="0" applyFont="1" applyFill="1" applyBorder="1" applyAlignment="1" applyProtection="1">
      <alignment horizontal="center" vertical="center"/>
      <protection locked="0"/>
    </xf>
    <xf numFmtId="0" fontId="1" fillId="12" borderId="62" xfId="0" applyFont="1" applyFill="1" applyBorder="1" applyAlignment="1" applyProtection="1">
      <alignment horizontal="center" vertical="center" wrapText="1"/>
      <protection hidden="1"/>
    </xf>
    <xf numFmtId="0" fontId="1" fillId="12" borderId="111" xfId="0" applyFont="1" applyFill="1" applyBorder="1" applyAlignment="1" applyProtection="1">
      <alignment horizontal="center" vertical="center"/>
      <protection hidden="1"/>
    </xf>
    <xf numFmtId="0" fontId="0" fillId="12" borderId="121" xfId="0" applyFill="1" applyBorder="1" applyAlignment="1" applyProtection="1">
      <alignment horizontal="center" vertical="center"/>
      <protection hidden="1"/>
    </xf>
    <xf numFmtId="0" fontId="0" fillId="12" borderId="116" xfId="0" applyFill="1" applyBorder="1" applyAlignment="1" applyProtection="1">
      <alignment horizontal="center" vertical="center"/>
      <protection hidden="1"/>
    </xf>
    <xf numFmtId="0" fontId="59" fillId="12" borderId="116" xfId="0" applyFont="1" applyFill="1" applyBorder="1" applyAlignment="1" applyProtection="1">
      <alignment horizontal="center" vertical="center"/>
      <protection hidden="1"/>
    </xf>
    <xf numFmtId="0" fontId="0" fillId="12" borderId="122" xfId="0" applyFill="1" applyBorder="1" applyAlignment="1" applyProtection="1">
      <alignment horizontal="center" vertical="center"/>
      <protection hidden="1"/>
    </xf>
    <xf numFmtId="0" fontId="1" fillId="12" borderId="122" xfId="0" applyFont="1" applyFill="1" applyBorder="1" applyAlignment="1" applyProtection="1">
      <alignment horizontal="center" vertical="center"/>
      <protection hidden="1"/>
    </xf>
    <xf numFmtId="0" fontId="1" fillId="20" borderId="139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hidden="1"/>
    </xf>
    <xf numFmtId="0" fontId="59" fillId="8" borderId="62" xfId="0" applyFont="1" applyFill="1" applyBorder="1" applyAlignment="1" applyProtection="1">
      <alignment horizontal="center" vertical="center" wrapText="1"/>
      <protection hidden="1"/>
    </xf>
    <xf numFmtId="0" fontId="1" fillId="12" borderId="111" xfId="0" applyFont="1" applyFill="1" applyBorder="1" applyAlignment="1" applyProtection="1">
      <alignment horizontal="center" vertical="center" wrapText="1"/>
      <protection hidden="1"/>
    </xf>
    <xf numFmtId="0" fontId="0" fillId="0" borderId="110" xfId="0" applyBorder="1" applyAlignment="1" applyProtection="1">
      <alignment horizontal="center" vertical="center"/>
      <protection hidden="1"/>
    </xf>
    <xf numFmtId="0" fontId="60" fillId="0" borderId="62" xfId="0" applyFont="1" applyBorder="1" applyAlignment="1" applyProtection="1">
      <alignment horizontal="center" vertical="center" wrapText="1"/>
      <protection hidden="1"/>
    </xf>
    <xf numFmtId="0" fontId="60" fillId="0" borderId="111" xfId="0" applyFont="1" applyBorder="1" applyAlignment="1" applyProtection="1">
      <alignment horizontal="center" vertical="center" wrapText="1"/>
      <protection hidden="1"/>
    </xf>
    <xf numFmtId="0" fontId="38" fillId="0" borderId="62" xfId="0" applyFont="1" applyBorder="1" applyAlignment="1" applyProtection="1">
      <alignment horizontal="center" vertical="center"/>
      <protection hidden="1"/>
    </xf>
    <xf numFmtId="0" fontId="57" fillId="16" borderId="62" xfId="0" applyFont="1" applyFill="1" applyBorder="1" applyAlignment="1" applyProtection="1">
      <alignment horizontal="center" vertical="center" wrapText="1"/>
      <protection hidden="1"/>
    </xf>
    <xf numFmtId="0" fontId="57" fillId="16" borderId="62" xfId="0" applyFont="1" applyFill="1" applyBorder="1" applyAlignment="1" applyProtection="1">
      <alignment horizontal="center" vertical="center" textRotation="90" wrapText="1"/>
      <protection hidden="1"/>
    </xf>
    <xf numFmtId="0" fontId="58" fillId="0" borderId="62" xfId="0" applyFont="1" applyBorder="1" applyAlignment="1" applyProtection="1">
      <alignment horizontal="center" vertical="center" textRotation="90" wrapText="1"/>
      <protection hidden="1"/>
    </xf>
    <xf numFmtId="0" fontId="58" fillId="0" borderId="62" xfId="0" applyFont="1" applyBorder="1" applyAlignment="1" applyProtection="1">
      <alignment horizontal="center" vertical="center" textRotation="90"/>
      <protection hidden="1"/>
    </xf>
    <xf numFmtId="0" fontId="0" fillId="0" borderId="0" xfId="0" applyAlignment="1" applyProtection="1">
      <alignment horizontal="center"/>
      <protection hidden="1"/>
    </xf>
    <xf numFmtId="0" fontId="59" fillId="0" borderId="62" xfId="0" applyFont="1" applyBorder="1" applyAlignment="1" applyProtection="1">
      <alignment horizontal="center" vertical="center"/>
      <protection hidden="1"/>
    </xf>
    <xf numFmtId="0" fontId="59" fillId="17" borderId="62" xfId="0" applyFont="1" applyFill="1" applyBorder="1" applyAlignment="1" applyProtection="1">
      <alignment horizontal="center" vertical="center" wrapText="1"/>
      <protection hidden="1"/>
    </xf>
    <xf numFmtId="1" fontId="1" fillId="0" borderId="62" xfId="0" applyNumberFormat="1" applyFont="1" applyBorder="1" applyAlignment="1" applyProtection="1">
      <alignment horizontal="center" vertical="center" wrapText="1"/>
      <protection hidden="1"/>
    </xf>
    <xf numFmtId="0" fontId="0" fillId="0" borderId="116" xfId="0" applyBorder="1" applyProtection="1">
      <protection hidden="1"/>
    </xf>
    <xf numFmtId="0" fontId="0" fillId="0" borderId="0" xfId="0" pivotButton="1" applyAlignment="1" applyProtection="1">
      <alignment horizontal="center" vertical="center" wrapText="1"/>
      <protection hidden="1"/>
    </xf>
    <xf numFmtId="0" fontId="42" fillId="13" borderId="0" xfId="0" applyFont="1" applyFill="1" applyProtection="1">
      <protection hidden="1"/>
    </xf>
    <xf numFmtId="0" fontId="45" fillId="0" borderId="78" xfId="0" applyFont="1" applyBorder="1" applyAlignment="1" applyProtection="1">
      <alignment vertical="center"/>
      <protection hidden="1"/>
    </xf>
    <xf numFmtId="0" fontId="48" fillId="0" borderId="82" xfId="0" applyFont="1" applyBorder="1" applyAlignment="1" applyProtection="1">
      <alignment vertical="center"/>
      <protection hidden="1"/>
    </xf>
    <xf numFmtId="0" fontId="45" fillId="8" borderId="82" xfId="0" applyFont="1" applyFill="1" applyBorder="1" applyAlignment="1" applyProtection="1">
      <alignment vertical="center" wrapText="1"/>
      <protection hidden="1"/>
    </xf>
    <xf numFmtId="0" fontId="47" fillId="8" borderId="78" xfId="0" applyFont="1" applyFill="1" applyBorder="1" applyAlignment="1" applyProtection="1">
      <alignment vertical="center"/>
      <protection hidden="1"/>
    </xf>
    <xf numFmtId="0" fontId="45" fillId="8" borderId="82" xfId="0" applyFont="1" applyFill="1" applyBorder="1" applyAlignment="1" applyProtection="1">
      <alignment vertical="center"/>
      <protection hidden="1"/>
    </xf>
    <xf numFmtId="0" fontId="43" fillId="8" borderId="83" xfId="0" applyFont="1" applyFill="1" applyBorder="1" applyAlignment="1" applyProtection="1">
      <alignment horizontal="center" vertical="center"/>
      <protection hidden="1"/>
    </xf>
    <xf numFmtId="0" fontId="45" fillId="0" borderId="83" xfId="0" applyFont="1" applyBorder="1" applyAlignment="1" applyProtection="1">
      <alignment vertical="center" wrapText="1"/>
      <protection hidden="1"/>
    </xf>
    <xf numFmtId="0" fontId="45" fillId="0" borderId="64" xfId="0" applyFont="1" applyBorder="1" applyAlignment="1" applyProtection="1">
      <alignment vertical="center" wrapText="1"/>
      <protection hidden="1"/>
    </xf>
    <xf numFmtId="0" fontId="43" fillId="0" borderId="83" xfId="0" applyFont="1" applyBorder="1" applyAlignment="1" applyProtection="1">
      <alignment vertical="center" wrapText="1"/>
      <protection hidden="1"/>
    </xf>
    <xf numFmtId="0" fontId="45" fillId="0" borderId="85" xfId="0" applyFont="1" applyBorder="1" applyAlignment="1" applyProtection="1">
      <alignment vertical="center" wrapText="1"/>
      <protection hidden="1"/>
    </xf>
    <xf numFmtId="0" fontId="43" fillId="8" borderId="0" xfId="0" applyFont="1" applyFill="1" applyAlignment="1" applyProtection="1">
      <alignment horizontal="center" vertical="center" wrapText="1"/>
      <protection hidden="1"/>
    </xf>
    <xf numFmtId="0" fontId="47" fillId="8" borderId="84" xfId="0" applyFont="1" applyFill="1" applyBorder="1" applyAlignment="1" applyProtection="1">
      <alignment vertical="center"/>
      <protection hidden="1"/>
    </xf>
    <xf numFmtId="0" fontId="45" fillId="8" borderId="78" xfId="0" applyFont="1" applyFill="1" applyBorder="1" applyAlignment="1" applyProtection="1">
      <alignment vertical="center"/>
      <protection hidden="1"/>
    </xf>
    <xf numFmtId="0" fontId="43" fillId="0" borderId="83" xfId="0" applyFont="1" applyBorder="1" applyAlignment="1" applyProtection="1">
      <alignment vertical="center"/>
      <protection hidden="1"/>
    </xf>
    <xf numFmtId="0" fontId="48" fillId="0" borderId="86" xfId="0" applyFont="1" applyBorder="1" applyAlignment="1" applyProtection="1">
      <alignment vertical="center"/>
      <protection hidden="1"/>
    </xf>
    <xf numFmtId="0" fontId="48" fillId="0" borderId="83" xfId="0" applyFont="1" applyBorder="1" applyAlignment="1" applyProtection="1">
      <alignment vertical="center"/>
      <protection hidden="1"/>
    </xf>
    <xf numFmtId="164" fontId="49" fillId="0" borderId="83" xfId="0" applyNumberFormat="1" applyFont="1" applyBorder="1" applyAlignment="1" applyProtection="1">
      <alignment vertical="center"/>
      <protection hidden="1"/>
    </xf>
    <xf numFmtId="0" fontId="47" fillId="0" borderId="84" xfId="0" applyFont="1" applyBorder="1" applyAlignment="1" applyProtection="1">
      <alignment vertical="center"/>
      <protection hidden="1"/>
    </xf>
    <xf numFmtId="0" fontId="48" fillId="0" borderId="88" xfId="0" applyFont="1" applyBorder="1" applyAlignment="1" applyProtection="1">
      <alignment vertical="center"/>
      <protection hidden="1"/>
    </xf>
    <xf numFmtId="0" fontId="43" fillId="8" borderId="83" xfId="0" applyFont="1" applyFill="1" applyBorder="1" applyAlignment="1" applyProtection="1">
      <alignment vertical="center"/>
      <protection hidden="1"/>
    </xf>
    <xf numFmtId="0" fontId="45" fillId="8" borderId="86" xfId="0" applyFont="1" applyFill="1" applyBorder="1" applyAlignment="1" applyProtection="1">
      <alignment vertical="center"/>
      <protection hidden="1"/>
    </xf>
    <xf numFmtId="0" fontId="48" fillId="8" borderId="83" xfId="0" applyFont="1" applyFill="1" applyBorder="1" applyAlignment="1" applyProtection="1">
      <alignment vertical="center"/>
      <protection hidden="1"/>
    </xf>
    <xf numFmtId="0" fontId="45" fillId="8" borderId="64" xfId="0" applyFont="1" applyFill="1" applyBorder="1" applyAlignment="1" applyProtection="1">
      <alignment vertical="center"/>
      <protection hidden="1"/>
    </xf>
    <xf numFmtId="164" fontId="49" fillId="8" borderId="83" xfId="0" applyNumberFormat="1" applyFont="1" applyFill="1" applyBorder="1" applyAlignment="1" applyProtection="1">
      <alignment vertical="center"/>
      <protection hidden="1"/>
    </xf>
    <xf numFmtId="0" fontId="48" fillId="8" borderId="82" xfId="0" applyFont="1" applyFill="1" applyBorder="1" applyAlignment="1" applyProtection="1">
      <alignment vertical="center"/>
      <protection hidden="1"/>
    </xf>
    <xf numFmtId="0" fontId="45" fillId="8" borderId="85" xfId="0" applyFont="1" applyFill="1" applyBorder="1" applyAlignment="1" applyProtection="1">
      <alignment vertical="center"/>
      <protection hidden="1"/>
    </xf>
    <xf numFmtId="0" fontId="47" fillId="8" borderId="0" xfId="0" applyFont="1" applyFill="1" applyAlignment="1" applyProtection="1">
      <alignment horizontal="center" vertical="center" wrapText="1"/>
      <protection hidden="1"/>
    </xf>
    <xf numFmtId="0" fontId="48" fillId="0" borderId="87" xfId="0" applyFont="1" applyBorder="1" applyAlignment="1" applyProtection="1">
      <alignment vertical="center"/>
      <protection hidden="1"/>
    </xf>
    <xf numFmtId="0" fontId="45" fillId="0" borderId="89" xfId="0" applyFont="1" applyBorder="1" applyAlignment="1" applyProtection="1">
      <alignment vertical="center"/>
      <protection hidden="1"/>
    </xf>
    <xf numFmtId="0" fontId="45" fillId="0" borderId="82" xfId="0" applyFont="1" applyBorder="1" applyAlignment="1" applyProtection="1">
      <alignment vertical="center" wrapText="1"/>
      <protection hidden="1"/>
    </xf>
    <xf numFmtId="0" fontId="47" fillId="0" borderId="78" xfId="0" applyFont="1" applyBorder="1" applyAlignment="1" applyProtection="1">
      <alignment vertical="center"/>
      <protection hidden="1"/>
    </xf>
    <xf numFmtId="0" fontId="45" fillId="0" borderId="82" xfId="0" applyFont="1" applyBorder="1" applyAlignment="1" applyProtection="1">
      <alignment vertical="center"/>
      <protection hidden="1"/>
    </xf>
    <xf numFmtId="0" fontId="43" fillId="0" borderId="0" xfId="0" applyFont="1" applyAlignment="1" applyProtection="1">
      <alignment vertical="center"/>
      <protection hidden="1"/>
    </xf>
    <xf numFmtId="0" fontId="48" fillId="0" borderId="85" xfId="0" applyFont="1" applyBorder="1" applyAlignment="1" applyProtection="1">
      <alignment vertical="center"/>
      <protection hidden="1"/>
    </xf>
    <xf numFmtId="0" fontId="45" fillId="0" borderId="85" xfId="0" applyFont="1" applyBorder="1" applyAlignment="1" applyProtection="1">
      <alignment vertical="center"/>
      <protection hidden="1"/>
    </xf>
    <xf numFmtId="0" fontId="50" fillId="14" borderId="90" xfId="0" applyFont="1" applyFill="1" applyBorder="1" applyAlignment="1" applyProtection="1">
      <alignment horizontal="center" vertical="center" wrapText="1"/>
      <protection hidden="1"/>
    </xf>
    <xf numFmtId="0" fontId="51" fillId="0" borderId="91" xfId="0" applyFont="1" applyBorder="1" applyAlignment="1" applyProtection="1">
      <alignment horizontal="center" vertical="center" wrapText="1"/>
      <protection hidden="1"/>
    </xf>
    <xf numFmtId="0" fontId="51" fillId="3" borderId="92" xfId="0" applyFont="1" applyFill="1" applyBorder="1" applyAlignment="1" applyProtection="1">
      <alignment horizontal="center" vertical="center" wrapText="1"/>
      <protection hidden="1"/>
    </xf>
    <xf numFmtId="0" fontId="51" fillId="0" borderId="82" xfId="0" applyFont="1" applyBorder="1" applyAlignment="1" applyProtection="1">
      <alignment vertical="center"/>
      <protection hidden="1"/>
    </xf>
    <xf numFmtId="0" fontId="51" fillId="8" borderId="0" xfId="0" applyFont="1" applyFill="1" applyAlignment="1" applyProtection="1">
      <alignment horizontal="center" vertical="center" wrapText="1"/>
      <protection hidden="1"/>
    </xf>
    <xf numFmtId="0" fontId="51" fillId="0" borderId="78" xfId="0" applyFont="1" applyBorder="1" applyAlignment="1" applyProtection="1">
      <alignment vertical="center"/>
      <protection hidden="1"/>
    </xf>
    <xf numFmtId="0" fontId="51" fillId="0" borderId="93" xfId="0" applyFont="1" applyBorder="1" applyAlignment="1" applyProtection="1">
      <alignment vertical="center"/>
      <protection hidden="1"/>
    </xf>
    <xf numFmtId="0" fontId="45" fillId="0" borderId="94" xfId="0" applyFont="1" applyBorder="1" applyAlignment="1" applyProtection="1">
      <alignment vertical="center"/>
      <protection hidden="1"/>
    </xf>
    <xf numFmtId="0" fontId="51" fillId="15" borderId="0" xfId="0" applyFont="1" applyFill="1" applyAlignment="1" applyProtection="1">
      <alignment horizontal="center" vertical="center" wrapText="1"/>
      <protection hidden="1"/>
    </xf>
    <xf numFmtId="0" fontId="50" fillId="0" borderId="95" xfId="0" applyFont="1" applyBorder="1" applyAlignment="1" applyProtection="1">
      <alignment vertical="center"/>
      <protection hidden="1"/>
    </xf>
    <xf numFmtId="0" fontId="50" fillId="0" borderId="82" xfId="0" applyFont="1" applyBorder="1" applyAlignment="1" applyProtection="1">
      <alignment vertical="center"/>
      <protection hidden="1"/>
    </xf>
    <xf numFmtId="0" fontId="51" fillId="14" borderId="90" xfId="0" applyFont="1" applyFill="1" applyBorder="1" applyAlignment="1" applyProtection="1">
      <alignment horizontal="center" vertical="center" wrapText="1"/>
      <protection hidden="1"/>
    </xf>
    <xf numFmtId="0" fontId="45" fillId="8" borderId="0" xfId="0" applyFont="1" applyFill="1" applyProtection="1">
      <protection hidden="1"/>
    </xf>
    <xf numFmtId="0" fontId="45" fillId="8" borderId="89" xfId="0" applyFont="1" applyFill="1" applyBorder="1" applyAlignment="1" applyProtection="1">
      <alignment vertical="center"/>
      <protection hidden="1"/>
    </xf>
    <xf numFmtId="0" fontId="48" fillId="8" borderId="88" xfId="0" applyFont="1" applyFill="1" applyBorder="1" applyAlignment="1" applyProtection="1">
      <alignment vertical="center"/>
      <protection hidden="1"/>
    </xf>
    <xf numFmtId="0" fontId="45" fillId="8" borderId="96" xfId="0" applyFont="1" applyFill="1" applyBorder="1" applyAlignment="1" applyProtection="1">
      <alignment vertical="center"/>
      <protection hidden="1"/>
    </xf>
    <xf numFmtId="0" fontId="45" fillId="0" borderId="84" xfId="0" applyFont="1" applyBorder="1" applyAlignment="1" applyProtection="1">
      <alignment vertical="center"/>
      <protection hidden="1"/>
    </xf>
    <xf numFmtId="0" fontId="53" fillId="0" borderId="95" xfId="0" applyFont="1" applyBorder="1" applyAlignment="1" applyProtection="1">
      <alignment vertical="center"/>
      <protection hidden="1"/>
    </xf>
    <xf numFmtId="0" fontId="51" fillId="8" borderId="0" xfId="0" applyFont="1" applyFill="1" applyAlignment="1" applyProtection="1">
      <alignment vertical="center"/>
      <protection hidden="1"/>
    </xf>
    <xf numFmtId="0" fontId="45" fillId="8" borderId="83" xfId="0" applyFont="1" applyFill="1" applyBorder="1" applyAlignment="1" applyProtection="1">
      <alignment vertical="center"/>
      <protection hidden="1"/>
    </xf>
    <xf numFmtId="0" fontId="41" fillId="0" borderId="82" xfId="0" applyFont="1" applyBorder="1" applyAlignment="1" applyProtection="1">
      <alignment vertical="center"/>
      <protection hidden="1"/>
    </xf>
    <xf numFmtId="0" fontId="49" fillId="8" borderId="0" xfId="0" applyFont="1" applyFill="1" applyAlignment="1" applyProtection="1">
      <alignment horizontal="center" vertical="center" wrapText="1"/>
      <protection hidden="1"/>
    </xf>
    <xf numFmtId="0" fontId="41" fillId="0" borderId="78" xfId="0" applyFont="1" applyBorder="1" applyAlignment="1" applyProtection="1">
      <alignment vertical="center"/>
      <protection hidden="1"/>
    </xf>
    <xf numFmtId="0" fontId="41" fillId="0" borderId="93" xfId="0" applyFont="1" applyBorder="1" applyAlignment="1" applyProtection="1">
      <alignment vertical="center"/>
      <protection hidden="1"/>
    </xf>
    <xf numFmtId="0" fontId="49" fillId="15" borderId="0" xfId="0" applyFont="1" applyFill="1" applyAlignment="1" applyProtection="1">
      <alignment horizontal="center" vertical="center" wrapText="1"/>
      <protection hidden="1"/>
    </xf>
    <xf numFmtId="0" fontId="41" fillId="0" borderId="94" xfId="0" applyFont="1" applyBorder="1" applyAlignment="1" applyProtection="1">
      <alignment vertical="center"/>
      <protection hidden="1"/>
    </xf>
    <xf numFmtId="0" fontId="54" fillId="0" borderId="82" xfId="0" applyFont="1" applyBorder="1" applyAlignment="1" applyProtection="1">
      <alignment vertical="center"/>
      <protection hidden="1"/>
    </xf>
    <xf numFmtId="0" fontId="41" fillId="0" borderId="102" xfId="0" applyFont="1" applyBorder="1" applyAlignment="1" applyProtection="1">
      <alignment vertical="center"/>
      <protection hidden="1"/>
    </xf>
    <xf numFmtId="0" fontId="45" fillId="0" borderId="95" xfId="0" applyFont="1" applyBorder="1" applyAlignment="1" applyProtection="1">
      <alignment vertical="center" wrapText="1"/>
      <protection hidden="1"/>
    </xf>
    <xf numFmtId="0" fontId="48" fillId="0" borderId="83" xfId="0" applyFont="1" applyBorder="1" applyAlignment="1" applyProtection="1">
      <alignment vertical="center" wrapText="1"/>
      <protection hidden="1"/>
    </xf>
    <xf numFmtId="0" fontId="41" fillId="0" borderId="0" xfId="0" applyFont="1" applyAlignment="1" applyProtection="1">
      <alignment vertical="center"/>
      <protection hidden="1"/>
    </xf>
    <xf numFmtId="0" fontId="41" fillId="0" borderId="65" xfId="0" applyFont="1" applyBorder="1" applyAlignment="1" applyProtection="1">
      <alignment vertical="center"/>
      <protection hidden="1"/>
    </xf>
    <xf numFmtId="0" fontId="54" fillId="0" borderId="102" xfId="0" applyFont="1" applyBorder="1" applyAlignment="1" applyProtection="1">
      <alignment vertical="center"/>
      <protection hidden="1"/>
    </xf>
    <xf numFmtId="0" fontId="45" fillId="0" borderId="103" xfId="0" applyFont="1" applyBorder="1" applyAlignment="1" applyProtection="1">
      <alignment vertical="center" wrapText="1"/>
      <protection hidden="1"/>
    </xf>
    <xf numFmtId="0" fontId="63" fillId="8" borderId="0" xfId="0" applyFont="1" applyFill="1"/>
    <xf numFmtId="0" fontId="64" fillId="0" borderId="0" xfId="0" applyFont="1"/>
    <xf numFmtId="0" fontId="64" fillId="8" borderId="0" xfId="0" applyFont="1" applyFill="1"/>
    <xf numFmtId="0" fontId="63" fillId="0" borderId="0" xfId="0" applyFont="1" applyAlignment="1">
      <alignment vertical="center"/>
    </xf>
    <xf numFmtId="0" fontId="63" fillId="8" borderId="0" xfId="0" applyFont="1" applyFill="1" applyAlignment="1">
      <alignment horizontal="center" vertical="center" wrapText="1"/>
    </xf>
    <xf numFmtId="0" fontId="64" fillId="8" borderId="0" xfId="0" applyFont="1" applyFill="1" applyAlignment="1">
      <alignment horizontal="center" vertical="center" wrapText="1"/>
    </xf>
    <xf numFmtId="0" fontId="64" fillId="2" borderId="0" xfId="0" applyFont="1" applyFill="1" applyAlignment="1">
      <alignment vertical="center" wrapText="1"/>
    </xf>
    <xf numFmtId="0" fontId="64" fillId="8" borderId="0" xfId="0" applyFont="1" applyFill="1" applyAlignment="1">
      <alignment horizontal="center" vertical="center"/>
    </xf>
    <xf numFmtId="0" fontId="68" fillId="0" borderId="0" xfId="0" applyFont="1"/>
    <xf numFmtId="0" fontId="64" fillId="0" borderId="0" xfId="0" applyFont="1" applyAlignment="1">
      <alignment horizontal="center" vertical="center"/>
    </xf>
    <xf numFmtId="9" fontId="68" fillId="0" borderId="0" xfId="0" applyNumberFormat="1" applyFont="1"/>
    <xf numFmtId="0" fontId="64" fillId="8" borderId="0" xfId="0" applyFont="1" applyFill="1" applyAlignment="1">
      <alignment vertical="center"/>
    </xf>
    <xf numFmtId="0" fontId="64" fillId="2" borderId="0" xfId="0" applyFont="1" applyFill="1" applyAlignment="1">
      <alignment vertical="center"/>
    </xf>
    <xf numFmtId="0" fontId="63" fillId="2" borderId="0" xfId="0" applyFont="1" applyFill="1" applyAlignment="1">
      <alignment horizontal="center"/>
    </xf>
    <xf numFmtId="0" fontId="69" fillId="7" borderId="0" xfId="0" applyFont="1" applyFill="1" applyAlignment="1">
      <alignment horizontal="center" vertical="center" wrapText="1"/>
    </xf>
    <xf numFmtId="0" fontId="70" fillId="0" borderId="0" xfId="0" applyFont="1" applyAlignment="1">
      <alignment horizontal="center" vertical="center" wrapText="1"/>
    </xf>
    <xf numFmtId="0" fontId="70" fillId="27" borderId="0" xfId="0" applyFont="1" applyFill="1" applyAlignment="1">
      <alignment horizontal="center" vertical="center" wrapText="1"/>
    </xf>
    <xf numFmtId="0" fontId="70" fillId="8" borderId="0" xfId="0" applyFont="1" applyFill="1" applyAlignment="1">
      <alignment vertical="center" wrapText="1"/>
    </xf>
    <xf numFmtId="0" fontId="64" fillId="8" borderId="0" xfId="0" applyFont="1" applyFill="1" applyAlignment="1">
      <alignment vertical="center" wrapText="1"/>
    </xf>
    <xf numFmtId="0" fontId="64" fillId="0" borderId="0" xfId="0" applyFont="1" applyAlignment="1">
      <alignment wrapText="1"/>
    </xf>
    <xf numFmtId="0" fontId="17" fillId="0" borderId="10" xfId="1" applyFont="1" applyBorder="1" applyAlignment="1" applyProtection="1">
      <alignment horizontal="center" vertical="center"/>
      <protection hidden="1"/>
    </xf>
    <xf numFmtId="0" fontId="17" fillId="0" borderId="12" xfId="1" applyFont="1" applyBorder="1" applyAlignment="1" applyProtection="1">
      <alignment horizontal="center" vertical="center"/>
      <protection hidden="1"/>
    </xf>
    <xf numFmtId="0" fontId="7" fillId="0" borderId="11" xfId="1" applyFont="1" applyBorder="1" applyAlignment="1" applyProtection="1">
      <alignment horizontal="center" vertical="center"/>
      <protection hidden="1"/>
    </xf>
    <xf numFmtId="0" fontId="20" fillId="0" borderId="22" xfId="1" applyFont="1" applyBorder="1" applyAlignment="1" applyProtection="1">
      <alignment horizontal="center" vertical="center"/>
      <protection hidden="1"/>
    </xf>
    <xf numFmtId="0" fontId="17" fillId="0" borderId="20" xfId="1" applyFont="1" applyBorder="1" applyAlignment="1" applyProtection="1">
      <alignment horizontal="center" vertical="center"/>
      <protection hidden="1"/>
    </xf>
    <xf numFmtId="0" fontId="3" fillId="0" borderId="20" xfId="1" applyFont="1" applyBorder="1" applyAlignment="1" applyProtection="1">
      <alignment horizontal="center" vertical="center"/>
      <protection hidden="1"/>
    </xf>
    <xf numFmtId="0" fontId="17" fillId="0" borderId="18" xfId="1" applyFont="1" applyBorder="1" applyAlignment="1" applyProtection="1">
      <alignment horizontal="center" vertical="center"/>
      <protection hidden="1"/>
    </xf>
    <xf numFmtId="0" fontId="42" fillId="13" borderId="0" xfId="0" applyFont="1" applyFill="1" applyAlignment="1" applyProtection="1">
      <alignment horizontal="center" vertical="center"/>
      <protection hidden="1"/>
    </xf>
    <xf numFmtId="0" fontId="45" fillId="0" borderId="78" xfId="0" applyFont="1" applyBorder="1" applyAlignment="1" applyProtection="1">
      <alignment horizontal="center" vertical="center"/>
      <protection hidden="1"/>
    </xf>
    <xf numFmtId="0" fontId="17" fillId="0" borderId="22" xfId="1" applyFont="1" applyBorder="1" applyAlignment="1" applyProtection="1">
      <alignment horizontal="center" vertical="center"/>
      <protection hidden="1"/>
    </xf>
    <xf numFmtId="0" fontId="2" fillId="0" borderId="0" xfId="1" applyAlignment="1" applyProtection="1">
      <alignment horizontal="center" vertical="center"/>
      <protection hidden="1"/>
    </xf>
    <xf numFmtId="0" fontId="7" fillId="0" borderId="20" xfId="1" applyFont="1" applyBorder="1" applyAlignment="1" applyProtection="1">
      <alignment horizontal="center" vertical="center"/>
      <protection hidden="1"/>
    </xf>
    <xf numFmtId="0" fontId="0" fillId="30" borderId="62" xfId="0" applyFill="1" applyBorder="1" applyAlignment="1" applyProtection="1">
      <alignment horizontal="center" vertical="center"/>
      <protection hidden="1"/>
    </xf>
    <xf numFmtId="0" fontId="0" fillId="31" borderId="62" xfId="0" applyFill="1" applyBorder="1" applyAlignment="1" applyProtection="1">
      <alignment horizontal="center" vertical="center"/>
      <protection hidden="1"/>
    </xf>
    <xf numFmtId="0" fontId="1" fillId="12" borderId="120" xfId="0" applyFont="1" applyFill="1" applyBorder="1" applyAlignment="1" applyProtection="1">
      <alignment horizontal="center" vertical="center" wrapText="1"/>
      <protection hidden="1"/>
    </xf>
    <xf numFmtId="0" fontId="1" fillId="12" borderId="113" xfId="0" applyFont="1" applyFill="1" applyBorder="1" applyAlignment="1" applyProtection="1">
      <alignment horizontal="center" vertical="center"/>
      <protection hidden="1"/>
    </xf>
    <xf numFmtId="0" fontId="38" fillId="12" borderId="153" xfId="0" applyFont="1" applyFill="1" applyBorder="1" applyAlignment="1" applyProtection="1">
      <alignment horizontal="center" vertical="center"/>
      <protection hidden="1"/>
    </xf>
    <xf numFmtId="0" fontId="1" fillId="20" borderId="120" xfId="0" applyFont="1" applyFill="1" applyBorder="1" applyAlignment="1" applyProtection="1">
      <alignment horizontal="center" vertical="center" wrapText="1"/>
      <protection hidden="1"/>
    </xf>
    <xf numFmtId="0" fontId="0" fillId="0" borderId="152" xfId="0" applyBorder="1" applyAlignment="1" applyProtection="1">
      <alignment horizontal="center" vertical="center"/>
      <protection locked="0"/>
    </xf>
    <xf numFmtId="0" fontId="0" fillId="0" borderId="140" xfId="0" applyBorder="1" applyAlignment="1" applyProtection="1">
      <alignment horizontal="center" vertical="center"/>
      <protection hidden="1"/>
    </xf>
    <xf numFmtId="0" fontId="11" fillId="0" borderId="19" xfId="1" applyFont="1" applyBorder="1" applyAlignment="1" applyProtection="1">
      <alignment vertical="center"/>
      <protection hidden="1"/>
    </xf>
    <xf numFmtId="0" fontId="23" fillId="2" borderId="0" xfId="1" applyFont="1" applyFill="1" applyAlignment="1" applyProtection="1">
      <alignment vertical="center"/>
      <protection hidden="1"/>
    </xf>
    <xf numFmtId="0" fontId="7" fillId="0" borderId="19" xfId="1" applyFont="1" applyBorder="1" applyAlignment="1" applyProtection="1">
      <alignment vertical="center"/>
      <protection hidden="1"/>
    </xf>
    <xf numFmtId="0" fontId="38" fillId="12" borderId="62" xfId="0" applyFont="1" applyFill="1" applyBorder="1" applyAlignment="1" applyProtection="1">
      <alignment horizontal="center" vertical="center"/>
      <protection hidden="1"/>
    </xf>
    <xf numFmtId="0" fontId="1" fillId="12" borderId="155" xfId="0" applyFont="1" applyFill="1" applyBorder="1" applyAlignment="1" applyProtection="1">
      <alignment horizontal="center" vertical="center" wrapText="1"/>
      <protection hidden="1"/>
    </xf>
    <xf numFmtId="0" fontId="0" fillId="12" borderId="62" xfId="0" applyFill="1" applyBorder="1" applyAlignment="1" applyProtection="1">
      <alignment horizontal="left" vertical="center"/>
      <protection hidden="1"/>
    </xf>
    <xf numFmtId="0" fontId="0" fillId="13" borderId="62" xfId="0" applyFill="1" applyBorder="1" applyAlignment="1" applyProtection="1">
      <alignment horizontal="left" vertical="center"/>
      <protection hidden="1"/>
    </xf>
    <xf numFmtId="0" fontId="1" fillId="20" borderId="62" xfId="0" applyFont="1" applyFill="1" applyBorder="1" applyAlignment="1" applyProtection="1">
      <alignment horizontal="center" vertical="center" wrapText="1"/>
      <protection hidden="1"/>
    </xf>
    <xf numFmtId="0" fontId="0" fillId="0" borderId="62" xfId="0" applyBorder="1"/>
    <xf numFmtId="0" fontId="0" fillId="12" borderId="62" xfId="0" applyFill="1" applyBorder="1" applyAlignment="1" applyProtection="1">
      <alignment horizontal="left" vertical="top" wrapText="1"/>
      <protection hidden="1"/>
    </xf>
    <xf numFmtId="0" fontId="0" fillId="13" borderId="62" xfId="0" applyFill="1" applyBorder="1" applyAlignment="1" applyProtection="1">
      <alignment horizontal="center" vertical="center"/>
      <protection hidden="1"/>
    </xf>
    <xf numFmtId="0" fontId="0" fillId="13" borderId="121" xfId="0" applyFill="1" applyBorder="1" applyAlignment="1" applyProtection="1">
      <alignment horizontal="center" vertical="center"/>
      <protection locked="0"/>
    </xf>
    <xf numFmtId="0" fontId="6" fillId="13" borderId="0" xfId="1" applyFont="1" applyFill="1" applyProtection="1">
      <protection hidden="1"/>
    </xf>
    <xf numFmtId="0" fontId="7" fillId="2" borderId="0" xfId="1" applyFont="1" applyFill="1" applyAlignment="1" applyProtection="1">
      <alignment horizontal="center" vertical="center" wrapText="1"/>
      <protection hidden="1"/>
    </xf>
    <xf numFmtId="0" fontId="6" fillId="33" borderId="0" xfId="1" applyFont="1" applyFill="1" applyProtection="1">
      <protection hidden="1"/>
    </xf>
    <xf numFmtId="0" fontId="7" fillId="33" borderId="0" xfId="1" applyFont="1" applyFill="1" applyAlignment="1" applyProtection="1">
      <alignment vertical="center" wrapText="1"/>
      <protection hidden="1"/>
    </xf>
    <xf numFmtId="0" fontId="0" fillId="20" borderId="154" xfId="0" applyFill="1" applyBorder="1" applyAlignment="1" applyProtection="1">
      <alignment horizontal="center" vertical="center"/>
      <protection locked="0"/>
    </xf>
    <xf numFmtId="0" fontId="0" fillId="13" borderId="62" xfId="0" applyFill="1" applyBorder="1" applyAlignment="1" applyProtection="1">
      <alignment horizontal="center" vertical="center" wrapText="1"/>
      <protection locked="0"/>
    </xf>
    <xf numFmtId="0" fontId="0" fillId="13" borderId="62" xfId="0" applyFill="1" applyBorder="1" applyAlignment="1" applyProtection="1">
      <alignment horizontal="center" vertical="center"/>
      <protection locked="0"/>
    </xf>
    <xf numFmtId="0" fontId="77" fillId="12" borderId="110" xfId="0" applyFont="1" applyFill="1" applyBorder="1" applyAlignment="1" applyProtection="1">
      <alignment horizontal="center" vertical="center"/>
      <protection hidden="1"/>
    </xf>
    <xf numFmtId="0" fontId="77" fillId="12" borderId="62" xfId="0" applyFont="1" applyFill="1" applyBorder="1" applyAlignment="1" applyProtection="1">
      <alignment horizontal="center" vertical="center"/>
      <protection hidden="1"/>
    </xf>
    <xf numFmtId="0" fontId="77" fillId="12" borderId="116" xfId="0" applyFont="1" applyFill="1" applyBorder="1" applyAlignment="1" applyProtection="1">
      <alignment horizontal="center" vertical="center"/>
      <protection hidden="1"/>
    </xf>
    <xf numFmtId="0" fontId="77" fillId="12" borderId="116" xfId="0" applyFont="1" applyFill="1" applyBorder="1" applyAlignment="1" applyProtection="1">
      <alignment horizontal="left" vertical="center"/>
      <protection hidden="1"/>
    </xf>
    <xf numFmtId="0" fontId="77" fillId="12" borderId="121" xfId="0" applyFont="1" applyFill="1" applyBorder="1" applyAlignment="1" applyProtection="1">
      <alignment horizontal="center" vertical="center"/>
      <protection hidden="1"/>
    </xf>
    <xf numFmtId="0" fontId="77" fillId="34" borderId="116" xfId="0" applyFont="1" applyFill="1" applyBorder="1" applyAlignment="1" applyProtection="1">
      <alignment horizontal="center" vertical="center"/>
      <protection hidden="1"/>
    </xf>
    <xf numFmtId="0" fontId="78" fillId="13" borderId="62" xfId="0" applyFont="1" applyFill="1" applyBorder="1" applyAlignment="1" applyProtection="1">
      <alignment horizontal="left" vertical="center"/>
      <protection hidden="1"/>
    </xf>
    <xf numFmtId="0" fontId="77" fillId="13" borderId="62" xfId="0" applyFont="1" applyFill="1" applyBorder="1" applyAlignment="1" applyProtection="1">
      <alignment horizontal="left" vertical="top"/>
      <protection hidden="1"/>
    </xf>
    <xf numFmtId="0" fontId="6" fillId="0" borderId="26" xfId="1" applyFont="1" applyBorder="1" applyProtection="1">
      <protection hidden="1"/>
    </xf>
    <xf numFmtId="1" fontId="0" fillId="0" borderId="132" xfId="0" applyNumberFormat="1" applyBorder="1" applyAlignment="1" applyProtection="1">
      <alignment horizontal="center" vertical="center"/>
      <protection locked="0"/>
    </xf>
    <xf numFmtId="1" fontId="17" fillId="3" borderId="0" xfId="1" applyNumberFormat="1" applyFont="1" applyFill="1" applyAlignment="1" applyProtection="1">
      <alignment horizontal="center" vertical="center" wrapText="1"/>
      <protection hidden="1"/>
    </xf>
    <xf numFmtId="0" fontId="20" fillId="7" borderId="0" xfId="1" applyFont="1" applyFill="1" applyAlignment="1" applyProtection="1">
      <alignment horizontal="center" vertical="center" wrapText="1"/>
      <protection hidden="1"/>
    </xf>
    <xf numFmtId="0" fontId="42" fillId="0" borderId="0" xfId="0" applyFont="1"/>
    <xf numFmtId="0" fontId="7" fillId="0" borderId="17" xfId="1" applyFont="1" applyBorder="1" applyProtection="1">
      <protection hidden="1"/>
    </xf>
    <xf numFmtId="0" fontId="7" fillId="0" borderId="21" xfId="1" applyFont="1" applyBorder="1" applyAlignment="1" applyProtection="1">
      <alignment horizontal="center" vertical="center" wrapText="1"/>
      <protection hidden="1"/>
    </xf>
    <xf numFmtId="0" fontId="40" fillId="0" borderId="82" xfId="0" applyFont="1" applyBorder="1" applyAlignment="1" applyProtection="1">
      <alignment horizontal="center" vertical="center"/>
      <protection hidden="1"/>
    </xf>
    <xf numFmtId="0" fontId="41" fillId="0" borderId="82" xfId="0" applyFont="1" applyBorder="1" applyAlignment="1" applyProtection="1">
      <alignment horizontal="center" vertical="center" wrapText="1"/>
      <protection hidden="1"/>
    </xf>
    <xf numFmtId="0" fontId="44" fillId="0" borderId="82" xfId="0" applyFont="1" applyBorder="1" applyAlignment="1" applyProtection="1">
      <alignment horizontal="center" vertical="center" wrapText="1"/>
      <protection hidden="1"/>
    </xf>
    <xf numFmtId="0" fontId="20" fillId="0" borderId="20" xfId="1" applyFont="1" applyBorder="1" applyAlignment="1" applyProtection="1">
      <alignment horizontal="center" vertical="center"/>
      <protection hidden="1"/>
    </xf>
    <xf numFmtId="0" fontId="43" fillId="0" borderId="78" xfId="0" applyFont="1" applyBorder="1" applyAlignment="1" applyProtection="1">
      <alignment horizontal="center" vertical="center"/>
      <protection hidden="1"/>
    </xf>
    <xf numFmtId="0" fontId="46" fillId="0" borderId="78" xfId="0" applyFont="1" applyBorder="1" applyAlignment="1" applyProtection="1">
      <alignment horizontal="center" vertical="center"/>
      <protection hidden="1"/>
    </xf>
    <xf numFmtId="0" fontId="17" fillId="0" borderId="15" xfId="1" applyFont="1" applyBorder="1" applyAlignment="1" applyProtection="1">
      <alignment horizontal="center" vertical="center"/>
      <protection hidden="1"/>
    </xf>
    <xf numFmtId="0" fontId="7" fillId="0" borderId="20" xfId="1" applyFont="1" applyBorder="1" applyAlignment="1" applyProtection="1">
      <alignment horizontal="center" vertical="center" wrapText="1"/>
      <protection hidden="1"/>
    </xf>
    <xf numFmtId="0" fontId="43" fillId="0" borderId="82" xfId="0" applyFont="1" applyBorder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center" vertical="center" wrapText="1"/>
      <protection hidden="1"/>
    </xf>
    <xf numFmtId="0" fontId="7" fillId="0" borderId="13" xfId="1" applyFont="1" applyBorder="1" applyProtection="1">
      <protection hidden="1"/>
    </xf>
    <xf numFmtId="0" fontId="17" fillId="23" borderId="0" xfId="1" applyFont="1" applyFill="1" applyAlignment="1" applyProtection="1">
      <alignment horizontal="center" vertical="center" wrapText="1"/>
      <protection hidden="1"/>
    </xf>
    <xf numFmtId="0" fontId="34" fillId="2" borderId="0" xfId="1" applyFont="1" applyFill="1" applyAlignment="1" applyProtection="1">
      <alignment horizontal="center" vertical="center" wrapText="1"/>
      <protection hidden="1"/>
    </xf>
    <xf numFmtId="0" fontId="7" fillId="2" borderId="0" xfId="1" applyFont="1" applyFill="1" applyAlignment="1" applyProtection="1">
      <alignment vertical="center" wrapText="1"/>
      <protection hidden="1"/>
    </xf>
    <xf numFmtId="0" fontId="43" fillId="8" borderId="0" xfId="0" applyFont="1" applyFill="1" applyAlignment="1" applyProtection="1">
      <alignment vertical="center"/>
      <protection hidden="1"/>
    </xf>
    <xf numFmtId="0" fontId="7" fillId="0" borderId="0" xfId="1" applyFont="1" applyAlignment="1" applyProtection="1">
      <alignment horizontal="center" vertical="center" textRotation="90"/>
      <protection hidden="1"/>
    </xf>
    <xf numFmtId="0" fontId="48" fillId="8" borderId="95" xfId="0" applyFont="1" applyFill="1" applyBorder="1" applyAlignment="1" applyProtection="1">
      <alignment vertical="center"/>
      <protection hidden="1"/>
    </xf>
    <xf numFmtId="0" fontId="3" fillId="0" borderId="162" xfId="1" applyFont="1" applyBorder="1" applyProtection="1">
      <protection hidden="1"/>
    </xf>
    <xf numFmtId="0" fontId="65" fillId="25" borderId="139" xfId="0" applyFont="1" applyFill="1" applyBorder="1" applyAlignment="1">
      <alignment horizontal="center" vertical="center" wrapText="1"/>
    </xf>
    <xf numFmtId="0" fontId="63" fillId="25" borderId="120" xfId="0" applyFont="1" applyFill="1" applyBorder="1" applyAlignment="1">
      <alignment horizontal="center" vertical="center"/>
    </xf>
    <xf numFmtId="0" fontId="63" fillId="25" borderId="120" xfId="0" applyFont="1" applyFill="1" applyBorder="1" applyAlignment="1">
      <alignment horizontal="center" vertical="center" wrapText="1"/>
    </xf>
    <xf numFmtId="0" fontId="66" fillId="25" borderId="120" xfId="0" applyFont="1" applyFill="1" applyBorder="1" applyAlignment="1">
      <alignment horizontal="center" vertical="center" wrapText="1"/>
    </xf>
    <xf numFmtId="0" fontId="67" fillId="25" borderId="120" xfId="0" applyFont="1" applyFill="1" applyBorder="1" applyAlignment="1">
      <alignment horizontal="center" vertical="center" wrapText="1"/>
    </xf>
    <xf numFmtId="0" fontId="75" fillId="7" borderId="0" xfId="1" applyFont="1" applyFill="1" applyAlignment="1" applyProtection="1">
      <alignment horizontal="center" vertical="center" wrapText="1"/>
      <protection hidden="1"/>
    </xf>
    <xf numFmtId="0" fontId="74" fillId="23" borderId="0" xfId="1" applyFont="1" applyFill="1" applyAlignment="1" applyProtection="1">
      <alignment horizontal="center" vertical="center" wrapText="1"/>
      <protection hidden="1"/>
    </xf>
    <xf numFmtId="1" fontId="74" fillId="3" borderId="0" xfId="1" applyNumberFormat="1" applyFont="1" applyFill="1" applyAlignment="1" applyProtection="1">
      <alignment horizontal="center" vertical="center" wrapText="1"/>
      <protection hidden="1"/>
    </xf>
    <xf numFmtId="0" fontId="6" fillId="0" borderId="116" xfId="1" applyFont="1" applyBorder="1" applyProtection="1">
      <protection hidden="1"/>
    </xf>
    <xf numFmtId="0" fontId="48" fillId="0" borderId="170" xfId="0" applyFont="1" applyBorder="1" applyAlignment="1" applyProtection="1">
      <alignment vertical="center"/>
      <protection hidden="1"/>
    </xf>
    <xf numFmtId="0" fontId="45" fillId="8" borderId="170" xfId="0" applyFont="1" applyFill="1" applyBorder="1" applyAlignment="1" applyProtection="1">
      <alignment vertical="center"/>
      <protection hidden="1"/>
    </xf>
    <xf numFmtId="0" fontId="0" fillId="12" borderId="126" xfId="0" applyFill="1" applyBorder="1" applyAlignment="1" applyProtection="1">
      <alignment horizontal="center" vertical="center" wrapText="1"/>
      <protection hidden="1"/>
    </xf>
    <xf numFmtId="0" fontId="0" fillId="12" borderId="124" xfId="0" applyFill="1" applyBorder="1" applyAlignment="1" applyProtection="1">
      <alignment horizontal="center" vertical="center" wrapText="1"/>
      <protection hidden="1"/>
    </xf>
    <xf numFmtId="0" fontId="0" fillId="12" borderId="125" xfId="0" applyFill="1" applyBorder="1" applyAlignment="1" applyProtection="1">
      <alignment horizontal="center" vertical="center" wrapText="1"/>
      <protection hidden="1"/>
    </xf>
    <xf numFmtId="0" fontId="0" fillId="22" borderId="126" xfId="0" applyFill="1" applyBorder="1" applyAlignment="1" applyProtection="1">
      <alignment horizontal="center" vertical="center"/>
      <protection hidden="1"/>
    </xf>
    <xf numFmtId="0" fontId="0" fillId="22" borderId="124" xfId="0" applyFill="1" applyBorder="1" applyAlignment="1" applyProtection="1">
      <alignment horizontal="center" vertical="center"/>
      <protection hidden="1"/>
    </xf>
    <xf numFmtId="0" fontId="0" fillId="22" borderId="125" xfId="0" applyFill="1" applyBorder="1" applyAlignment="1" applyProtection="1">
      <alignment horizontal="center" vertical="center"/>
      <protection hidden="1"/>
    </xf>
    <xf numFmtId="0" fontId="1" fillId="12" borderId="139" xfId="0" applyFont="1" applyFill="1" applyBorder="1" applyAlignment="1" applyProtection="1">
      <alignment horizontal="center" vertical="center"/>
      <protection hidden="1"/>
    </xf>
    <xf numFmtId="0" fontId="1" fillId="12" borderId="140" xfId="0" applyFont="1" applyFill="1" applyBorder="1" applyAlignment="1" applyProtection="1">
      <alignment horizontal="center" vertical="center"/>
      <protection hidden="1"/>
    </xf>
    <xf numFmtId="0" fontId="1" fillId="12" borderId="141" xfId="0" applyFont="1" applyFill="1" applyBorder="1" applyAlignment="1" applyProtection="1">
      <alignment horizontal="center" vertical="center"/>
      <protection hidden="1"/>
    </xf>
    <xf numFmtId="0" fontId="0" fillId="20" borderId="126" xfId="0" applyFill="1" applyBorder="1" applyAlignment="1" applyProtection="1">
      <alignment horizontal="center" vertical="center"/>
      <protection locked="0"/>
    </xf>
    <xf numFmtId="0" fontId="0" fillId="20" borderId="125" xfId="0" applyFill="1" applyBorder="1" applyAlignment="1" applyProtection="1">
      <alignment horizontal="center" vertical="center"/>
      <protection locked="0"/>
    </xf>
    <xf numFmtId="0" fontId="0" fillId="0" borderId="128" xfId="0" applyBorder="1" applyAlignment="1" applyProtection="1">
      <alignment horizontal="center" vertical="center"/>
      <protection locked="0"/>
    </xf>
    <xf numFmtId="0" fontId="0" fillId="0" borderId="117" xfId="0" applyBorder="1" applyAlignment="1" applyProtection="1">
      <alignment horizontal="center" vertical="center"/>
      <protection locked="0"/>
    </xf>
    <xf numFmtId="0" fontId="1" fillId="12" borderId="123" xfId="0" applyFont="1" applyFill="1" applyBorder="1" applyAlignment="1" applyProtection="1">
      <alignment horizontal="center" vertical="center"/>
      <protection hidden="1"/>
    </xf>
    <xf numFmtId="0" fontId="1" fillId="12" borderId="124" xfId="0" applyFont="1" applyFill="1" applyBorder="1" applyAlignment="1" applyProtection="1">
      <alignment horizontal="center" vertical="center"/>
      <protection hidden="1"/>
    </xf>
    <xf numFmtId="0" fontId="1" fillId="12" borderId="125" xfId="0" applyFont="1" applyFill="1" applyBorder="1" applyAlignment="1" applyProtection="1">
      <alignment horizontal="center" vertical="center"/>
      <protection hidden="1"/>
    </xf>
    <xf numFmtId="0" fontId="1" fillId="12" borderId="132" xfId="0" applyFont="1" applyFill="1" applyBorder="1" applyAlignment="1" applyProtection="1">
      <alignment horizontal="center" vertical="center"/>
      <protection hidden="1"/>
    </xf>
    <xf numFmtId="0" fontId="1" fillId="12" borderId="133" xfId="0" applyFont="1" applyFill="1" applyBorder="1" applyAlignment="1" applyProtection="1">
      <alignment horizontal="center" vertical="center"/>
      <protection hidden="1"/>
    </xf>
    <xf numFmtId="0" fontId="1" fillId="12" borderId="115" xfId="0" applyFont="1" applyFill="1" applyBorder="1" applyAlignment="1" applyProtection="1">
      <alignment horizontal="center" vertical="center"/>
      <protection hidden="1"/>
    </xf>
    <xf numFmtId="0" fontId="0" fillId="0" borderId="115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0" fillId="0" borderId="119" xfId="0" applyBorder="1" applyAlignment="1" applyProtection="1">
      <alignment horizontal="center" vertical="center" wrapText="1"/>
      <protection locked="0"/>
    </xf>
    <xf numFmtId="0" fontId="0" fillId="0" borderId="134" xfId="0" applyBorder="1" applyAlignment="1" applyProtection="1">
      <alignment horizontal="center" vertical="center" wrapText="1"/>
      <protection locked="0"/>
    </xf>
    <xf numFmtId="0" fontId="0" fillId="0" borderId="115" xfId="0" applyBorder="1" applyAlignment="1" applyProtection="1">
      <alignment horizontal="center" vertical="center" wrapText="1"/>
      <protection locked="0"/>
    </xf>
    <xf numFmtId="0" fontId="0" fillId="0" borderId="111" xfId="0" applyBorder="1" applyAlignment="1" applyProtection="1">
      <alignment horizontal="center" vertical="center" wrapText="1"/>
      <protection locked="0"/>
    </xf>
    <xf numFmtId="0" fontId="17" fillId="23" borderId="0" xfId="1" applyFont="1" applyFill="1" applyAlignment="1" applyProtection="1">
      <alignment horizontal="center" vertical="center" wrapText="1"/>
      <protection hidden="1"/>
    </xf>
    <xf numFmtId="1" fontId="17" fillId="3" borderId="0" xfId="1" applyNumberFormat="1" applyFont="1" applyFill="1" applyAlignment="1" applyProtection="1">
      <alignment horizontal="center" vertical="center" wrapText="1"/>
      <protection hidden="1"/>
    </xf>
    <xf numFmtId="0" fontId="24" fillId="35" borderId="0" xfId="1" applyFont="1" applyFill="1" applyAlignment="1" applyProtection="1">
      <alignment horizontal="center" vertical="center" wrapText="1"/>
      <protection hidden="1"/>
    </xf>
    <xf numFmtId="0" fontId="27" fillId="36" borderId="0" xfId="1" applyFont="1" applyFill="1" applyAlignment="1" applyProtection="1">
      <alignment horizontal="center" vertical="center" wrapText="1"/>
      <protection hidden="1"/>
    </xf>
    <xf numFmtId="9" fontId="47" fillId="0" borderId="63" xfId="0" applyNumberFormat="1" applyFont="1" applyBorder="1" applyAlignment="1" applyProtection="1">
      <alignment horizontal="center" vertical="center" wrapText="1"/>
      <protection hidden="1"/>
    </xf>
    <xf numFmtId="9" fontId="42" fillId="0" borderId="65" xfId="0" applyNumberFormat="1" applyFont="1" applyBorder="1" applyProtection="1">
      <protection hidden="1"/>
    </xf>
    <xf numFmtId="9" fontId="42" fillId="0" borderId="66" xfId="0" applyNumberFormat="1" applyFont="1" applyBorder="1" applyProtection="1">
      <protection hidden="1"/>
    </xf>
    <xf numFmtId="1" fontId="47" fillId="0" borderId="63" xfId="0" applyNumberFormat="1" applyFont="1" applyBorder="1" applyAlignment="1" applyProtection="1">
      <alignment horizontal="center" vertical="center" wrapText="1"/>
      <protection hidden="1"/>
    </xf>
    <xf numFmtId="0" fontId="42" fillId="0" borderId="65" xfId="0" applyFont="1" applyBorder="1" applyProtection="1">
      <protection hidden="1"/>
    </xf>
    <xf numFmtId="0" fontId="42" fillId="0" borderId="66" xfId="0" applyFont="1" applyBorder="1" applyProtection="1">
      <protection hidden="1"/>
    </xf>
    <xf numFmtId="1" fontId="43" fillId="0" borderId="63" xfId="0" applyNumberFormat="1" applyFont="1" applyBorder="1" applyAlignment="1" applyProtection="1">
      <alignment horizontal="center" vertical="center" wrapText="1"/>
      <protection hidden="1"/>
    </xf>
    <xf numFmtId="0" fontId="43" fillId="0" borderId="65" xfId="0" applyFont="1" applyBorder="1" applyAlignment="1" applyProtection="1">
      <alignment horizontal="center" vertical="center" wrapText="1"/>
      <protection hidden="1"/>
    </xf>
    <xf numFmtId="0" fontId="43" fillId="0" borderId="66" xfId="0" applyFont="1" applyBorder="1" applyAlignment="1" applyProtection="1">
      <alignment horizontal="center" vertical="center" wrapText="1"/>
      <protection hidden="1"/>
    </xf>
    <xf numFmtId="0" fontId="47" fillId="0" borderId="63" xfId="0" applyFont="1" applyBorder="1" applyAlignment="1" applyProtection="1">
      <alignment horizontal="center" vertical="center" wrapText="1"/>
      <protection hidden="1"/>
    </xf>
    <xf numFmtId="0" fontId="47" fillId="0" borderId="65" xfId="0" applyFont="1" applyBorder="1" applyAlignment="1" applyProtection="1">
      <alignment horizontal="center" vertical="center" wrapText="1"/>
      <protection hidden="1"/>
    </xf>
    <xf numFmtId="0" fontId="47" fillId="0" borderId="66" xfId="0" applyFont="1" applyBorder="1" applyAlignment="1" applyProtection="1">
      <alignment horizontal="center" vertical="center" wrapText="1"/>
      <protection hidden="1"/>
    </xf>
    <xf numFmtId="1" fontId="43" fillId="0" borderId="63" xfId="0" applyNumberFormat="1" applyFont="1" applyBorder="1" applyAlignment="1" applyProtection="1">
      <alignment horizontal="center" vertical="center"/>
      <protection hidden="1"/>
    </xf>
    <xf numFmtId="0" fontId="43" fillId="0" borderId="65" xfId="0" applyFont="1" applyBorder="1" applyAlignment="1" applyProtection="1">
      <alignment horizontal="center" vertical="center"/>
      <protection hidden="1"/>
    </xf>
    <xf numFmtId="0" fontId="43" fillId="0" borderId="66" xfId="0" applyFont="1" applyBorder="1" applyAlignment="1" applyProtection="1">
      <alignment horizontal="center" vertical="center"/>
      <protection hidden="1"/>
    </xf>
    <xf numFmtId="0" fontId="7" fillId="11" borderId="0" xfId="1" applyFont="1" applyFill="1" applyAlignment="1" applyProtection="1">
      <alignment horizontal="center" vertical="center" textRotation="90"/>
      <protection hidden="1"/>
    </xf>
    <xf numFmtId="0" fontId="2" fillId="0" borderId="0" xfId="1" applyProtection="1">
      <protection hidden="1"/>
    </xf>
    <xf numFmtId="0" fontId="6" fillId="0" borderId="0" xfId="1" applyFont="1" applyProtection="1">
      <protection hidden="1"/>
    </xf>
    <xf numFmtId="0" fontId="7" fillId="11" borderId="0" xfId="1" applyFont="1" applyFill="1" applyAlignment="1" applyProtection="1">
      <alignment horizontal="center" vertical="center"/>
      <protection hidden="1"/>
    </xf>
    <xf numFmtId="0" fontId="49" fillId="0" borderId="79" xfId="0" applyFont="1" applyBorder="1" applyAlignment="1" applyProtection="1">
      <alignment horizontal="center" vertical="center" wrapText="1"/>
      <protection hidden="1"/>
    </xf>
    <xf numFmtId="0" fontId="42" fillId="0" borderId="80" xfId="0" applyFont="1" applyBorder="1" applyProtection="1">
      <protection hidden="1"/>
    </xf>
    <xf numFmtId="0" fontId="42" fillId="0" borderId="81" xfId="0" applyFont="1" applyBorder="1" applyProtection="1">
      <protection hidden="1"/>
    </xf>
    <xf numFmtId="0" fontId="54" fillId="14" borderId="97" xfId="0" applyFont="1" applyFill="1" applyBorder="1" applyAlignment="1" applyProtection="1">
      <alignment horizontal="center" vertical="center"/>
      <protection hidden="1"/>
    </xf>
    <xf numFmtId="0" fontId="42" fillId="0" borderId="100" xfId="0" applyFont="1" applyBorder="1" applyProtection="1">
      <protection hidden="1"/>
    </xf>
    <xf numFmtId="0" fontId="42" fillId="0" borderId="104" xfId="0" applyFont="1" applyBorder="1" applyProtection="1">
      <protection hidden="1"/>
    </xf>
    <xf numFmtId="0" fontId="41" fillId="0" borderId="98" xfId="0" applyFont="1" applyBorder="1" applyAlignment="1" applyProtection="1">
      <alignment horizontal="center" vertical="center"/>
      <protection hidden="1"/>
    </xf>
    <xf numFmtId="0" fontId="42" fillId="0" borderId="26" xfId="0" applyFont="1" applyBorder="1" applyProtection="1">
      <protection hidden="1"/>
    </xf>
    <xf numFmtId="0" fontId="42" fillId="0" borderId="105" xfId="0" applyFont="1" applyBorder="1" applyProtection="1">
      <protection hidden="1"/>
    </xf>
    <xf numFmtId="0" fontId="49" fillId="3" borderId="99" xfId="0" applyFont="1" applyFill="1" applyBorder="1" applyAlignment="1" applyProtection="1">
      <alignment horizontal="center" vertical="center" wrapText="1"/>
      <protection hidden="1"/>
    </xf>
    <xf numFmtId="0" fontId="42" fillId="0" borderId="101" xfId="0" applyFont="1" applyBorder="1" applyProtection="1">
      <protection hidden="1"/>
    </xf>
    <xf numFmtId="0" fontId="42" fillId="0" borderId="106" xfId="0" applyFont="1" applyBorder="1" applyProtection="1">
      <protection hidden="1"/>
    </xf>
    <xf numFmtId="0" fontId="55" fillId="0" borderId="161" xfId="0" applyFont="1" applyBorder="1" applyAlignment="1" applyProtection="1">
      <alignment horizontal="center" vertical="center"/>
      <protection hidden="1"/>
    </xf>
    <xf numFmtId="0" fontId="35" fillId="3" borderId="79" xfId="0" applyFont="1" applyFill="1" applyBorder="1" applyAlignment="1" applyProtection="1">
      <alignment horizontal="center" vertical="center" wrapText="1"/>
      <protection hidden="1"/>
    </xf>
    <xf numFmtId="0" fontId="52" fillId="3" borderId="79" xfId="0" applyFont="1" applyFill="1" applyBorder="1" applyAlignment="1" applyProtection="1">
      <alignment horizontal="center" vertical="center" wrapText="1"/>
      <protection hidden="1"/>
    </xf>
    <xf numFmtId="0" fontId="33" fillId="3" borderId="161" xfId="0" applyFont="1" applyFill="1" applyBorder="1" applyAlignment="1" applyProtection="1">
      <alignment horizontal="center" vertical="center" wrapText="1"/>
      <protection hidden="1"/>
    </xf>
    <xf numFmtId="0" fontId="51" fillId="8" borderId="0" xfId="0" applyFont="1" applyFill="1" applyAlignment="1" applyProtection="1">
      <alignment horizontal="center" vertical="center"/>
      <protection hidden="1"/>
    </xf>
    <xf numFmtId="0" fontId="42" fillId="0" borderId="0" xfId="0" applyFont="1" applyProtection="1">
      <protection hidden="1"/>
    </xf>
    <xf numFmtId="0" fontId="5" fillId="3" borderId="3" xfId="1" applyFont="1" applyFill="1" applyBorder="1" applyAlignment="1" applyProtection="1">
      <alignment horizontal="center" vertical="center"/>
      <protection hidden="1"/>
    </xf>
    <xf numFmtId="0" fontId="6" fillId="0" borderId="1" xfId="1" applyFont="1" applyBorder="1" applyProtection="1">
      <protection hidden="1"/>
    </xf>
    <xf numFmtId="0" fontId="6" fillId="0" borderId="2" xfId="1" applyFont="1" applyBorder="1" applyProtection="1">
      <protection hidden="1"/>
    </xf>
    <xf numFmtId="0" fontId="6" fillId="0" borderId="7" xfId="1" applyFont="1" applyBorder="1" applyProtection="1">
      <protection hidden="1"/>
    </xf>
    <xf numFmtId="0" fontId="6" fillId="0" borderId="27" xfId="1" applyFont="1" applyBorder="1" applyProtection="1">
      <protection hidden="1"/>
    </xf>
    <xf numFmtId="0" fontId="6" fillId="0" borderId="9" xfId="1" applyFont="1" applyBorder="1" applyProtection="1">
      <protection hidden="1"/>
    </xf>
    <xf numFmtId="0" fontId="6" fillId="0" borderId="8" xfId="1" applyFont="1" applyBorder="1" applyProtection="1">
      <protection hidden="1"/>
    </xf>
    <xf numFmtId="0" fontId="6" fillId="0" borderId="29" xfId="1" applyFont="1" applyBorder="1" applyProtection="1">
      <protection hidden="1"/>
    </xf>
    <xf numFmtId="0" fontId="7" fillId="10" borderId="0" xfId="1" applyFont="1" applyFill="1" applyAlignment="1" applyProtection="1">
      <alignment horizontal="center" vertical="center" wrapText="1"/>
      <protection hidden="1"/>
    </xf>
    <xf numFmtId="0" fontId="7" fillId="10" borderId="0" xfId="1" applyFont="1" applyFill="1" applyAlignment="1" applyProtection="1">
      <alignment horizontal="center" vertical="center" textRotation="90"/>
      <protection hidden="1"/>
    </xf>
    <xf numFmtId="0" fontId="24" fillId="6" borderId="33" xfId="1" applyFont="1" applyFill="1" applyBorder="1" applyAlignment="1" applyProtection="1">
      <alignment horizontal="center" vertical="center" wrapText="1"/>
      <protection hidden="1"/>
    </xf>
    <xf numFmtId="0" fontId="24" fillId="6" borderId="34" xfId="1" applyFont="1" applyFill="1" applyBorder="1" applyAlignment="1" applyProtection="1">
      <alignment horizontal="center" vertical="center" wrapText="1"/>
      <protection hidden="1"/>
    </xf>
    <xf numFmtId="0" fontId="24" fillId="6" borderId="35" xfId="1" applyFont="1" applyFill="1" applyBorder="1" applyAlignment="1" applyProtection="1">
      <alignment horizontal="center" vertical="center" wrapText="1"/>
      <protection hidden="1"/>
    </xf>
    <xf numFmtId="0" fontId="27" fillId="2" borderId="76" xfId="1" applyFont="1" applyFill="1" applyBorder="1" applyAlignment="1" applyProtection="1">
      <alignment horizontal="center" vertical="center" wrapText="1"/>
      <protection hidden="1"/>
    </xf>
    <xf numFmtId="0" fontId="27" fillId="2" borderId="61" xfId="1" applyFont="1" applyFill="1" applyBorder="1" applyAlignment="1" applyProtection="1">
      <alignment horizontal="center" vertical="center" wrapText="1"/>
      <protection hidden="1"/>
    </xf>
    <xf numFmtId="0" fontId="27" fillId="2" borderId="77" xfId="1" applyFont="1" applyFill="1" applyBorder="1" applyAlignment="1" applyProtection="1">
      <alignment horizontal="center" vertical="center" wrapText="1"/>
      <protection hidden="1"/>
    </xf>
    <xf numFmtId="0" fontId="27" fillId="2" borderId="39" xfId="1" applyFont="1" applyFill="1" applyBorder="1" applyAlignment="1" applyProtection="1">
      <alignment horizontal="center" vertical="center" wrapText="1"/>
      <protection hidden="1"/>
    </xf>
    <xf numFmtId="0" fontId="27" fillId="2" borderId="40" xfId="1" applyFont="1" applyFill="1" applyBorder="1" applyAlignment="1" applyProtection="1">
      <alignment horizontal="center" vertical="center" wrapText="1"/>
      <protection hidden="1"/>
    </xf>
    <xf numFmtId="0" fontId="27" fillId="2" borderId="41" xfId="1" applyFont="1" applyFill="1" applyBorder="1" applyAlignment="1" applyProtection="1">
      <alignment horizontal="center" vertical="center" wrapText="1"/>
      <protection hidden="1"/>
    </xf>
    <xf numFmtId="1" fontId="7" fillId="9" borderId="0" xfId="1" applyNumberFormat="1" applyFont="1" applyFill="1" applyAlignment="1" applyProtection="1">
      <alignment horizontal="center" vertical="center" wrapText="1"/>
      <protection hidden="1"/>
    </xf>
    <xf numFmtId="0" fontId="7" fillId="9" borderId="0" xfId="1" applyFont="1" applyFill="1" applyAlignment="1" applyProtection="1">
      <alignment horizontal="center" vertical="center" wrapText="1"/>
      <protection hidden="1"/>
    </xf>
    <xf numFmtId="0" fontId="7" fillId="9" borderId="0" xfId="1" applyFont="1" applyFill="1" applyAlignment="1" applyProtection="1">
      <alignment horizontal="center" vertical="center" textRotation="90"/>
      <protection hidden="1"/>
    </xf>
    <xf numFmtId="1" fontId="7" fillId="5" borderId="0" xfId="1" applyNumberFormat="1" applyFont="1" applyFill="1" applyAlignment="1" applyProtection="1">
      <alignment horizontal="center" vertical="center" wrapText="1"/>
      <protection hidden="1"/>
    </xf>
    <xf numFmtId="0" fontId="7" fillId="5" borderId="0" xfId="1" applyFont="1" applyFill="1" applyAlignment="1" applyProtection="1">
      <alignment horizontal="center" vertical="center" wrapText="1"/>
      <protection hidden="1"/>
    </xf>
    <xf numFmtId="0" fontId="24" fillId="2" borderId="0" xfId="1" applyFont="1" applyFill="1" applyAlignment="1" applyProtection="1">
      <alignment horizontal="center" vertical="center" wrapText="1"/>
      <protection hidden="1"/>
    </xf>
    <xf numFmtId="0" fontId="7" fillId="5" borderId="0" xfId="1" applyFont="1" applyFill="1" applyAlignment="1" applyProtection="1">
      <alignment horizontal="center" vertical="center" textRotation="90"/>
      <protection hidden="1"/>
    </xf>
    <xf numFmtId="1" fontId="47" fillId="0" borderId="171" xfId="0" applyNumberFormat="1" applyFont="1" applyBorder="1" applyAlignment="1" applyProtection="1">
      <alignment horizontal="center" vertical="center" wrapText="1"/>
      <protection hidden="1"/>
    </xf>
    <xf numFmtId="1" fontId="47" fillId="0" borderId="172" xfId="0" applyNumberFormat="1" applyFont="1" applyBorder="1" applyAlignment="1" applyProtection="1">
      <alignment horizontal="center" vertical="center" wrapText="1"/>
      <protection hidden="1"/>
    </xf>
    <xf numFmtId="1" fontId="47" fillId="0" borderId="173" xfId="0" applyNumberFormat="1" applyFont="1" applyBorder="1" applyAlignment="1" applyProtection="1">
      <alignment horizontal="center" vertical="center" wrapText="1"/>
      <protection hidden="1"/>
    </xf>
    <xf numFmtId="9" fontId="47" fillId="0" borderId="174" xfId="0" applyNumberFormat="1" applyFont="1" applyBorder="1" applyAlignment="1" applyProtection="1">
      <alignment horizontal="center" vertical="center"/>
      <protection hidden="1"/>
    </xf>
    <xf numFmtId="9" fontId="47" fillId="0" borderId="175" xfId="0" applyNumberFormat="1" applyFont="1" applyBorder="1" applyAlignment="1" applyProtection="1">
      <alignment horizontal="center" vertical="center"/>
      <protection hidden="1"/>
    </xf>
    <xf numFmtId="9" fontId="47" fillId="0" borderId="176" xfId="0" applyNumberFormat="1" applyFont="1" applyBorder="1" applyAlignment="1" applyProtection="1">
      <alignment horizontal="center" vertical="center"/>
      <protection hidden="1"/>
    </xf>
    <xf numFmtId="0" fontId="20" fillId="7" borderId="0" xfId="1" applyFont="1" applyFill="1" applyAlignment="1" applyProtection="1">
      <alignment horizontal="center" vertical="center" wrapText="1"/>
      <protection hidden="1"/>
    </xf>
    <xf numFmtId="1" fontId="47" fillId="0" borderId="174" xfId="0" applyNumberFormat="1" applyFont="1" applyBorder="1" applyAlignment="1" applyProtection="1">
      <alignment horizontal="center" vertical="center" wrapText="1"/>
      <protection hidden="1"/>
    </xf>
    <xf numFmtId="1" fontId="47" fillId="0" borderId="175" xfId="0" applyNumberFormat="1" applyFont="1" applyBorder="1" applyAlignment="1" applyProtection="1">
      <alignment horizontal="center" vertical="center" wrapText="1"/>
      <protection hidden="1"/>
    </xf>
    <xf numFmtId="1" fontId="47" fillId="0" borderId="176" xfId="0" applyNumberFormat="1" applyFont="1" applyBorder="1" applyAlignment="1" applyProtection="1">
      <alignment horizontal="center" vertical="center" wrapText="1"/>
      <protection hidden="1"/>
    </xf>
    <xf numFmtId="0" fontId="39" fillId="3" borderId="161" xfId="0" applyFont="1" applyFill="1" applyBorder="1" applyAlignment="1" applyProtection="1">
      <alignment horizontal="center" vertical="center" wrapText="1"/>
      <protection hidden="1"/>
    </xf>
    <xf numFmtId="0" fontId="42" fillId="0" borderId="161" xfId="0" applyFont="1" applyBorder="1" applyAlignment="1" applyProtection="1">
      <alignment horizontal="center" vertical="center"/>
      <protection hidden="1"/>
    </xf>
    <xf numFmtId="0" fontId="40" fillId="4" borderId="161" xfId="0" applyFont="1" applyFill="1" applyBorder="1" applyAlignment="1" applyProtection="1">
      <alignment horizontal="center" vertical="center" wrapText="1"/>
      <protection hidden="1"/>
    </xf>
    <xf numFmtId="0" fontId="0" fillId="0" borderId="161" xfId="0" applyBorder="1" applyAlignment="1" applyProtection="1">
      <alignment horizontal="center" vertical="center"/>
      <protection hidden="1"/>
    </xf>
    <xf numFmtId="0" fontId="40" fillId="4" borderId="67" xfId="0" applyFont="1" applyFill="1" applyBorder="1" applyAlignment="1" applyProtection="1">
      <alignment horizontal="center" vertical="center" wrapText="1"/>
      <protection hidden="1"/>
    </xf>
    <xf numFmtId="0" fontId="42" fillId="0" borderId="68" xfId="0" applyFont="1" applyBorder="1" applyAlignment="1" applyProtection="1">
      <alignment horizontal="center" vertical="center"/>
      <protection hidden="1"/>
    </xf>
    <xf numFmtId="0" fontId="42" fillId="0" borderId="69" xfId="0" applyFont="1" applyBorder="1" applyAlignment="1" applyProtection="1">
      <alignment horizontal="center" vertical="center"/>
      <protection hidden="1"/>
    </xf>
    <xf numFmtId="0" fontId="42" fillId="0" borderId="71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2" fillId="0" borderId="72" xfId="0" applyFont="1" applyBorder="1" applyAlignment="1" applyProtection="1">
      <alignment horizontal="center" vertical="center"/>
      <protection hidden="1"/>
    </xf>
    <xf numFmtId="0" fontId="42" fillId="0" borderId="73" xfId="0" applyFont="1" applyBorder="1" applyAlignment="1" applyProtection="1">
      <alignment horizontal="center" vertical="center"/>
      <protection hidden="1"/>
    </xf>
    <xf numFmtId="0" fontId="42" fillId="0" borderId="74" xfId="0" applyFont="1" applyBorder="1" applyAlignment="1" applyProtection="1">
      <alignment horizontal="center" vertical="center"/>
      <protection hidden="1"/>
    </xf>
    <xf numFmtId="0" fontId="42" fillId="0" borderId="75" xfId="0" applyFont="1" applyBorder="1" applyAlignment="1" applyProtection="1">
      <alignment horizontal="center" vertical="center"/>
      <protection hidden="1"/>
    </xf>
    <xf numFmtId="0" fontId="4" fillId="0" borderId="161" xfId="1" applyFont="1" applyBorder="1" applyAlignment="1" applyProtection="1">
      <alignment horizontal="left"/>
      <protection hidden="1"/>
    </xf>
    <xf numFmtId="0" fontId="2" fillId="0" borderId="161" xfId="1" applyBorder="1" applyProtection="1">
      <protection hidden="1"/>
    </xf>
    <xf numFmtId="0" fontId="6" fillId="0" borderId="161" xfId="1" applyFont="1" applyBorder="1" applyProtection="1">
      <protection hidden="1"/>
    </xf>
    <xf numFmtId="0" fontId="10" fillId="3" borderId="4" xfId="1" applyFont="1" applyFill="1" applyBorder="1" applyAlignment="1" applyProtection="1">
      <alignment horizontal="center"/>
      <protection hidden="1"/>
    </xf>
    <xf numFmtId="0" fontId="10" fillId="3" borderId="5" xfId="1" applyFont="1" applyFill="1" applyBorder="1" applyAlignment="1" applyProtection="1">
      <alignment horizontal="center"/>
      <protection hidden="1"/>
    </xf>
    <xf numFmtId="0" fontId="10" fillId="3" borderId="6" xfId="1" applyFont="1" applyFill="1" applyBorder="1" applyAlignment="1" applyProtection="1">
      <alignment horizontal="center"/>
      <protection hidden="1"/>
    </xf>
    <xf numFmtId="0" fontId="3" fillId="0" borderId="1" xfId="1" applyFont="1" applyBorder="1" applyAlignment="1" applyProtection="1">
      <alignment horizontal="center"/>
      <protection hidden="1"/>
    </xf>
    <xf numFmtId="0" fontId="6" fillId="0" borderId="16" xfId="1" applyFont="1" applyBorder="1" applyProtection="1">
      <protection hidden="1"/>
    </xf>
    <xf numFmtId="0" fontId="11" fillId="3" borderId="4" xfId="1" applyFont="1" applyFill="1" applyBorder="1" applyAlignment="1" applyProtection="1">
      <alignment horizontal="center"/>
      <protection hidden="1"/>
    </xf>
    <xf numFmtId="0" fontId="6" fillId="0" borderId="5" xfId="1" applyFont="1" applyBorder="1" applyProtection="1">
      <protection hidden="1"/>
    </xf>
    <xf numFmtId="0" fontId="6" fillId="0" borderId="6" xfId="1" applyFont="1" applyBorder="1" applyProtection="1">
      <protection hidden="1"/>
    </xf>
    <xf numFmtId="0" fontId="44" fillId="3" borderId="79" xfId="0" applyFont="1" applyFill="1" applyBorder="1" applyAlignment="1" applyProtection="1">
      <alignment horizontal="center" vertical="center" wrapText="1"/>
      <protection hidden="1"/>
    </xf>
    <xf numFmtId="0" fontId="11" fillId="3" borderId="132" xfId="1" applyFont="1" applyFill="1" applyBorder="1" applyAlignment="1" applyProtection="1">
      <alignment horizontal="center"/>
      <protection hidden="1"/>
    </xf>
    <xf numFmtId="0" fontId="11" fillId="3" borderId="133" xfId="1" applyFont="1" applyFill="1" applyBorder="1" applyAlignment="1" applyProtection="1">
      <alignment horizontal="center"/>
      <protection hidden="1"/>
    </xf>
    <xf numFmtId="0" fontId="11" fillId="3" borderId="115" xfId="1" applyFont="1" applyFill="1" applyBorder="1" applyAlignment="1" applyProtection="1">
      <alignment horizontal="center"/>
      <protection hidden="1"/>
    </xf>
    <xf numFmtId="0" fontId="5" fillId="3" borderId="161" xfId="1" applyFont="1" applyFill="1" applyBorder="1" applyAlignment="1" applyProtection="1">
      <alignment horizontal="center" vertical="center"/>
      <protection hidden="1"/>
    </xf>
    <xf numFmtId="0" fontId="7" fillId="2" borderId="5" xfId="1" applyFont="1" applyFill="1" applyBorder="1" applyAlignment="1" applyProtection="1">
      <alignment horizontal="left" vertical="center"/>
      <protection hidden="1"/>
    </xf>
    <xf numFmtId="0" fontId="7" fillId="2" borderId="6" xfId="1" applyFont="1" applyFill="1" applyBorder="1" applyAlignment="1" applyProtection="1">
      <alignment horizontal="left" vertical="center"/>
      <protection hidden="1"/>
    </xf>
    <xf numFmtId="0" fontId="18" fillId="4" borderId="24" xfId="1" applyFont="1" applyFill="1" applyBorder="1" applyAlignment="1" applyProtection="1">
      <alignment horizontal="center" vertical="center"/>
      <protection hidden="1"/>
    </xf>
    <xf numFmtId="0" fontId="6" fillId="0" borderId="26" xfId="1" applyFont="1" applyBorder="1" applyAlignment="1" applyProtection="1">
      <alignment horizontal="center" vertical="center"/>
      <protection hidden="1"/>
    </xf>
    <xf numFmtId="0" fontId="6" fillId="0" borderId="28" xfId="1" applyFont="1" applyBorder="1" applyAlignment="1" applyProtection="1">
      <alignment horizontal="center" vertical="center"/>
      <protection hidden="1"/>
    </xf>
    <xf numFmtId="0" fontId="19" fillId="4" borderId="24" xfId="1" applyFont="1" applyFill="1" applyBorder="1" applyAlignment="1" applyProtection="1">
      <alignment horizontal="center" vertical="center"/>
      <protection hidden="1"/>
    </xf>
    <xf numFmtId="0" fontId="18" fillId="4" borderId="161" xfId="1" applyFont="1" applyFill="1" applyBorder="1" applyAlignment="1" applyProtection="1">
      <alignment horizontal="center" vertical="center" wrapText="1"/>
      <protection hidden="1"/>
    </xf>
    <xf numFmtId="0" fontId="6" fillId="0" borderId="161" xfId="1" applyFont="1" applyBorder="1" applyAlignment="1" applyProtection="1">
      <alignment horizontal="center" vertical="center"/>
      <protection hidden="1"/>
    </xf>
    <xf numFmtId="0" fontId="2" fillId="0" borderId="161" xfId="1" applyBorder="1" applyAlignment="1" applyProtection="1">
      <alignment horizontal="center" vertical="center"/>
      <protection hidden="1"/>
    </xf>
    <xf numFmtId="0" fontId="1" fillId="21" borderId="107" xfId="0" applyFont="1" applyFill="1" applyBorder="1" applyAlignment="1" applyProtection="1">
      <alignment horizontal="center" vertical="center"/>
      <protection hidden="1"/>
    </xf>
    <xf numFmtId="0" fontId="1" fillId="21" borderId="108" xfId="0" applyFont="1" applyFill="1" applyBorder="1" applyAlignment="1" applyProtection="1">
      <alignment horizontal="center" vertical="center"/>
      <protection hidden="1"/>
    </xf>
    <xf numFmtId="0" fontId="1" fillId="21" borderId="109" xfId="0" applyFont="1" applyFill="1" applyBorder="1" applyAlignment="1" applyProtection="1">
      <alignment horizontal="center" vertical="center"/>
      <protection hidden="1"/>
    </xf>
    <xf numFmtId="0" fontId="1" fillId="21" borderId="132" xfId="0" applyFont="1" applyFill="1" applyBorder="1" applyAlignment="1" applyProtection="1">
      <alignment horizontal="center" vertical="center"/>
      <protection hidden="1"/>
    </xf>
    <xf numFmtId="0" fontId="1" fillId="21" borderId="133" xfId="0" applyFont="1" applyFill="1" applyBorder="1" applyAlignment="1" applyProtection="1">
      <alignment horizontal="center" vertical="center"/>
      <protection hidden="1"/>
    </xf>
    <xf numFmtId="0" fontId="1" fillId="21" borderId="115" xfId="0" applyFont="1" applyFill="1" applyBorder="1" applyAlignment="1" applyProtection="1">
      <alignment horizontal="center" vertical="center"/>
      <protection hidden="1"/>
    </xf>
    <xf numFmtId="0" fontId="1" fillId="21" borderId="62" xfId="0" applyFont="1" applyFill="1" applyBorder="1" applyAlignment="1" applyProtection="1">
      <alignment horizontal="center" vertical="center"/>
      <protection hidden="1"/>
    </xf>
    <xf numFmtId="1" fontId="7" fillId="0" borderId="159" xfId="1" applyNumberFormat="1" applyFont="1" applyBorder="1" applyAlignment="1" applyProtection="1">
      <alignment horizontal="center"/>
      <protection hidden="1"/>
    </xf>
    <xf numFmtId="0" fontId="7" fillId="0" borderId="160" xfId="1" applyFont="1" applyBorder="1" applyAlignment="1" applyProtection="1">
      <alignment horizontal="center"/>
      <protection hidden="1"/>
    </xf>
    <xf numFmtId="0" fontId="7" fillId="0" borderId="143" xfId="1" applyFont="1" applyBorder="1" applyAlignment="1" applyProtection="1">
      <alignment horizontal="center"/>
      <protection hidden="1"/>
    </xf>
    <xf numFmtId="0" fontId="6" fillId="0" borderId="34" xfId="1" applyFont="1" applyBorder="1" applyProtection="1">
      <protection hidden="1"/>
    </xf>
    <xf numFmtId="0" fontId="6" fillId="0" borderId="35" xfId="1" applyFont="1" applyBorder="1" applyProtection="1">
      <protection hidden="1"/>
    </xf>
    <xf numFmtId="0" fontId="27" fillId="2" borderId="37" xfId="1" applyFont="1" applyFill="1" applyBorder="1" applyAlignment="1" applyProtection="1">
      <alignment horizontal="center" vertical="center" wrapText="1"/>
      <protection hidden="1"/>
    </xf>
    <xf numFmtId="0" fontId="6" fillId="0" borderId="38" xfId="1" applyFont="1" applyBorder="1" applyProtection="1">
      <protection hidden="1"/>
    </xf>
    <xf numFmtId="0" fontId="6" fillId="0" borderId="39" xfId="1" applyFont="1" applyBorder="1" applyProtection="1">
      <protection hidden="1"/>
    </xf>
    <xf numFmtId="0" fontId="6" fillId="0" borderId="40" xfId="1" applyFont="1" applyBorder="1" applyProtection="1">
      <protection hidden="1"/>
    </xf>
    <xf numFmtId="0" fontId="6" fillId="0" borderId="41" xfId="1" applyFont="1" applyBorder="1" applyProtection="1">
      <protection hidden="1"/>
    </xf>
    <xf numFmtId="0" fontId="7" fillId="0" borderId="24" xfId="1" applyFont="1" applyBorder="1" applyAlignment="1" applyProtection="1">
      <alignment horizontal="center"/>
      <protection hidden="1"/>
    </xf>
    <xf numFmtId="0" fontId="6" fillId="0" borderId="26" xfId="1" applyFont="1" applyBorder="1" applyProtection="1">
      <protection hidden="1"/>
    </xf>
    <xf numFmtId="0" fontId="35" fillId="2" borderId="47" xfId="1" applyFont="1" applyFill="1" applyBorder="1" applyAlignment="1" applyProtection="1">
      <alignment horizontal="center" vertical="center" wrapText="1"/>
      <protection hidden="1"/>
    </xf>
    <xf numFmtId="0" fontId="6" fillId="0" borderId="46" xfId="1" applyFont="1" applyBorder="1" applyProtection="1">
      <protection hidden="1"/>
    </xf>
    <xf numFmtId="0" fontId="6" fillId="0" borderId="30" xfId="1" applyFont="1" applyBorder="1" applyProtection="1">
      <protection hidden="1"/>
    </xf>
    <xf numFmtId="0" fontId="24" fillId="2" borderId="47" xfId="1" applyFont="1" applyFill="1" applyBorder="1" applyAlignment="1" applyProtection="1">
      <alignment horizontal="center" vertical="center" wrapText="1"/>
      <protection hidden="1"/>
    </xf>
    <xf numFmtId="0" fontId="6" fillId="0" borderId="62" xfId="1" applyFont="1" applyBorder="1" applyAlignment="1" applyProtection="1">
      <alignment horizontal="center"/>
      <protection hidden="1"/>
    </xf>
    <xf numFmtId="0" fontId="6" fillId="0" borderId="28" xfId="1" applyFont="1" applyBorder="1" applyProtection="1">
      <protection hidden="1"/>
    </xf>
    <xf numFmtId="0" fontId="3" fillId="0" borderId="156" xfId="1" applyFont="1" applyBorder="1" applyAlignment="1" applyProtection="1">
      <alignment horizontal="center"/>
      <protection hidden="1"/>
    </xf>
    <xf numFmtId="0" fontId="3" fillId="0" borderId="157" xfId="1" applyFont="1" applyBorder="1" applyAlignment="1" applyProtection="1">
      <alignment horizontal="center"/>
      <protection hidden="1"/>
    </xf>
    <xf numFmtId="0" fontId="3" fillId="0" borderId="158" xfId="1" applyFont="1" applyBorder="1" applyAlignment="1" applyProtection="1">
      <alignment horizontal="center"/>
      <protection hidden="1"/>
    </xf>
    <xf numFmtId="0" fontId="15" fillId="0" borderId="24" xfId="1" applyFont="1" applyBorder="1" applyAlignment="1" applyProtection="1">
      <alignment horizontal="center"/>
      <protection hidden="1"/>
    </xf>
    <xf numFmtId="0" fontId="22" fillId="0" borderId="24" xfId="1" applyFont="1" applyBorder="1" applyAlignment="1" applyProtection="1">
      <alignment horizontal="center"/>
      <protection hidden="1"/>
    </xf>
    <xf numFmtId="0" fontId="8" fillId="3" borderId="24" xfId="1" applyFont="1" applyFill="1" applyBorder="1" applyAlignment="1" applyProtection="1">
      <alignment horizontal="center"/>
      <protection hidden="1"/>
    </xf>
    <xf numFmtId="0" fontId="8" fillId="0" borderId="4" xfId="1" applyFont="1" applyBorder="1" applyAlignment="1" applyProtection="1">
      <alignment horizontal="center"/>
      <protection hidden="1"/>
    </xf>
    <xf numFmtId="0" fontId="36" fillId="7" borderId="24" xfId="1" applyFont="1" applyFill="1" applyBorder="1" applyAlignment="1" applyProtection="1">
      <alignment horizontal="center"/>
      <protection hidden="1"/>
    </xf>
    <xf numFmtId="0" fontId="35" fillId="3" borderId="4" xfId="1" applyFont="1" applyFill="1" applyBorder="1" applyAlignment="1" applyProtection="1">
      <alignment horizontal="center" vertical="center"/>
      <protection hidden="1"/>
    </xf>
    <xf numFmtId="0" fontId="35" fillId="3" borderId="4" xfId="1" applyFont="1" applyFill="1" applyBorder="1" applyAlignment="1" applyProtection="1">
      <alignment horizontal="center"/>
      <protection hidden="1"/>
    </xf>
    <xf numFmtId="0" fontId="7" fillId="11" borderId="61" xfId="1" applyFont="1" applyFill="1" applyBorder="1" applyAlignment="1" applyProtection="1">
      <alignment horizontal="center" vertical="center" textRotation="90"/>
      <protection hidden="1"/>
    </xf>
    <xf numFmtId="0" fontId="7" fillId="11" borderId="61" xfId="1" applyFont="1" applyFill="1" applyBorder="1" applyAlignment="1" applyProtection="1">
      <alignment horizontal="center" vertical="center"/>
      <protection hidden="1"/>
    </xf>
    <xf numFmtId="0" fontId="31" fillId="2" borderId="0" xfId="1" applyFont="1" applyFill="1" applyAlignment="1" applyProtection="1">
      <alignment horizontal="center"/>
      <protection hidden="1"/>
    </xf>
    <xf numFmtId="0" fontId="7" fillId="10" borderId="32" xfId="1" applyFont="1" applyFill="1" applyBorder="1" applyAlignment="1" applyProtection="1">
      <alignment horizontal="center" vertical="center" textRotation="90"/>
      <protection hidden="1"/>
    </xf>
    <xf numFmtId="0" fontId="6" fillId="0" borderId="36" xfId="1" applyFont="1" applyBorder="1" applyProtection="1">
      <protection hidden="1"/>
    </xf>
    <xf numFmtId="0" fontId="6" fillId="0" borderId="43" xfId="1" applyFont="1" applyBorder="1" applyProtection="1">
      <protection hidden="1"/>
    </xf>
    <xf numFmtId="0" fontId="7" fillId="32" borderId="32" xfId="1" applyFont="1" applyFill="1" applyBorder="1" applyAlignment="1" applyProtection="1">
      <alignment horizontal="center" vertical="center" wrapText="1"/>
      <protection hidden="1"/>
    </xf>
    <xf numFmtId="0" fontId="6" fillId="32" borderId="36" xfId="1" applyFont="1" applyFill="1" applyBorder="1" applyProtection="1">
      <protection hidden="1"/>
    </xf>
    <xf numFmtId="0" fontId="7" fillId="10" borderId="32" xfId="1" applyFont="1" applyFill="1" applyBorder="1" applyAlignment="1" applyProtection="1">
      <alignment horizontal="center" vertical="center" wrapText="1"/>
      <protection hidden="1"/>
    </xf>
    <xf numFmtId="0" fontId="37" fillId="0" borderId="7" xfId="1" applyFont="1" applyBorder="1" applyAlignment="1" applyProtection="1">
      <alignment horizontal="center"/>
      <protection hidden="1"/>
    </xf>
    <xf numFmtId="0" fontId="20" fillId="3" borderId="7" xfId="1" applyFont="1" applyFill="1" applyBorder="1" applyAlignment="1" applyProtection="1">
      <alignment horizontal="center"/>
      <protection hidden="1"/>
    </xf>
    <xf numFmtId="0" fontId="6" fillId="32" borderId="43" xfId="1" applyFont="1" applyFill="1" applyBorder="1" applyProtection="1">
      <protection hidden="1"/>
    </xf>
    <xf numFmtId="0" fontId="7" fillId="9" borderId="32" xfId="1" applyFont="1" applyFill="1" applyBorder="1" applyAlignment="1" applyProtection="1">
      <alignment horizontal="center" vertical="center" wrapText="1"/>
      <protection hidden="1"/>
    </xf>
    <xf numFmtId="0" fontId="7" fillId="0" borderId="62" xfId="1" applyFont="1" applyBorder="1" applyAlignment="1" applyProtection="1">
      <alignment horizontal="center"/>
      <protection hidden="1"/>
    </xf>
    <xf numFmtId="0" fontId="15" fillId="0" borderId="62" xfId="1" applyFont="1" applyBorder="1" applyAlignment="1" applyProtection="1">
      <alignment horizontal="center"/>
      <protection hidden="1"/>
    </xf>
    <xf numFmtId="0" fontId="42" fillId="0" borderId="68" xfId="0" applyFont="1" applyBorder="1" applyProtection="1">
      <protection hidden="1"/>
    </xf>
    <xf numFmtId="0" fontId="42" fillId="0" borderId="69" xfId="0" applyFont="1" applyBorder="1" applyProtection="1">
      <protection hidden="1"/>
    </xf>
    <xf numFmtId="0" fontId="42" fillId="0" borderId="71" xfId="0" applyFont="1" applyBorder="1" applyProtection="1">
      <protection hidden="1"/>
    </xf>
    <xf numFmtId="0" fontId="0" fillId="0" borderId="0" xfId="0" applyProtection="1">
      <protection hidden="1"/>
    </xf>
    <xf numFmtId="0" fontId="42" fillId="0" borderId="72" xfId="0" applyFont="1" applyBorder="1" applyProtection="1">
      <protection hidden="1"/>
    </xf>
    <xf numFmtId="0" fontId="42" fillId="0" borderId="73" xfId="0" applyFont="1" applyBorder="1" applyProtection="1">
      <protection hidden="1"/>
    </xf>
    <xf numFmtId="0" fontId="42" fillId="0" borderId="74" xfId="0" applyFont="1" applyBorder="1" applyProtection="1">
      <protection hidden="1"/>
    </xf>
    <xf numFmtId="0" fontId="42" fillId="0" borderId="75" xfId="0" applyFont="1" applyBorder="1" applyProtection="1">
      <protection hidden="1"/>
    </xf>
    <xf numFmtId="0" fontId="39" fillId="3" borderId="63" xfId="0" applyFont="1" applyFill="1" applyBorder="1" applyAlignment="1" applyProtection="1">
      <alignment horizontal="center" vertical="center" wrapText="1"/>
      <protection hidden="1"/>
    </xf>
    <xf numFmtId="0" fontId="18" fillId="4" borderId="3" xfId="1" applyFont="1" applyFill="1" applyBorder="1" applyAlignment="1" applyProtection="1">
      <alignment horizontal="center" vertical="center"/>
      <protection hidden="1"/>
    </xf>
    <xf numFmtId="0" fontId="6" fillId="0" borderId="1" xfId="1" applyFont="1" applyBorder="1" applyAlignment="1" applyProtection="1">
      <alignment vertical="center"/>
      <protection hidden="1"/>
    </xf>
    <xf numFmtId="0" fontId="6" fillId="0" borderId="2" xfId="1" applyFont="1" applyBorder="1" applyAlignment="1" applyProtection="1">
      <alignment vertical="center"/>
      <protection hidden="1"/>
    </xf>
    <xf numFmtId="0" fontId="6" fillId="0" borderId="7" xfId="1" applyFont="1" applyBorder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6" fillId="0" borderId="27" xfId="1" applyFont="1" applyBorder="1" applyAlignment="1" applyProtection="1">
      <alignment vertical="center"/>
      <protection hidden="1"/>
    </xf>
    <xf numFmtId="0" fontId="6" fillId="0" borderId="9" xfId="1" applyFont="1" applyBorder="1" applyAlignment="1" applyProtection="1">
      <alignment vertical="center"/>
      <protection hidden="1"/>
    </xf>
    <xf numFmtId="0" fontId="6" fillId="0" borderId="8" xfId="1" applyFont="1" applyBorder="1" applyAlignment="1" applyProtection="1">
      <alignment vertical="center"/>
      <protection hidden="1"/>
    </xf>
    <xf numFmtId="0" fontId="6" fillId="0" borderId="29" xfId="1" applyFont="1" applyBorder="1" applyAlignment="1" applyProtection="1">
      <alignment vertical="center"/>
      <protection hidden="1"/>
    </xf>
    <xf numFmtId="0" fontId="6" fillId="0" borderId="26" xfId="1" applyFont="1" applyBorder="1" applyAlignment="1" applyProtection="1">
      <alignment vertical="center"/>
      <protection hidden="1"/>
    </xf>
    <xf numFmtId="0" fontId="6" fillId="0" borderId="28" xfId="1" applyFont="1" applyBorder="1" applyAlignment="1" applyProtection="1">
      <alignment vertical="center"/>
      <protection hidden="1"/>
    </xf>
    <xf numFmtId="0" fontId="18" fillId="4" borderId="3" xfId="1" applyFont="1" applyFill="1" applyBorder="1" applyAlignment="1" applyProtection="1">
      <alignment horizontal="center" vertical="center" wrapText="1"/>
      <protection hidden="1"/>
    </xf>
    <xf numFmtId="0" fontId="21" fillId="3" borderId="24" xfId="1" applyFont="1" applyFill="1" applyBorder="1" applyAlignment="1" applyProtection="1">
      <alignment horizontal="center" wrapText="1"/>
      <protection hidden="1"/>
    </xf>
    <xf numFmtId="0" fontId="21" fillId="3" borderId="24" xfId="1" applyFont="1" applyFill="1" applyBorder="1" applyAlignment="1" applyProtection="1">
      <alignment horizontal="center"/>
      <protection hidden="1"/>
    </xf>
    <xf numFmtId="0" fontId="4" fillId="0" borderId="0" xfId="1" applyFont="1" applyAlignment="1" applyProtection="1">
      <alignment horizontal="left"/>
      <protection hidden="1"/>
    </xf>
    <xf numFmtId="0" fontId="11" fillId="3" borderId="7" xfId="1" applyFont="1" applyFill="1" applyBorder="1" applyAlignment="1" applyProtection="1">
      <alignment horizontal="center"/>
      <protection hidden="1"/>
    </xf>
    <xf numFmtId="0" fontId="7" fillId="32" borderId="36" xfId="1" applyFont="1" applyFill="1" applyBorder="1" applyAlignment="1" applyProtection="1">
      <alignment horizontal="center" vertical="center" wrapText="1"/>
      <protection hidden="1"/>
    </xf>
    <xf numFmtId="0" fontId="7" fillId="32" borderId="43" xfId="1" applyFont="1" applyFill="1" applyBorder="1" applyAlignment="1" applyProtection="1">
      <alignment horizontal="center" vertical="center" wrapText="1"/>
      <protection hidden="1"/>
    </xf>
    <xf numFmtId="0" fontId="7" fillId="9" borderId="32" xfId="1" applyFont="1" applyFill="1" applyBorder="1" applyAlignment="1" applyProtection="1">
      <alignment horizontal="center" vertical="center" textRotation="90"/>
      <protection hidden="1"/>
    </xf>
    <xf numFmtId="0" fontId="7" fillId="5" borderId="118" xfId="1" applyFont="1" applyFill="1" applyBorder="1" applyAlignment="1" applyProtection="1">
      <alignment horizontal="center" vertical="center" wrapText="1"/>
      <protection hidden="1"/>
    </xf>
    <xf numFmtId="0" fontId="7" fillId="5" borderId="154" xfId="1" applyFont="1" applyFill="1" applyBorder="1" applyAlignment="1" applyProtection="1">
      <alignment horizontal="center" vertical="center" wrapText="1"/>
      <protection hidden="1"/>
    </xf>
    <xf numFmtId="0" fontId="7" fillId="5" borderId="61" xfId="1" applyFont="1" applyFill="1" applyBorder="1" applyAlignment="1" applyProtection="1">
      <alignment horizontal="center" vertical="center" textRotation="90"/>
      <protection hidden="1"/>
    </xf>
    <xf numFmtId="0" fontId="7" fillId="5" borderId="116" xfId="1" applyFont="1" applyFill="1" applyBorder="1" applyAlignment="1" applyProtection="1">
      <alignment horizontal="center" vertical="center" wrapText="1"/>
      <protection hidden="1"/>
    </xf>
    <xf numFmtId="1" fontId="63" fillId="26" borderId="0" xfId="0" applyNumberFormat="1" applyFont="1" applyFill="1" applyAlignment="1">
      <alignment horizontal="center" vertical="center"/>
    </xf>
    <xf numFmtId="0" fontId="63" fillId="24" borderId="139" xfId="0" applyFont="1" applyFill="1" applyBorder="1" applyAlignment="1">
      <alignment horizontal="center" vertical="center"/>
    </xf>
    <xf numFmtId="0" fontId="63" fillId="24" borderId="141" xfId="0" applyFont="1" applyFill="1" applyBorder="1" applyAlignment="1">
      <alignment horizontal="center" vertical="center"/>
    </xf>
    <xf numFmtId="0" fontId="63" fillId="24" borderId="139" xfId="0" applyFont="1" applyFill="1" applyBorder="1" applyAlignment="1">
      <alignment horizontal="center" wrapText="1"/>
    </xf>
    <xf numFmtId="0" fontId="63" fillId="24" borderId="140" xfId="0" applyFont="1" applyFill="1" applyBorder="1" applyAlignment="1">
      <alignment horizontal="center" wrapText="1"/>
    </xf>
    <xf numFmtId="0" fontId="63" fillId="24" borderId="141" xfId="0" applyFont="1" applyFill="1" applyBorder="1" applyAlignment="1">
      <alignment horizontal="center" wrapText="1"/>
    </xf>
    <xf numFmtId="0" fontId="63" fillId="25" borderId="139" xfId="0" applyFont="1" applyFill="1" applyBorder="1" applyAlignment="1">
      <alignment horizontal="center" vertical="center"/>
    </xf>
    <xf numFmtId="0" fontId="42" fillId="0" borderId="140" xfId="0" applyFont="1" applyBorder="1"/>
    <xf numFmtId="0" fontId="42" fillId="0" borderId="141" xfId="0" applyFont="1" applyBorder="1"/>
    <xf numFmtId="0" fontId="4" fillId="0" borderId="62" xfId="1" applyFont="1" applyBorder="1" applyAlignment="1" applyProtection="1">
      <alignment horizontal="center"/>
      <protection hidden="1"/>
    </xf>
    <xf numFmtId="0" fontId="4" fillId="0" borderId="147" xfId="1" applyFont="1" applyBorder="1" applyAlignment="1" applyProtection="1">
      <alignment horizontal="center"/>
      <protection hidden="1"/>
    </xf>
    <xf numFmtId="0" fontId="4" fillId="0" borderId="148" xfId="1" applyFont="1" applyBorder="1" applyAlignment="1" applyProtection="1">
      <alignment horizontal="center"/>
      <protection hidden="1"/>
    </xf>
    <xf numFmtId="0" fontId="4" fillId="0" borderId="149" xfId="1" applyFont="1" applyBorder="1" applyAlignment="1" applyProtection="1">
      <alignment horizontal="center"/>
      <protection hidden="1"/>
    </xf>
    <xf numFmtId="0" fontId="4" fillId="0" borderId="150" xfId="1" applyFont="1" applyBorder="1" applyAlignment="1" applyProtection="1">
      <alignment horizontal="center"/>
      <protection hidden="1"/>
    </xf>
    <xf numFmtId="0" fontId="4" fillId="0" borderId="127" xfId="1" applyFont="1" applyBorder="1" applyAlignment="1" applyProtection="1">
      <alignment horizontal="center"/>
      <protection hidden="1"/>
    </xf>
    <xf numFmtId="0" fontId="21" fillId="3" borderId="145" xfId="1" applyFont="1" applyFill="1" applyBorder="1" applyAlignment="1" applyProtection="1">
      <alignment horizontal="center" vertical="center"/>
      <protection hidden="1"/>
    </xf>
    <xf numFmtId="0" fontId="21" fillId="3" borderId="146" xfId="1" applyFont="1" applyFill="1" applyBorder="1" applyAlignment="1" applyProtection="1">
      <alignment horizontal="center" vertical="center"/>
      <protection hidden="1"/>
    </xf>
    <xf numFmtId="0" fontId="21" fillId="3" borderId="147" xfId="1" applyFont="1" applyFill="1" applyBorder="1" applyAlignment="1" applyProtection="1">
      <alignment horizontal="center" vertical="center"/>
      <protection hidden="1"/>
    </xf>
    <xf numFmtId="0" fontId="21" fillId="3" borderId="148" xfId="1" applyFont="1" applyFill="1" applyBorder="1" applyAlignment="1" applyProtection="1">
      <alignment horizontal="center" vertical="center"/>
      <protection hidden="1"/>
    </xf>
    <xf numFmtId="0" fontId="21" fillId="3" borderId="0" xfId="1" applyFont="1" applyFill="1" applyAlignment="1" applyProtection="1">
      <alignment horizontal="center" vertical="center"/>
      <protection hidden="1"/>
    </xf>
    <xf numFmtId="0" fontId="21" fillId="3" borderId="149" xfId="1" applyFont="1" applyFill="1" applyBorder="1" applyAlignment="1" applyProtection="1">
      <alignment horizontal="center" vertical="center"/>
      <protection hidden="1"/>
    </xf>
    <xf numFmtId="0" fontId="21" fillId="3" borderId="150" xfId="1" applyFont="1" applyFill="1" applyBorder="1" applyAlignment="1" applyProtection="1">
      <alignment horizontal="center" vertical="center"/>
      <protection hidden="1"/>
    </xf>
    <xf numFmtId="0" fontId="21" fillId="3" borderId="151" xfId="1" applyFont="1" applyFill="1" applyBorder="1" applyAlignment="1" applyProtection="1">
      <alignment horizontal="center" vertical="center"/>
      <protection hidden="1"/>
    </xf>
    <xf numFmtId="0" fontId="21" fillId="3" borderId="127" xfId="1" applyFont="1" applyFill="1" applyBorder="1" applyAlignment="1" applyProtection="1">
      <alignment horizontal="center" vertical="center"/>
      <protection hidden="1"/>
    </xf>
    <xf numFmtId="0" fontId="62" fillId="2" borderId="62" xfId="1" applyFont="1" applyFill="1" applyBorder="1" applyAlignment="1" applyProtection="1">
      <alignment horizontal="center" vertical="center"/>
      <protection hidden="1"/>
    </xf>
    <xf numFmtId="0" fontId="65" fillId="26" borderId="159" xfId="0" applyFont="1" applyFill="1" applyBorder="1" applyAlignment="1">
      <alignment horizontal="center" vertical="center" textRotation="90" wrapText="1"/>
    </xf>
    <xf numFmtId="0" fontId="42" fillId="0" borderId="160" xfId="0" applyFont="1" applyBorder="1"/>
    <xf numFmtId="0" fontId="42" fillId="0" borderId="143" xfId="0" applyFont="1" applyBorder="1"/>
    <xf numFmtId="0" fontId="74" fillId="6" borderId="0" xfId="1" applyFont="1" applyFill="1" applyAlignment="1" applyProtection="1">
      <alignment horizontal="center" vertical="center" wrapText="1"/>
      <protection hidden="1"/>
    </xf>
    <xf numFmtId="0" fontId="74" fillId="36" borderId="0" xfId="1" applyFont="1" applyFill="1" applyAlignment="1" applyProtection="1">
      <alignment horizontal="center" vertical="center" wrapText="1"/>
      <protection hidden="1"/>
    </xf>
    <xf numFmtId="0" fontId="63" fillId="26" borderId="0" xfId="0" applyFont="1" applyFill="1" applyAlignment="1">
      <alignment horizontal="center" vertical="center" wrapText="1"/>
    </xf>
    <xf numFmtId="0" fontId="63" fillId="28" borderId="0" xfId="0" applyFont="1" applyFill="1" applyAlignment="1">
      <alignment horizontal="center" vertical="center" wrapText="1"/>
    </xf>
    <xf numFmtId="0" fontId="42" fillId="0" borderId="0" xfId="0" applyFont="1"/>
    <xf numFmtId="1" fontId="63" fillId="28" borderId="0" xfId="0" applyNumberFormat="1" applyFont="1" applyFill="1" applyAlignment="1">
      <alignment horizontal="center" vertical="center"/>
    </xf>
    <xf numFmtId="0" fontId="63" fillId="29" borderId="159" xfId="0" applyFont="1" applyFill="1" applyBorder="1" applyAlignment="1">
      <alignment horizontal="center" vertical="center" textRotation="90"/>
    </xf>
    <xf numFmtId="0" fontId="63" fillId="29" borderId="0" xfId="0" applyFont="1" applyFill="1" applyAlignment="1">
      <alignment horizontal="center" vertical="center" wrapText="1"/>
    </xf>
    <xf numFmtId="1" fontId="63" fillId="29" borderId="0" xfId="0" applyNumberFormat="1" applyFont="1" applyFill="1" applyAlignment="1">
      <alignment horizontal="center" vertical="center"/>
    </xf>
    <xf numFmtId="0" fontId="65" fillId="28" borderId="159" xfId="0" applyFont="1" applyFill="1" applyBorder="1" applyAlignment="1">
      <alignment horizontal="center" vertical="center" textRotation="90" wrapText="1"/>
    </xf>
    <xf numFmtId="0" fontId="64" fillId="0" borderId="0" xfId="0" applyFont="1" applyAlignment="1">
      <alignment horizontal="left"/>
    </xf>
    <xf numFmtId="0" fontId="0" fillId="0" borderId="0" xfId="0"/>
    <xf numFmtId="0" fontId="68" fillId="0" borderId="0" xfId="0" applyFont="1"/>
    <xf numFmtId="0" fontId="63" fillId="24" borderId="144" xfId="0" applyFont="1" applyFill="1" applyBorder="1" applyAlignment="1">
      <alignment horizontal="center" vertical="center"/>
    </xf>
    <xf numFmtId="0" fontId="63" fillId="24" borderId="163" xfId="0" applyFont="1" applyFill="1" applyBorder="1" applyAlignment="1">
      <alignment horizontal="center" vertical="center"/>
    </xf>
    <xf numFmtId="0" fontId="63" fillId="24" borderId="165" xfId="0" applyFont="1" applyFill="1" applyBorder="1" applyAlignment="1">
      <alignment horizontal="center" vertical="center"/>
    </xf>
    <xf numFmtId="0" fontId="63" fillId="24" borderId="166" xfId="0" applyFont="1" applyFill="1" applyBorder="1" applyAlignment="1">
      <alignment horizontal="center" vertical="center"/>
    </xf>
    <xf numFmtId="0" fontId="63" fillId="24" borderId="167" xfId="0" applyFont="1" applyFill="1" applyBorder="1" applyAlignment="1">
      <alignment horizontal="center" vertical="center"/>
    </xf>
    <xf numFmtId="0" fontId="63" fillId="24" borderId="169" xfId="0" applyFont="1" applyFill="1" applyBorder="1" applyAlignment="1">
      <alignment horizontal="center" vertical="center"/>
    </xf>
    <xf numFmtId="0" fontId="63" fillId="24" borderId="144" xfId="0" applyFont="1" applyFill="1" applyBorder="1" applyAlignment="1">
      <alignment horizontal="center" vertical="center" wrapText="1"/>
    </xf>
    <xf numFmtId="0" fontId="42" fillId="0" borderId="164" xfId="0" applyFont="1" applyBorder="1"/>
    <xf numFmtId="0" fontId="42" fillId="0" borderId="163" xfId="0" applyFont="1" applyBorder="1"/>
    <xf numFmtId="0" fontId="42" fillId="0" borderId="165" xfId="0" applyFont="1" applyBorder="1"/>
    <xf numFmtId="0" fontId="0" fillId="0" borderId="166" xfId="0" applyBorder="1"/>
    <xf numFmtId="0" fontId="42" fillId="0" borderId="167" xfId="0" applyFont="1" applyBorder="1"/>
    <xf numFmtId="0" fontId="0" fillId="0" borderId="168" xfId="0" applyBorder="1"/>
    <xf numFmtId="0" fontId="0" fillId="0" borderId="169" xfId="0" applyBorder="1"/>
    <xf numFmtId="0" fontId="71" fillId="0" borderId="0" xfId="0" applyFont="1" applyAlignment="1">
      <alignment vertical="center"/>
    </xf>
    <xf numFmtId="0" fontId="72" fillId="7" borderId="159" xfId="0" applyFont="1" applyFill="1" applyBorder="1" applyAlignment="1">
      <alignment horizontal="center" vertical="center"/>
    </xf>
    <xf numFmtId="0" fontId="64" fillId="27" borderId="159" xfId="0" applyFont="1" applyFill="1" applyBorder="1" applyAlignment="1">
      <alignment horizontal="center" vertical="center"/>
    </xf>
    <xf numFmtId="0" fontId="63" fillId="10" borderId="144" xfId="0" applyFont="1" applyFill="1" applyBorder="1" applyAlignment="1">
      <alignment horizontal="center" vertical="center" wrapText="1"/>
    </xf>
    <xf numFmtId="0" fontId="64" fillId="8" borderId="0" xfId="0" applyFont="1" applyFill="1" applyAlignment="1">
      <alignment horizontal="center"/>
    </xf>
    <xf numFmtId="9" fontId="63" fillId="29" borderId="159" xfId="0" applyNumberFormat="1" applyFont="1" applyFill="1" applyBorder="1" applyAlignment="1">
      <alignment horizontal="center" vertical="center"/>
    </xf>
    <xf numFmtId="9" fontId="63" fillId="28" borderId="159" xfId="0" applyNumberFormat="1" applyFont="1" applyFill="1" applyBorder="1" applyAlignment="1">
      <alignment horizontal="center" vertical="center"/>
    </xf>
    <xf numFmtId="0" fontId="63" fillId="28" borderId="159" xfId="0" applyFont="1" applyFill="1" applyBorder="1" applyAlignment="1">
      <alignment horizontal="center" vertical="center"/>
    </xf>
    <xf numFmtId="1" fontId="63" fillId="26" borderId="159" xfId="0" applyNumberFormat="1" applyFont="1" applyFill="1" applyBorder="1" applyAlignment="1">
      <alignment horizontal="center" vertical="center"/>
    </xf>
    <xf numFmtId="9" fontId="63" fillId="26" borderId="159" xfId="0" applyNumberFormat="1" applyFont="1" applyFill="1" applyBorder="1" applyAlignment="1">
      <alignment horizontal="center" vertical="center"/>
    </xf>
    <xf numFmtId="0" fontId="63" fillId="29" borderId="159" xfId="0" applyFont="1" applyFill="1" applyBorder="1" applyAlignment="1">
      <alignment horizontal="center" vertical="center"/>
    </xf>
    <xf numFmtId="0" fontId="56" fillId="10" borderId="33" xfId="0" applyFont="1" applyFill="1" applyBorder="1" applyAlignment="1" applyProtection="1">
      <alignment horizontal="center" vertical="center" wrapText="1"/>
      <protection hidden="1"/>
    </xf>
    <xf numFmtId="0" fontId="42" fillId="0" borderId="34" xfId="0" applyFont="1" applyBorder="1" applyProtection="1">
      <protection hidden="1"/>
    </xf>
  </cellXfs>
  <cellStyles count="2">
    <cellStyle name="Normal" xfId="0" builtinId="0"/>
    <cellStyle name="Normal 2" xfId="1" xr:uid="{24CA1DEF-3E3A-4484-92CB-CA05B34324C4}"/>
  </cellStyles>
  <dxfs count="48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3</xdr:row>
          <xdr:rowOff>99060</xdr:rowOff>
        </xdr:from>
        <xdr:to>
          <xdr:col>3</xdr:col>
          <xdr:colOff>335280</xdr:colOff>
          <xdr:row>5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6</xdr:row>
          <xdr:rowOff>76200</xdr:rowOff>
        </xdr:from>
        <xdr:to>
          <xdr:col>3</xdr:col>
          <xdr:colOff>335280</xdr:colOff>
          <xdr:row>8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114300</xdr:rowOff>
        </xdr:from>
        <xdr:to>
          <xdr:col>3</xdr:col>
          <xdr:colOff>327660</xdr:colOff>
          <xdr:row>2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342900</xdr:colOff>
      <xdr:row>1</xdr:row>
      <xdr:rowOff>85725</xdr:rowOff>
    </xdr:from>
    <xdr:ext cx="3409950" cy="162877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96CBDC78-D86E-4921-805D-84ED0AA448D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08200" y="269875"/>
          <a:ext cx="3409950" cy="162877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342900</xdr:colOff>
      <xdr:row>1</xdr:row>
      <xdr:rowOff>85725</xdr:rowOff>
    </xdr:from>
    <xdr:ext cx="3409950" cy="162877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9F555DC4-8CD8-4B0A-ABFE-426AFC7EF07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08200" y="269875"/>
          <a:ext cx="3409950" cy="16287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70</xdr:col>
      <xdr:colOff>841375</xdr:colOff>
      <xdr:row>1</xdr:row>
      <xdr:rowOff>15875</xdr:rowOff>
    </xdr:from>
    <xdr:to>
      <xdr:col>75</xdr:col>
      <xdr:colOff>396875</xdr:colOff>
      <xdr:row>6</xdr:row>
      <xdr:rowOff>292100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7EAF696-6438-4984-87A6-AA55B26F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43250" y="206375"/>
          <a:ext cx="4000500" cy="3657600"/>
        </a:xfrm>
        <a:prstGeom prst="rect">
          <a:avLst/>
        </a:prstGeom>
      </xdr:spPr>
    </xdr:pic>
    <xdr:clientData/>
  </xdr:twoCellAnchor>
  <xdr:oneCellAnchor>
    <xdr:from>
      <xdr:col>2</xdr:col>
      <xdr:colOff>342900</xdr:colOff>
      <xdr:row>1</xdr:row>
      <xdr:rowOff>85725</xdr:rowOff>
    </xdr:from>
    <xdr:ext cx="3409950" cy="1628775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7E7EE05B-FF5C-4EBF-A11C-B1B210F3B0D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08200" y="269875"/>
          <a:ext cx="3409950" cy="16287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70</xdr:col>
      <xdr:colOff>841375</xdr:colOff>
      <xdr:row>1</xdr:row>
      <xdr:rowOff>15875</xdr:rowOff>
    </xdr:from>
    <xdr:to>
      <xdr:col>75</xdr:col>
      <xdr:colOff>387350</xdr:colOff>
      <xdr:row>6</xdr:row>
      <xdr:rowOff>295275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178CD27-D666-47CC-9DD2-79B85173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808675" y="200025"/>
          <a:ext cx="3968750" cy="3657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588738</xdr:colOff>
      <xdr:row>1</xdr:row>
      <xdr:rowOff>83002</xdr:rowOff>
    </xdr:from>
    <xdr:ext cx="1919512" cy="710747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B55B6047-06E8-42BD-B705-C2400617DEF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87238" y="267152"/>
          <a:ext cx="1919512" cy="710747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276</xdr:row>
      <xdr:rowOff>0</xdr:rowOff>
    </xdr:from>
    <xdr:ext cx="38100" cy="0"/>
    <xdr:grpSp>
      <xdr:nvGrpSpPr>
        <xdr:cNvPr id="2" name="Shape 2">
          <a:extLst>
            <a:ext uri="{FF2B5EF4-FFF2-40B4-BE49-F238E27FC236}">
              <a16:creationId xmlns:a16="http://schemas.microsoft.com/office/drawing/2014/main" id="{63DDF2F8-5B96-44C7-811A-1A664332FDED}"/>
            </a:ext>
          </a:extLst>
        </xdr:cNvPr>
        <xdr:cNvGrpSpPr/>
      </xdr:nvGrpSpPr>
      <xdr:grpSpPr>
        <a:xfrm>
          <a:off x="746760" y="52562760"/>
          <a:ext cx="38100" cy="0"/>
          <a:chOff x="5326950" y="3780000"/>
          <a:chExt cx="38100" cy="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BDB270F5-8B15-8EE7-7B31-4BECFF8B371D}"/>
              </a:ext>
            </a:extLst>
          </xdr:cNvPr>
          <xdr:cNvGrpSpPr/>
        </xdr:nvGrpSpPr>
        <xdr:grpSpPr>
          <a:xfrm>
            <a:off x="5326950" y="3780000"/>
            <a:ext cx="38100" cy="0"/>
            <a:chOff x="5336475" y="3780000"/>
            <a:chExt cx="19050" cy="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2886679E-A435-C0CF-E4D0-A882C831AB4C}"/>
                </a:ext>
              </a:extLst>
            </xdr:cNvPr>
            <xdr:cNvSpPr/>
          </xdr:nvSpPr>
          <xdr:spPr>
            <a:xfrm>
              <a:off x="5336475" y="3780000"/>
              <a:ext cx="190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4C62804E-F577-5FC5-96D9-564F0A3B4E58}"/>
                </a:ext>
              </a:extLst>
            </xdr:cNvPr>
            <xdr:cNvCxnSpPr/>
          </xdr:nvCxnSpPr>
          <xdr:spPr>
            <a:xfrm>
              <a:off x="5336475" y="3780000"/>
              <a:ext cx="19050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733425</xdr:colOff>
      <xdr:row>3</xdr:row>
      <xdr:rowOff>0</xdr:rowOff>
    </xdr:from>
    <xdr:ext cx="38100" cy="0"/>
    <xdr:grpSp>
      <xdr:nvGrpSpPr>
        <xdr:cNvPr id="2" name="Shape 2">
          <a:extLst>
            <a:ext uri="{FF2B5EF4-FFF2-40B4-BE49-F238E27FC236}">
              <a16:creationId xmlns:a16="http://schemas.microsoft.com/office/drawing/2014/main" id="{68B42399-FE58-40F6-AD47-0393D0ACB1D2}"/>
            </a:ext>
          </a:extLst>
        </xdr:cNvPr>
        <xdr:cNvGrpSpPr/>
      </xdr:nvGrpSpPr>
      <xdr:grpSpPr>
        <a:xfrm>
          <a:off x="10357485" y="624840"/>
          <a:ext cx="38100" cy="0"/>
          <a:chOff x="5326950" y="3780000"/>
          <a:chExt cx="38100" cy="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C26053C0-F2F9-8E9A-EAE4-D915C783967B}"/>
              </a:ext>
            </a:extLst>
          </xdr:cNvPr>
          <xdr:cNvGrpSpPr/>
        </xdr:nvGrpSpPr>
        <xdr:grpSpPr>
          <a:xfrm>
            <a:off x="5326950" y="3780000"/>
            <a:ext cx="38100" cy="0"/>
            <a:chOff x="5336475" y="3780000"/>
            <a:chExt cx="19050" cy="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C0DE93AD-429C-86B5-60EB-8C47BCAAF33D}"/>
                </a:ext>
              </a:extLst>
            </xdr:cNvPr>
            <xdr:cNvSpPr/>
          </xdr:nvSpPr>
          <xdr:spPr>
            <a:xfrm>
              <a:off x="5336475" y="3780000"/>
              <a:ext cx="190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920DE75E-B378-FF4B-C513-364F8B877FF6}"/>
                </a:ext>
              </a:extLst>
            </xdr:cNvPr>
            <xdr:cNvCxnSpPr/>
          </xdr:nvCxnSpPr>
          <xdr:spPr>
            <a:xfrm>
              <a:off x="5336475" y="3780000"/>
              <a:ext cx="19050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JOSE VERGARA ALFONSO" refreshedDate="45797.51163148148" createdVersion="8" refreshedVersion="8" minRefreshableVersion="3" recordCount="500" xr:uid="{4340E2A6-0A83-45CE-9600-6A366B853CA4}">
  <cacheSource type="worksheet">
    <worksheetSource ref="A1:G1048576" sheet="MAPEO PLAN DE ESTUDIO"/>
  </cacheSource>
  <cacheFields count="7">
    <cacheField name="SEMESTRE" numFmtId="0">
      <sharedItems containsBlank="1" containsMixedTypes="1" containsNumber="1" containsInteger="1" minValue="0" maxValue="0" count="3">
        <s v=""/>
        <m/>
        <n v="0" u="1"/>
      </sharedItems>
    </cacheField>
    <cacheField name="ASIGNATURA" numFmtId="0">
      <sharedItems containsBlank="1" containsMixedTypes="1" containsNumber="1" containsInteger="1" minValue="1" maxValue="10" count="12">
        <s v=""/>
        <m/>
        <n v="1" u="1"/>
        <n v="2" u="1"/>
        <n v="3" u="1"/>
        <n v="4" u="1"/>
        <n v="5" u="1"/>
        <n v="6" u="1"/>
        <n v="7" u="1"/>
        <n v="8" u="1"/>
        <n v="9" u="1"/>
        <n v="10" u="1"/>
      </sharedItems>
    </cacheField>
    <cacheField name="TIPOLOGÍA DE ASIGNATURA" numFmtId="0">
      <sharedItems containsBlank="1" count="5">
        <s v=""/>
        <m/>
        <s v="TP" u="1"/>
        <s v="P" u="1"/>
        <s v="T" u="1"/>
      </sharedItems>
    </cacheField>
    <cacheField name="CRÉDITOS ACADÉMICOS" numFmtId="0">
      <sharedItems containsBlank="1" containsMixedTypes="1" containsNumber="1" containsInteger="1" minValue="0" maxValue="5" count="8">
        <s v=""/>
        <m/>
        <n v="2" u="1"/>
        <n v="5" u="1"/>
        <n v="1" u="1"/>
        <n v="3" u="1"/>
        <n v="4" u="1"/>
        <n v="0" u="1"/>
      </sharedItems>
    </cacheField>
    <cacheField name="HORAS DE TRABAJO ACOMPAÑADO" numFmtId="0">
      <sharedItems containsBlank="1" containsMixedTypes="1" containsNumber="1" containsInteger="1" minValue="8" maxValue="200" count="15">
        <s v=""/>
        <m/>
        <n v="32" u="1"/>
        <n v="80" u="1"/>
        <n v="16" u="1"/>
        <n v="40" u="1"/>
        <n v="8" u="1"/>
        <n v="24" u="1"/>
        <n v="48" u="1"/>
        <n v="64" u="1"/>
        <n v="72" u="1"/>
        <n v="180" u="1"/>
        <n v="108" u="1"/>
        <n v="200" u="1"/>
        <n v="12" u="1"/>
      </sharedItems>
    </cacheField>
    <cacheField name="HORAS DE TRABAJO INDEPENDIENTE" numFmtId="0">
      <sharedItems containsBlank="1" containsMixedTypes="1" containsNumber="1" containsInteger="1" minValue="32" maxValue="240" count="13">
        <s v=""/>
        <m/>
        <n v="64" u="1"/>
        <n v="160" u="1"/>
        <n v="80" u="1"/>
        <n v="200" u="1"/>
        <n v="40" u="1"/>
        <n v="120" u="1"/>
        <n v="96" u="1"/>
        <n v="128" u="1"/>
        <n v="32" u="1"/>
        <n v="240" u="1"/>
        <n v="144" u="1"/>
      </sharedItems>
    </cacheField>
    <cacheField name="HORAS DE TRABAJO TOTALES" numFmtId="0">
      <sharedItems containsBlank="1" containsMixedTypes="1" containsNumber="1" containsInteger="1" minValue="48" maxValue="440" count="15">
        <s v=""/>
        <m/>
        <n v="96" u="1"/>
        <n v="240" u="1"/>
        <n v="48" u="1"/>
        <n v="144" u="1"/>
        <n v="192" u="1"/>
        <n v="168" u="1"/>
        <n v="420" u="1"/>
        <n v="252" u="1"/>
        <n v="176" u="1"/>
        <n v="440" u="1"/>
        <n v="104" u="1"/>
        <n v="52" u="1"/>
        <n v="20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"/>
    <x v="1"/>
    <x v="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7A5E93-EDFA-4C5A-BD6E-E6BC3AEC6909}" name="TablaDinámica2" cacheId="41" applyNumberFormats="0" applyBorderFormats="0" applyFontFormats="0" applyPatternFormats="0" applyAlignmentFormats="0" applyWidthHeightFormats="1" dataCaption="Valores" errorCaption="-" showError="1" missingCaption="-" updatedVersion="8" minRefreshableVersion="3" showDrill="0" useAutoFormatting="1" rowGrandTotals="0" colGrandTotals="0" itemPrintTitles="1" createdVersion="8" indent="0" compact="0" compactData="0" gridDropZones="1" multipleFieldFilters="0" fieldListSortAscending="1">
  <location ref="B3:N5" firstHeaderRow="2" firstDataRow="2" firstDataCol="7"/>
  <pivotFields count="7">
    <pivotField axis="axisRow" compact="0" outline="0" showAll="0" includeNewItemsInFilter="1" defaultSubtotal="0">
      <items count="3"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2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x="0"/>
        <item x="1"/>
      </items>
    </pivotField>
    <pivotField axis="axisRow" compact="0" outline="0" showAll="0" defaultSubtotal="0">
      <items count="5">
        <item x="0"/>
        <item m="1" x="2"/>
        <item x="1"/>
        <item m="1" x="4"/>
        <item m="1" x="3"/>
      </items>
    </pivotField>
    <pivotField axis="axisRow" compact="0" outline="0" showAll="0" defaultSubtotal="0">
      <items count="8">
        <item m="1" x="2"/>
        <item x="0"/>
        <item m="1" x="4"/>
        <item m="1" x="6"/>
        <item x="1"/>
        <item m="1" x="3"/>
        <item m="1" x="5"/>
        <item m="1" x="7"/>
      </items>
    </pivotField>
    <pivotField axis="axisRow" compact="0" outline="0" showAll="0" defaultSubtotal="0">
      <items count="15">
        <item m="1" x="8"/>
        <item x="0"/>
        <item m="1" x="7"/>
        <item m="1" x="14"/>
        <item x="1"/>
        <item m="1" x="2"/>
        <item m="1" x="3"/>
        <item m="1" x="13"/>
        <item m="1" x="10"/>
        <item m="1" x="11"/>
        <item m="1" x="12"/>
        <item m="1" x="4"/>
        <item m="1" x="9"/>
        <item m="1" x="5"/>
        <item m="1" x="6"/>
      </items>
    </pivotField>
    <pivotField axis="axisRow" compact="0" outline="0" showAll="0" defaultSubtotal="0">
      <items count="13">
        <item x="0"/>
        <item m="1" x="3"/>
        <item m="1" x="4"/>
        <item m="1" x="6"/>
        <item x="1"/>
        <item m="1" x="2"/>
        <item m="1" x="8"/>
        <item m="1" x="11"/>
        <item m="1" x="12"/>
        <item m="1" x="10"/>
        <item m="1" x="9"/>
        <item m="1" x="5"/>
        <item m="1" x="7"/>
      </items>
    </pivotField>
    <pivotField axis="axisRow" compact="0" outline="0" showAll="0">
      <items count="16">
        <item x="0"/>
        <item m="1" x="12"/>
        <item m="1" x="13"/>
        <item m="1" x="14"/>
        <item x="1"/>
        <item m="1" x="2"/>
        <item m="1" x="3"/>
        <item m="1" x="5"/>
        <item m="1" x="10"/>
        <item m="1" x="11"/>
        <item m="1" x="7"/>
        <item m="1" x="8"/>
        <item m="1" x="9"/>
        <item m="1" x="4"/>
        <item m="1" x="6"/>
        <item t="default"/>
      </items>
    </pivotField>
  </pivotFields>
  <rowFields count="7">
    <field x="0"/>
    <field x="1"/>
    <field x="2"/>
    <field x="3"/>
    <field x="4"/>
    <field x="5"/>
    <field x="6"/>
  </rowFields>
  <colItems count="1">
    <i/>
  </colItems>
  <formats count="38">
    <format dxfId="37">
      <pivotArea type="origin" dataOnly="0" labelOnly="1" outline="0" fieldPosition="0"/>
    </format>
    <format dxfId="36">
      <pivotArea field="0" type="button" dataOnly="0" labelOnly="1" outline="0" axis="axisRow" fieldPosition="0"/>
    </format>
    <format dxfId="35">
      <pivotArea field="1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field="3" type="button" dataOnly="0" labelOnly="1" outline="0" axis="axisRow" fieldPosition="3"/>
    </format>
    <format dxfId="32">
      <pivotArea field="4" type="button" dataOnly="0" labelOnly="1" outline="0" axis="axisRow" fieldPosition="4"/>
    </format>
    <format dxfId="31">
      <pivotArea field="5" type="button" dataOnly="0" labelOnly="1" outline="0" axis="axisRow" fieldPosition="5"/>
    </format>
    <format dxfId="30">
      <pivotArea field="6" type="button" dataOnly="0" labelOnly="1" outline="0" axis="axisRow" fieldPosition="6"/>
    </format>
    <format dxfId="29">
      <pivotArea type="topRight" dataOnly="0" labelOnly="1" outline="0" fieldPosition="0"/>
    </format>
    <format dxfId="28">
      <pivotArea type="origin" dataOnly="0" labelOnly="1" outline="0" fieldPosition="0"/>
    </format>
    <format dxfId="27">
      <pivotArea field="0" type="button" dataOnly="0" labelOnly="1" outline="0" axis="axisRow" fieldPosition="0"/>
    </format>
    <format dxfId="26">
      <pivotArea field="1" type="button" dataOnly="0" labelOnly="1" outline="0" axis="axisRow" fieldPosition="1"/>
    </format>
    <format dxfId="25">
      <pivotArea field="2" type="button" dataOnly="0" labelOnly="1" outline="0" axis="axisRow" fieldPosition="2"/>
    </format>
    <format dxfId="24">
      <pivotArea field="3" type="button" dataOnly="0" labelOnly="1" outline="0" axis="axisRow" fieldPosition="3"/>
    </format>
    <format dxfId="23">
      <pivotArea field="4" type="button" dataOnly="0" labelOnly="1" outline="0" axis="axisRow" fieldPosition="4"/>
    </format>
    <format dxfId="22">
      <pivotArea field="5" type="button" dataOnly="0" labelOnly="1" outline="0" axis="axisRow" fieldPosition="5"/>
    </format>
    <format dxfId="21">
      <pivotArea field="6" type="button" dataOnly="0" labelOnly="1" outline="0" axis="axisRow" fieldPosition="6"/>
    </format>
    <format dxfId="20">
      <pivotArea type="topRight" dataOnly="0" labelOnly="1" outline="0" fieldPosition="0"/>
    </format>
    <format dxfId="19">
      <pivotArea type="origin" dataOnly="0" labelOnly="1" outline="0" fieldPosition="0"/>
    </format>
    <format dxfId="18">
      <pivotArea field="0" type="button" dataOnly="0" labelOnly="1" outline="0" axis="axisRow" fieldPosition="0"/>
    </format>
    <format dxfId="17">
      <pivotArea field="1" type="button" dataOnly="0" labelOnly="1" outline="0" axis="axisRow" fieldPosition="1"/>
    </format>
    <format dxfId="16">
      <pivotArea field="2" type="button" dataOnly="0" labelOnly="1" outline="0" axis="axisRow" fieldPosition="2"/>
    </format>
    <format dxfId="15">
      <pivotArea field="3" type="button" dataOnly="0" labelOnly="1" outline="0" axis="axisRow" fieldPosition="3"/>
    </format>
    <format dxfId="14">
      <pivotArea field="4" type="button" dataOnly="0" labelOnly="1" outline="0" axis="axisRow" fieldPosition="4"/>
    </format>
    <format dxfId="13">
      <pivotArea field="5" type="button" dataOnly="0" labelOnly="1" outline="0" axis="axisRow" fieldPosition="5"/>
    </format>
    <format dxfId="12">
      <pivotArea field="6" type="button" dataOnly="0" labelOnly="1" outline="0" axis="axisRow" fieldPosition="6"/>
    </format>
    <format dxfId="11">
      <pivotArea type="topRight" dataOnly="0" labelOnly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0" type="button" dataOnly="0" labelOnly="1" outline="0" axis="axisRow" fieldPosition="0"/>
    </format>
    <format dxfId="6">
      <pivotArea field="1" type="button" dataOnly="0" labelOnly="1" outline="0" axis="axisRow" fieldPosition="1"/>
    </format>
    <format dxfId="5">
      <pivotArea field="2" type="button" dataOnly="0" labelOnly="1" outline="0" axis="axisRow" fieldPosition="2"/>
    </format>
    <format dxfId="4">
      <pivotArea field="3" type="button" dataOnly="0" labelOnly="1" outline="0" axis="axisRow" fieldPosition="3"/>
    </format>
    <format dxfId="3">
      <pivotArea field="4" type="button" dataOnly="0" labelOnly="1" outline="0" axis="axisRow" fieldPosition="4"/>
    </format>
    <format dxfId="2">
      <pivotArea field="5" type="button" dataOnly="0" labelOnly="1" outline="0" axis="axisRow" fieldPosition="5"/>
    </format>
    <format dxfId="1">
      <pivotArea field="6" type="button" dataOnly="0" labelOnly="1" outline="0" axis="axisRow" fieldPosition="6"/>
    </format>
    <format dxfId="0">
      <pivotArea type="topRight" dataOnly="0" labelOnly="1" outline="0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28214-BC92-44A1-8259-D726A64CB3E3}">
  <sheetPr codeName="Hoja1">
    <tabColor theme="9"/>
  </sheetPr>
  <dimension ref="A1:E9"/>
  <sheetViews>
    <sheetView tabSelected="1" zoomScale="112" zoomScaleNormal="54" workbookViewId="0">
      <selection activeCell="D5" sqref="D5"/>
    </sheetView>
  </sheetViews>
  <sheetFormatPr baseColWidth="10" defaultColWidth="0" defaultRowHeight="14.4" zeroHeight="1" x14ac:dyDescent="0.3"/>
  <cols>
    <col min="1" max="5" width="10.88671875" style="224" customWidth="1"/>
    <col min="6" max="16384" width="10.8867187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DuplicarHojasYGuardarComoValores">
                <anchor moveWithCells="1" sizeWithCells="1">
                  <from>
                    <xdr:col>1</xdr:col>
                    <xdr:colOff>129540</xdr:colOff>
                    <xdr:row>3</xdr:row>
                    <xdr:rowOff>99060</xdr:rowOff>
                  </from>
                  <to>
                    <xdr:col>3</xdr:col>
                    <xdr:colOff>335280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ELIMINAR">
                <anchor moveWithCells="1" sizeWithCells="1">
                  <from>
                    <xdr:col>1</xdr:col>
                    <xdr:colOff>129540</xdr:colOff>
                    <xdr:row>6</xdr:row>
                    <xdr:rowOff>76200</xdr:rowOff>
                  </from>
                  <to>
                    <xdr:col>3</xdr:col>
                    <xdr:colOff>335280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ACTUALIZAR">
                <anchor moveWithCells="1" sizeWithCells="1">
                  <from>
                    <xdr:col>1</xdr:col>
                    <xdr:colOff>114300</xdr:colOff>
                    <xdr:row>0</xdr:row>
                    <xdr:rowOff>114300</xdr:rowOff>
                  </from>
                  <to>
                    <xdr:col>3</xdr:col>
                    <xdr:colOff>327660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C0C3-96D3-42E5-BA4B-230563471A87}">
  <sheetPr codeName="Hoja2">
    <tabColor theme="9"/>
  </sheetPr>
  <dimension ref="A1:AH500"/>
  <sheetViews>
    <sheetView zoomScaleNormal="100" workbookViewId="0">
      <pane ySplit="1" topLeftCell="A2" activePane="bottomLeft" state="frozen"/>
      <selection activeCell="D6" sqref="D6"/>
      <selection pane="bottomLeft" sqref="A1:C1"/>
    </sheetView>
  </sheetViews>
  <sheetFormatPr baseColWidth="10" defaultColWidth="0" defaultRowHeight="14.4" zeroHeight="1" x14ac:dyDescent="0.3"/>
  <cols>
    <col min="1" max="1" width="38.6640625" style="234" bestFit="1" customWidth="1"/>
    <col min="2" max="2" width="21" style="229" customWidth="1"/>
    <col min="3" max="3" width="14.44140625" style="229" bestFit="1" customWidth="1"/>
    <col min="4" max="4" width="3.33203125" style="229" customWidth="1"/>
    <col min="5" max="5" width="40.33203125" style="234" bestFit="1" customWidth="1"/>
    <col min="6" max="6" width="53.6640625" style="234" bestFit="1" customWidth="1"/>
    <col min="7" max="7" width="23.6640625" style="229" bestFit="1" customWidth="1"/>
    <col min="8" max="8" width="8.33203125" style="229" customWidth="1"/>
    <col min="9" max="9" width="10.88671875" style="229" hidden="1" customWidth="1"/>
    <col min="10" max="10" width="14.33203125" style="230" customWidth="1"/>
    <col min="11" max="11" width="33.5546875" style="230" bestFit="1" customWidth="1"/>
    <col min="12" max="12" width="35.44140625" style="230" customWidth="1"/>
    <col min="13" max="14" width="16.5546875" style="230" customWidth="1"/>
    <col min="15" max="15" width="41.44140625" style="230" customWidth="1"/>
    <col min="16" max="17" width="21" style="230" customWidth="1"/>
    <col min="18" max="18" width="28.88671875" style="230" bestFit="1" customWidth="1"/>
    <col min="19" max="19" width="16.109375" style="1" customWidth="1"/>
    <col min="20" max="20" width="18.33203125" style="244" bestFit="1" customWidth="1"/>
    <col min="21" max="21" width="18.88671875" style="244" bestFit="1" customWidth="1"/>
    <col min="22" max="22" width="20.77734375" style="249" bestFit="1" customWidth="1"/>
    <col min="23" max="23" width="18.109375" style="244" hidden="1" customWidth="1"/>
    <col min="24" max="24" width="19.88671875" style="244" hidden="1" customWidth="1"/>
    <col min="25" max="25" width="28.6640625" style="244" hidden="1" customWidth="1"/>
    <col min="26" max="26" width="31.44140625" style="244" hidden="1" customWidth="1"/>
    <col min="27" max="27" width="29.33203125" style="244" hidden="1" customWidth="1"/>
    <col min="28" max="28" width="26.33203125" style="244" hidden="1" customWidth="1"/>
    <col min="29" max="29" width="7.33203125" style="247" hidden="1" customWidth="1"/>
    <col min="30" max="30" width="71.33203125" style="247" hidden="1" customWidth="1"/>
    <col min="31" max="31" width="70.33203125" style="247" hidden="1" customWidth="1"/>
    <col min="32" max="32" width="8.109375" style="247" hidden="1" customWidth="1"/>
    <col min="33" max="33" width="22.109375" style="247" hidden="1" customWidth="1"/>
    <col min="34" max="16384" width="10.88671875" style="234" hidden="1"/>
  </cols>
  <sheetData>
    <row r="1" spans="1:34" s="413" customFormat="1" ht="29.4" thickBot="1" x14ac:dyDescent="0.35">
      <c r="A1" s="490" t="s">
        <v>0</v>
      </c>
      <c r="B1" s="491"/>
      <c r="C1" s="492"/>
      <c r="D1" s="229"/>
      <c r="E1" s="483" t="s">
        <v>1</v>
      </c>
      <c r="F1" s="484"/>
      <c r="G1" s="485"/>
      <c r="H1" s="227"/>
      <c r="I1" s="229"/>
      <c r="J1" s="286" t="s">
        <v>2</v>
      </c>
      <c r="K1" s="411" t="s">
        <v>3</v>
      </c>
      <c r="L1" s="411" t="s">
        <v>4</v>
      </c>
      <c r="M1" s="411" t="s">
        <v>5</v>
      </c>
      <c r="N1" s="411" t="s">
        <v>235</v>
      </c>
      <c r="O1" s="411" t="s">
        <v>6</v>
      </c>
      <c r="P1" s="411" t="s">
        <v>7</v>
      </c>
      <c r="Q1" s="411" t="s">
        <v>236</v>
      </c>
      <c r="R1" s="411" t="s">
        <v>8</v>
      </c>
      <c r="S1" s="411" t="s">
        <v>9</v>
      </c>
      <c r="T1" s="408" t="s">
        <v>10</v>
      </c>
      <c r="U1" s="408" t="s">
        <v>11</v>
      </c>
      <c r="V1" s="408" t="s">
        <v>12</v>
      </c>
      <c r="W1" s="477" t="s">
        <v>13</v>
      </c>
      <c r="X1" s="478" t="s">
        <v>14</v>
      </c>
      <c r="Y1" s="478" t="s">
        <v>15</v>
      </c>
      <c r="Z1" s="478" t="s">
        <v>16</v>
      </c>
      <c r="AA1" s="478" t="s">
        <v>17</v>
      </c>
      <c r="AB1" s="479" t="s">
        <v>18</v>
      </c>
      <c r="AC1" s="480" t="s">
        <v>19</v>
      </c>
      <c r="AD1" s="481" t="s">
        <v>20</v>
      </c>
      <c r="AE1" s="481" t="s">
        <v>21</v>
      </c>
      <c r="AF1" s="481" t="s">
        <v>22</v>
      </c>
      <c r="AG1" s="482" t="s">
        <v>23</v>
      </c>
      <c r="AH1" s="413" t="s">
        <v>24</v>
      </c>
    </row>
    <row r="2" spans="1:34" ht="16.2" thickBot="1" x14ac:dyDescent="0.35">
      <c r="A2" s="278" t="s">
        <v>25</v>
      </c>
      <c r="B2" s="486" t="s">
        <v>26</v>
      </c>
      <c r="C2" s="487"/>
      <c r="E2" s="265" t="s">
        <v>27</v>
      </c>
      <c r="F2" s="253" t="s">
        <v>28</v>
      </c>
      <c r="G2" s="258" t="s">
        <v>29</v>
      </c>
      <c r="J2" s="412"/>
      <c r="K2" s="281" t="str">
        <f>IF($B$3="","",IF($B$3="PREGRADO",DATA!Q3,DATA!AB4))</f>
        <v/>
      </c>
      <c r="L2" s="281" t="str">
        <f>IF($B$3="","",IF($B$3="PREGRADO",DATA!R3,DATA!AC4))</f>
        <v/>
      </c>
      <c r="M2" s="281" t="str">
        <f>IF($B$3="","",IF($B$3="PREGRADO",DATA!S3,DATA!AD4))</f>
        <v/>
      </c>
      <c r="N2" s="412"/>
      <c r="O2" s="281" t="str">
        <f>IF($B$3="","",IF($B$3="PREGRADO",DATA!T3,DATA!AE4))</f>
        <v/>
      </c>
      <c r="P2" s="281" t="str">
        <f>IF($B$3="","",IF($B$3="PREGRADO",DATA!U3,DATA!AF4))</f>
        <v/>
      </c>
      <c r="Q2" s="412"/>
      <c r="R2" s="281" t="str">
        <f>IF($B$3="","",IF($B$3="PREGRADO",DATA!V3,DATA!AG4))</f>
        <v/>
      </c>
      <c r="S2" s="281" t="str">
        <f>IF($B$3="","",IF($B$3="PREGRADO",DATA!W3,DATA!AH4))</f>
        <v/>
      </c>
      <c r="T2" s="283" t="str" cm="1">
        <f t="array" ref="T2">IF($B$9="","",_xlfn.IFS($B$9="PRESENCIAL",_xlfn.XLOOKUP($S2,DATA!$B$4:$B$8,DATA!$D$4:$D$8,"",0,),$B$9="VIRTUAL",_xlfn.XLOOKUP($S2,DATA!$G$4:$G$8,DATA!$I$4:$I$8,"",0),$B$9="DISTANCIA",_xlfn.XLOOKUP($S2,DATA!$L$4:$L$8,DATA!$N$4:$N$8,"",0)))</f>
        <v/>
      </c>
      <c r="U2" s="283" t="str" cm="1">
        <f t="array" ref="U2">IF($B$9="","",_xlfn.IFS($B$9="PRESENCIAL",_xlfn.XLOOKUP($S2,DATA!$B$4:$B$8,DATA!$E$4:$E$8,"",0,),$B$9="VIRTUAL",_xlfn.XLOOKUP($S2,DATA!$G$4:$G$8,DATA!$J$4:$J$8,"",0),$B$9="DISTANCIA",_xlfn.XLOOKUP($S2,DATA!$L$4:$L$8,DATA!$O$4:$O$8,"",0)))</f>
        <v/>
      </c>
      <c r="V2" s="261" t="str">
        <f>IF($U2="","",T2+U2)</f>
        <v/>
      </c>
      <c r="W2" s="282"/>
      <c r="X2" s="282"/>
      <c r="Y2" s="282"/>
      <c r="Z2" s="282"/>
      <c r="AA2" s="282"/>
      <c r="AB2" s="284"/>
      <c r="AC2" s="262" t="str">
        <f>IF(AE2="","",COUNTIF($AE$1:AE2,AE2))</f>
        <v/>
      </c>
      <c r="AD2" s="261" t="str">
        <f>IF(J2='PLAN DE ESTUDIO'!$XFD$41,"",IF(AE2="","",AC2&amp;K2&amp;L2&amp;M2))</f>
        <v/>
      </c>
      <c r="AE2" s="261" t="str">
        <f>IF(J2='PLAN DE ESTUDIO'!$XFD$41,"",IF(AF2=1,K2&amp;L2&amp;M2,""))</f>
        <v/>
      </c>
      <c r="AF2" s="261">
        <f>COUNTIF($O$1:O2,$O2)</f>
        <v>1</v>
      </c>
      <c r="AG2" s="285" t="str">
        <f>IF(J2='PLAN DE ESTUDIO'!$XFD$41,"",IF(P2="TP","Teórico-Práctica",IF(P2="T","Teórico",IF(P2="P","Práctica",""))))</f>
        <v/>
      </c>
      <c r="AH2" s="234" t="str">
        <f>IF(AC2&lt;&gt;1," ",S2)</f>
        <v xml:space="preserve"> </v>
      </c>
    </row>
    <row r="3" spans="1:34" ht="36.450000000000003" customHeight="1" thickBot="1" x14ac:dyDescent="0.35">
      <c r="A3" s="253" t="s">
        <v>27</v>
      </c>
      <c r="B3" s="498"/>
      <c r="C3" s="499"/>
      <c r="E3" s="266" t="s">
        <v>30</v>
      </c>
      <c r="F3" s="270" t="s">
        <v>31</v>
      </c>
      <c r="G3" s="271" t="str">
        <f>IF(B3="PREGRADO",+SUMIFS($AH:$AH,$M:$M,"I SEMESTRE",$K:$K,"&lt;&gt;PROPEDÉUTICO")+SUMIFS($AH:$AH,$M:$M,"II SEMESTRE", $K:$K, "&lt;&gt;PROPEDÉUTICO") + SUMIFS($AH:$AH, $M:$M, "III SEMESTRE",$K:$K, "&lt;&gt;PROPEDÉUTICO") + SUMIFS($AH:$AH, $M:$M, "IV SEMESTRE", $K:$K, "&lt;&gt;PROPEDÉUTICO"),"")</f>
        <v/>
      </c>
      <c r="J3" s="412"/>
      <c r="K3" s="281" t="str">
        <f>IF($B$3="","",IF($B$3="PREGRADO",DATA!Q4,DATA!AB5))</f>
        <v/>
      </c>
      <c r="L3" s="281" t="str">
        <f>IF($B$3="","",IF($B$3="PREGRADO",DATA!R4,DATA!AC5))</f>
        <v/>
      </c>
      <c r="M3" s="281" t="str">
        <f>IF($B$3="","",IF($B$3="PREGRADO",DATA!S4,DATA!AD5))</f>
        <v/>
      </c>
      <c r="N3" s="412"/>
      <c r="O3" s="281" t="str">
        <f>IF($B$3="","",IF($B$3="PREGRADO",DATA!T4,DATA!AE5))</f>
        <v/>
      </c>
      <c r="P3" s="281" t="str">
        <f>IF($B$3="","",IF($B$3="PREGRADO",DATA!U4,DATA!AF5))</f>
        <v/>
      </c>
      <c r="Q3" s="412"/>
      <c r="R3" s="281" t="str">
        <f>IF($B$3="","",IF($B$3="PREGRADO",DATA!V4,DATA!AG5))</f>
        <v/>
      </c>
      <c r="S3" s="281" t="str">
        <f>IF($B$3="","",IF($B$3="PREGRADO",DATA!W4,DATA!AH5))</f>
        <v/>
      </c>
      <c r="T3" s="283" t="str" cm="1">
        <f t="array" ref="T3">IF($B$9="","",_xlfn.IFS($B$9="PRESENCIAL",_xlfn.XLOOKUP($S3,DATA!$B$4:$B$8,DATA!$D$4:$D$8,"",0,),$B$9="VIRTUAL",_xlfn.XLOOKUP($S3,DATA!$G$4:$G$8,DATA!$I$4:$I$8,"",0),$B$9="DISTANCIA",_xlfn.XLOOKUP($S3,DATA!$L$4:$L$8,DATA!$N$4:$N$8,"",0)))</f>
        <v/>
      </c>
      <c r="U3" s="283" t="str" cm="1">
        <f t="array" ref="U3">IF($B$9="","",_xlfn.IFS($B$9="PRESENCIAL",_xlfn.XLOOKUP($S3,DATA!$B$4:$B$8,DATA!$E$4:$E$8,"",0,),$B$9="VIRTUAL",_xlfn.XLOOKUP($S3,DATA!$G$4:$G$8,DATA!$J$4:$J$8,"",0),$B$9="DISTANCIA",_xlfn.XLOOKUP($S3,DATA!$L$4:$L$8,DATA!$O$4:$O$8,"",0)))</f>
        <v/>
      </c>
      <c r="V3" s="261" t="str">
        <f t="shared" ref="V3:V66" si="0">IF($U3="","",T3+U3)</f>
        <v/>
      </c>
      <c r="W3" s="282"/>
      <c r="X3" s="282"/>
      <c r="Y3" s="282"/>
      <c r="Z3" s="282"/>
      <c r="AA3" s="282"/>
      <c r="AB3" s="284"/>
      <c r="AC3" s="262" t="str">
        <f>IF(AE3="","",COUNTIF($AE$1:AE3,AE3))</f>
        <v/>
      </c>
      <c r="AD3" s="261" t="str">
        <f>IF(J3='PLAN DE ESTUDIO'!$XFD$41,"",IF(AE3="","",AC3&amp;K3&amp;L3&amp;M3))</f>
        <v/>
      </c>
      <c r="AE3" s="261" t="str">
        <f>IF(J3='PLAN DE ESTUDIO'!$XFD$41,"",IF(AF3=1,K3&amp;L3&amp;M3,""))</f>
        <v/>
      </c>
      <c r="AF3" s="261">
        <f>COUNTIF($O$1:O3,$O3)</f>
        <v>2</v>
      </c>
      <c r="AG3" s="285" t="str">
        <f>IF(J3='PLAN DE ESTUDIO'!$XFD$41,"",IF(P3="TP","Teórico-Práctica",IF(P3="T","Teórico",IF(P3="P","Práctica",""))))</f>
        <v/>
      </c>
      <c r="AH3" s="234" t="str">
        <f t="shared" ref="AH3:AH66" si="1">IF(AC3&lt;&gt;1," ",S3)</f>
        <v xml:space="preserve"> </v>
      </c>
    </row>
    <row r="4" spans="1:34" ht="46.95" customHeight="1" thickBot="1" x14ac:dyDescent="0.35">
      <c r="A4" s="408" t="s">
        <v>32</v>
      </c>
      <c r="B4" s="500"/>
      <c r="C4" s="501"/>
      <c r="E4" s="267" t="s">
        <v>33</v>
      </c>
      <c r="F4" s="270" t="s">
        <v>34</v>
      </c>
      <c r="G4" s="272" t="str">
        <f>IF(B3="PREGRADO",+SUMIFS($AH:$AH, $M:$M, "V SEMESTRE", $K:$K, "&lt;&gt;PROPEDÉUTICO") + SUMIFS($AH:$AH, $M:$M, "VI SEMESTRE", $K:$K, "&lt;&gt;PROPEDÉUTICO") + SUMIFS($AH:$AH, $M:$M, "VII SEMESTRE", $K:$K, "&lt;&gt;PROPEDÉUTICO")+SUMIFS($AH:$AH, $M:$M, "I SEMESTRE", $K:$K, "=PROPEDÉUTICO") + SUMIFS($AH:$AH, $M:$M, "II SEMESTRE", $K:$K, "=PROPEDÉUTICO") + SUMIFS($AH:$AH, $M:$M, "III SEMESTRE", $K:$K, "=PROPEDÉUTICO") + SUMIFS($AH:$AH, $M:$M, "IV SEMESTRE", $K:$K, "=PROPEDÉUTICO"),"")</f>
        <v/>
      </c>
      <c r="J4" s="412"/>
      <c r="K4" s="281" t="str">
        <f>IF($B$3="","",IF($B$3="PREGRADO",DATA!Q5,DATA!AB6))</f>
        <v/>
      </c>
      <c r="L4" s="281" t="str">
        <f>IF($B$3="","",IF($B$3="PREGRADO",DATA!R5,DATA!AC6))</f>
        <v/>
      </c>
      <c r="M4" s="281" t="str">
        <f>IF($B$3="","",IF($B$3="PREGRADO",DATA!S5,DATA!AD6))</f>
        <v/>
      </c>
      <c r="N4" s="412"/>
      <c r="O4" s="281" t="str">
        <f>IF($B$3="","",IF($B$3="PREGRADO",DATA!T5,DATA!AE6))</f>
        <v/>
      </c>
      <c r="P4" s="281" t="str">
        <f>IF($B$3="","",IF($B$3="PREGRADO",DATA!U5,DATA!AF6))</f>
        <v/>
      </c>
      <c r="Q4" s="412"/>
      <c r="R4" s="281" t="str">
        <f>IF($B$3="","",IF($B$3="PREGRADO",DATA!V5,DATA!AG6))</f>
        <v/>
      </c>
      <c r="S4" s="281" t="str">
        <f>IF($B$3="","",IF($B$3="PREGRADO",DATA!W5,DATA!AH6))</f>
        <v/>
      </c>
      <c r="T4" s="283" t="str" cm="1">
        <f t="array" ref="T4">IF($B$9="","",_xlfn.IFS($B$9="PRESENCIAL",_xlfn.XLOOKUP($S4,DATA!$B$4:$B$8,DATA!$D$4:$D$8,"",0,),$B$9="VIRTUAL",_xlfn.XLOOKUP($S4,DATA!$G$4:$G$8,DATA!$I$4:$I$8,"",0),$B$9="DISTANCIA",_xlfn.XLOOKUP($S4,DATA!$L$4:$L$8,DATA!$N$4:$N$8,"",0)))</f>
        <v/>
      </c>
      <c r="U4" s="283" t="str" cm="1">
        <f t="array" ref="U4">IF($B$9="","",_xlfn.IFS($B$9="PRESENCIAL",_xlfn.XLOOKUP($S4,DATA!$B$4:$B$8,DATA!$E$4:$E$8,"",0,),$B$9="VIRTUAL",_xlfn.XLOOKUP($S4,DATA!$G$4:$G$8,DATA!$J$4:$J$8,"",0),$B$9="DISTANCIA",_xlfn.XLOOKUP($S4,DATA!$L$4:$L$8,DATA!$O$4:$O$8,"",0)))</f>
        <v/>
      </c>
      <c r="V4" s="261" t="str">
        <f t="shared" si="0"/>
        <v/>
      </c>
      <c r="W4" s="282"/>
      <c r="X4" s="282"/>
      <c r="Y4" s="282"/>
      <c r="Z4" s="282"/>
      <c r="AA4" s="282"/>
      <c r="AB4" s="284"/>
      <c r="AC4" s="262" t="str">
        <f>IF(AE4="","",COUNTIF($AE$1:AE4,AE4))</f>
        <v/>
      </c>
      <c r="AD4" s="261" t="str">
        <f>IF(J4='PLAN DE ESTUDIO'!$XFD$41,"",IF(AE4="","",AC4&amp;K4&amp;L4&amp;M4))</f>
        <v/>
      </c>
      <c r="AE4" s="261" t="str">
        <f>IF(J4='PLAN DE ESTUDIO'!$XFD$41,"",IF(AF4=1,K4&amp;L4&amp;M4,""))</f>
        <v/>
      </c>
      <c r="AF4" s="261">
        <f>COUNTIF($O$1:O4,$O4)</f>
        <v>3</v>
      </c>
      <c r="AG4" s="285" t="str">
        <f>IF(J4='PLAN DE ESTUDIO'!$XFD$41,"",IF(P4="TP","Teórico-Práctica",IF(P4="T","Teórico",IF(P4="P","Práctica",""))))</f>
        <v/>
      </c>
      <c r="AH4" s="234" t="str">
        <f t="shared" si="1"/>
        <v xml:space="preserve"> </v>
      </c>
    </row>
    <row r="5" spans="1:34" ht="29.4" thickBot="1" x14ac:dyDescent="0.35">
      <c r="A5" s="253" t="s">
        <v>35</v>
      </c>
      <c r="B5" s="496"/>
      <c r="C5" s="497"/>
      <c r="E5" s="267" t="s">
        <v>36</v>
      </c>
      <c r="F5" s="273" t="s">
        <v>37</v>
      </c>
      <c r="G5" s="272" t="str">
        <f>IF(B3="PREGRADO",+SUMIFS($AH:$AH, $M:$M, "VIII SEMESTRE", $K:$K, "&lt;&gt;PROPEDÉUTICO") + SUMIFS($AH:$AH, $M:$M, "IX SEMESTRE", $K:$K, "&lt;&gt;PROPEDÉUTICO") + SUMIFS($AH:$AH, $M:$M, "X SEMESTRE", $K:$K, "&lt;&gt;PROPEDÉUTICO")+SUMIFS($AH:$AH, $M:$M, "I SEMESTRE", $K:$K, "=PROPEDÉUTICO") + SUMIFS($AH:$AH, $M:$M, "II SEMESTRE", $K:$K, "=PROPEDÉUTICO") + SUMIFS($AH:$AH, $M:$M, "III SEMESTRE", $K:$K, "=PROPEDÉUTICO") + SUMIFS($AH:$AH, $M:$M, "IV SEMESTRE", $K:$K, "=PROPEDÉUTICO")+SUMIFS($AH:$AH, $M:$M, "V SEMESTRE", $K:$K, "=PROPEDÉUTICO") + SUMIFS($AH:$AH, $M:$M, "VI SEMESTRE", $K:$K, "=PROPEDÉUTICO") + SUMIFS($AH:$AH, $M:$M, "VII SEMESTRE", $K:$K, "=PROPEDÉUTICO"),"")</f>
        <v/>
      </c>
      <c r="J5" s="412"/>
      <c r="K5" s="281" t="str">
        <f>IF($B$3="","",IF($B$3="PREGRADO",DATA!Q6,DATA!AB7))</f>
        <v/>
      </c>
      <c r="L5" s="281" t="str">
        <f>IF($B$3="","",IF($B$3="PREGRADO",DATA!R6,DATA!AC7))</f>
        <v/>
      </c>
      <c r="M5" s="281" t="str">
        <f>IF($B$3="","",IF($B$3="PREGRADO",DATA!S6,DATA!AD7))</f>
        <v/>
      </c>
      <c r="N5" s="412"/>
      <c r="O5" s="281" t="str">
        <f>IF($B$3="","",IF($B$3="PREGRADO",DATA!T6,DATA!AE7))</f>
        <v/>
      </c>
      <c r="P5" s="281" t="str">
        <f>IF($B$3="","",IF($B$3="PREGRADO",DATA!U6,DATA!AF7))</f>
        <v/>
      </c>
      <c r="Q5" s="412"/>
      <c r="R5" s="281" t="str">
        <f>IF($B$3="","",IF($B$3="PREGRADO",DATA!V6,DATA!AG7))</f>
        <v/>
      </c>
      <c r="S5" s="281" t="str">
        <f>IF($B$3="","",IF($B$3="PREGRADO",DATA!W6,DATA!AH7))</f>
        <v/>
      </c>
      <c r="T5" s="283" t="str" cm="1">
        <f t="array" ref="T5">IF($B$9="","",_xlfn.IFS($B$9="PRESENCIAL",_xlfn.XLOOKUP($S5,DATA!$B$4:$B$8,DATA!$D$4:$D$8,"",0,),$B$9="VIRTUAL",_xlfn.XLOOKUP($S5,DATA!$G$4:$G$8,DATA!$I$4:$I$8,"",0),$B$9="DISTANCIA",_xlfn.XLOOKUP($S5,DATA!$L$4:$L$8,DATA!$N$4:$N$8,"",0)))</f>
        <v/>
      </c>
      <c r="U5" s="283" t="str" cm="1">
        <f t="array" ref="U5">IF($B$9="","",_xlfn.IFS($B$9="PRESENCIAL",_xlfn.XLOOKUP($S5,DATA!$B$4:$B$8,DATA!$E$4:$E$8,"",0,),$B$9="VIRTUAL",_xlfn.XLOOKUP($S5,DATA!$G$4:$G$8,DATA!$J$4:$J$8,"",0),$B$9="DISTANCIA",_xlfn.XLOOKUP($S5,DATA!$L$4:$L$8,DATA!$O$4:$O$8,"",0)))</f>
        <v/>
      </c>
      <c r="V5" s="261" t="str">
        <f t="shared" si="0"/>
        <v/>
      </c>
      <c r="W5" s="282"/>
      <c r="X5" s="282"/>
      <c r="Y5" s="282"/>
      <c r="Z5" s="282"/>
      <c r="AA5" s="282"/>
      <c r="AB5" s="284"/>
      <c r="AC5" s="262" t="str">
        <f>IF(AE5="","",COUNTIF($AE$1:AE5,AE5))</f>
        <v/>
      </c>
      <c r="AD5" s="261" t="str">
        <f>IF(J5='PLAN DE ESTUDIO'!$XFD$41,"",IF(AE5="","",AC5&amp;K5&amp;L5&amp;M5))</f>
        <v/>
      </c>
      <c r="AE5" s="261" t="str">
        <f>IF(J5='PLAN DE ESTUDIO'!$XFD$41,"",IF(AF5=1,K5&amp;L5&amp;M5,""))</f>
        <v/>
      </c>
      <c r="AF5" s="261">
        <f>COUNTIF($O$1:O5,$O5)</f>
        <v>4</v>
      </c>
      <c r="AG5" s="285" t="str">
        <f>IF(J5='PLAN DE ESTUDIO'!$XFD$41,"",IF(P5="TP","Teórico-Práctica",IF(P5="T","Teórico",IF(P5="P","Práctica",""))))</f>
        <v/>
      </c>
      <c r="AH5" s="234" t="str">
        <f t="shared" si="1"/>
        <v xml:space="preserve"> </v>
      </c>
    </row>
    <row r="6" spans="1:34" ht="29.4" thickBot="1" x14ac:dyDescent="0.35">
      <c r="A6" s="253" t="s">
        <v>38</v>
      </c>
      <c r="B6" s="496"/>
      <c r="C6" s="497"/>
      <c r="E6" s="268" t="s">
        <v>39</v>
      </c>
      <c r="F6" s="274" t="s">
        <v>40</v>
      </c>
      <c r="G6" s="275" t="str">
        <f>IF(B3="PREGRADO",G3+G4+G5," ")</f>
        <v xml:space="preserve"> </v>
      </c>
      <c r="J6" s="412"/>
      <c r="K6" s="281" t="str">
        <f>IF($B$3="","",IF($B$3="PREGRADO",DATA!Q7,DATA!AB8))</f>
        <v/>
      </c>
      <c r="L6" s="281" t="str">
        <f>IF($B$3="","",IF($B$3="PREGRADO",DATA!R7,DATA!AC8))</f>
        <v/>
      </c>
      <c r="M6" s="281" t="str">
        <f>IF($B$3="","",IF($B$3="PREGRADO",DATA!S7,DATA!AD8))</f>
        <v/>
      </c>
      <c r="N6" s="412"/>
      <c r="O6" s="281" t="str">
        <f>IF($B$3="","",IF($B$3="PREGRADO",DATA!T7,DATA!AE8))</f>
        <v/>
      </c>
      <c r="P6" s="281" t="str">
        <f>IF($B$3="","",IF($B$3="PREGRADO",DATA!U7,DATA!AF8))</f>
        <v/>
      </c>
      <c r="Q6" s="412"/>
      <c r="R6" s="281" t="str">
        <f>IF($B$3="","",IF($B$3="PREGRADO",DATA!V7,DATA!AG8))</f>
        <v/>
      </c>
      <c r="S6" s="281" t="str">
        <f>IF($B$3="","",IF($B$3="PREGRADO",DATA!W7,DATA!AH8))</f>
        <v/>
      </c>
      <c r="T6" s="283" t="str" cm="1">
        <f t="array" ref="T6">IF($B$9="","",_xlfn.IFS($B$9="PRESENCIAL",_xlfn.XLOOKUP($S6,DATA!$B$4:$B$8,DATA!$D$4:$D$8,"",0,),$B$9="VIRTUAL",_xlfn.XLOOKUP($S6,DATA!$G$4:$G$8,DATA!$I$4:$I$8,"",0),$B$9="DISTANCIA",_xlfn.XLOOKUP($S6,DATA!$L$4:$L$8,DATA!$N$4:$N$8,"",0)))</f>
        <v/>
      </c>
      <c r="U6" s="283" t="str" cm="1">
        <f t="array" ref="U6">IF($B$9="","",_xlfn.IFS($B$9="PRESENCIAL",_xlfn.XLOOKUP($S6,DATA!$B$4:$B$8,DATA!$E$4:$E$8,"",0,),$B$9="VIRTUAL",_xlfn.XLOOKUP($S6,DATA!$G$4:$G$8,DATA!$J$4:$J$8,"",0),$B$9="DISTANCIA",_xlfn.XLOOKUP($S6,DATA!$L$4:$L$8,DATA!$O$4:$O$8,"",0)))</f>
        <v/>
      </c>
      <c r="V6" s="261" t="str">
        <f t="shared" si="0"/>
        <v/>
      </c>
      <c r="W6" s="282"/>
      <c r="X6" s="282"/>
      <c r="Y6" s="282"/>
      <c r="Z6" s="282"/>
      <c r="AA6" s="282"/>
      <c r="AB6" s="284"/>
      <c r="AC6" s="262" t="str">
        <f>IF(AE6="","",COUNTIF($AE$1:AE6,AE6))</f>
        <v/>
      </c>
      <c r="AD6" s="261" t="str">
        <f>IF(J6='PLAN DE ESTUDIO'!$XFD$41,"",IF(AE6="","",AC6&amp;K6&amp;L6&amp;M6))</f>
        <v/>
      </c>
      <c r="AE6" s="261" t="str">
        <f>IF(J6='PLAN DE ESTUDIO'!$XFD$41,"",IF(AF6=1,K6&amp;L6&amp;M6,""))</f>
        <v/>
      </c>
      <c r="AF6" s="261">
        <f>COUNTIF($O$1:O6,$O6)</f>
        <v>5</v>
      </c>
      <c r="AG6" s="285" t="str">
        <f>IF(J6='PLAN DE ESTUDIO'!$XFD$41,"",IF(P6="TP","Teórico-Práctica",IF(P6="T","Teórico",IF(P6="P","Práctica",""))))</f>
        <v/>
      </c>
      <c r="AH6" s="234" t="str">
        <f t="shared" si="1"/>
        <v xml:space="preserve"> </v>
      </c>
    </row>
    <row r="7" spans="1:34" ht="15" thickBot="1" x14ac:dyDescent="0.35">
      <c r="A7" s="253" t="s">
        <v>41</v>
      </c>
      <c r="B7" s="496"/>
      <c r="C7" s="497"/>
      <c r="E7" s="260" t="s">
        <v>42</v>
      </c>
      <c r="F7" s="276" t="s">
        <v>43</v>
      </c>
      <c r="G7" s="271" t="str">
        <f>IF(B3="POSGRADO",+SUMIFS($AH:$AH, $M:$M, "I SEMESTRE", $K:$K, "&lt;&gt;PROPEDÉUTICO"),"")</f>
        <v/>
      </c>
      <c r="J7" s="412"/>
      <c r="K7" s="281" t="str">
        <f>IF($B$3="","",IF($B$3="PREGRADO",DATA!Q8,DATA!AB9))</f>
        <v/>
      </c>
      <c r="L7" s="281" t="str">
        <f>IF($B$3="","",IF($B$3="PREGRADO",DATA!R8,DATA!AC9))</f>
        <v/>
      </c>
      <c r="M7" s="281" t="str">
        <f>IF($B$3="","",IF($B$3="PREGRADO",DATA!S8,DATA!AD9))</f>
        <v/>
      </c>
      <c r="N7" s="412"/>
      <c r="O7" s="281" t="str">
        <f>IF($B$3="","",IF($B$3="PREGRADO",DATA!T8,DATA!AE9))</f>
        <v/>
      </c>
      <c r="P7" s="281" t="str">
        <f>IF($B$3="","",IF($B$3="PREGRADO",DATA!U8,DATA!AF9))</f>
        <v/>
      </c>
      <c r="Q7" s="412"/>
      <c r="R7" s="281" t="str">
        <f>IF($B$3="","",IF($B$3="PREGRADO",DATA!V8,DATA!AG9))</f>
        <v/>
      </c>
      <c r="S7" s="281" t="str">
        <f>IF($B$3="","",IF($B$3="PREGRADO",DATA!W8,DATA!AH9))</f>
        <v/>
      </c>
      <c r="T7" s="283" t="str" cm="1">
        <f t="array" ref="T7">IF($B$9="","",_xlfn.IFS($B$9="PRESENCIAL",_xlfn.XLOOKUP($S7,DATA!$B$4:$B$8,DATA!$D$4:$D$8,"",0,),$B$9="VIRTUAL",_xlfn.XLOOKUP($S7,DATA!$G$4:$G$8,DATA!$I$4:$I$8,"",0),$B$9="DISTANCIA",_xlfn.XLOOKUP($S7,DATA!$L$4:$L$8,DATA!$N$4:$N$8,"",0)))</f>
        <v/>
      </c>
      <c r="U7" s="283" t="str" cm="1">
        <f t="array" ref="U7">IF($B$9="","",_xlfn.IFS($B$9="PRESENCIAL",_xlfn.XLOOKUP($S7,DATA!$B$4:$B$8,DATA!$E$4:$E$8,"",0,),$B$9="VIRTUAL",_xlfn.XLOOKUP($S7,DATA!$G$4:$G$8,DATA!$J$4:$J$8,"",0),$B$9="DISTANCIA",_xlfn.XLOOKUP($S7,DATA!$L$4:$L$8,DATA!$O$4:$O$8,"",0)))</f>
        <v/>
      </c>
      <c r="V7" s="261" t="str">
        <f t="shared" si="0"/>
        <v/>
      </c>
      <c r="W7" s="282"/>
      <c r="X7" s="282"/>
      <c r="Y7" s="282"/>
      <c r="Z7" s="282"/>
      <c r="AA7" s="282"/>
      <c r="AB7" s="284"/>
      <c r="AC7" s="262" t="str">
        <f>IF(AE7="","",COUNTIF($AE$1:AE7,AE7))</f>
        <v/>
      </c>
      <c r="AD7" s="261" t="str">
        <f>IF(J7='PLAN DE ESTUDIO'!$XFD$41,"",IF(AE7="","",AC7&amp;K7&amp;L7&amp;M7))</f>
        <v/>
      </c>
      <c r="AE7" s="261" t="str">
        <f>IF(J7='PLAN DE ESTUDIO'!$XFD$41,"",IF(AF7=1,K7&amp;L7&amp;M7,""))</f>
        <v/>
      </c>
      <c r="AF7" s="261">
        <f>COUNTIF($O$1:O7,$O7)</f>
        <v>6</v>
      </c>
      <c r="AG7" s="285" t="str">
        <f>IF(J7='PLAN DE ESTUDIO'!$XFD$41,"",IF(P7="TP","Teórico-Práctica",IF(P7="T","Teórico",IF(P7="P","Práctica",""))))</f>
        <v/>
      </c>
      <c r="AH7" s="234" t="str">
        <f t="shared" si="1"/>
        <v xml:space="preserve"> </v>
      </c>
    </row>
    <row r="8" spans="1:34" ht="15" thickBot="1" x14ac:dyDescent="0.35">
      <c r="A8" s="253" t="s">
        <v>44</v>
      </c>
      <c r="B8" s="496"/>
      <c r="C8" s="497"/>
      <c r="E8" s="255" t="s">
        <v>45</v>
      </c>
      <c r="F8" s="277" t="s">
        <v>43</v>
      </c>
      <c r="G8" s="272" t="str">
        <f>IF(B3="POSGRADO",+ SUMIFS($AH:$AH, $M:$M, "II SEMESTRE", $K:$K, "&lt;&gt;PROPEDÉUTICO"),"")</f>
        <v/>
      </c>
      <c r="J8" s="412"/>
      <c r="K8" s="281" t="str">
        <f>IF($B$3="","",IF($B$3="PREGRADO",DATA!Q9,DATA!AB10))</f>
        <v/>
      </c>
      <c r="L8" s="281" t="str">
        <f>IF($B$3="","",IF($B$3="PREGRADO",DATA!R9,DATA!AC10))</f>
        <v/>
      </c>
      <c r="M8" s="281" t="str">
        <f>IF($B$3="","",IF($B$3="PREGRADO",DATA!S9,DATA!AD10))</f>
        <v/>
      </c>
      <c r="N8" s="412"/>
      <c r="O8" s="281" t="str">
        <f>IF($B$3="","",IF($B$3="PREGRADO",DATA!T9,DATA!AE10))</f>
        <v/>
      </c>
      <c r="P8" s="281" t="str">
        <f>IF($B$3="","",IF($B$3="PREGRADO",DATA!U9,DATA!AF10))</f>
        <v/>
      </c>
      <c r="Q8" s="412"/>
      <c r="R8" s="281" t="str">
        <f>IF($B$3="","",IF($B$3="PREGRADO",DATA!V9,DATA!AG10))</f>
        <v/>
      </c>
      <c r="S8" s="281" t="str">
        <f>IF($B$3="","",IF($B$3="PREGRADO",DATA!W9,DATA!AH10))</f>
        <v/>
      </c>
      <c r="T8" s="283" t="str" cm="1">
        <f t="array" ref="T8">IF($B$9="","",_xlfn.IFS($B$9="PRESENCIAL",_xlfn.XLOOKUP($S8,DATA!$B$4:$B$8,DATA!$D$4:$D$8,"",0,),$B$9="VIRTUAL",_xlfn.XLOOKUP($S8,DATA!$G$4:$G$8,DATA!$I$4:$I$8,"",0),$B$9="DISTANCIA",_xlfn.XLOOKUP($S8,DATA!$L$4:$L$8,DATA!$N$4:$N$8,"",0)))</f>
        <v/>
      </c>
      <c r="U8" s="283" t="str" cm="1">
        <f t="array" ref="U8">IF($B$9="","",_xlfn.IFS($B$9="PRESENCIAL",_xlfn.XLOOKUP($S8,DATA!$B$4:$B$8,DATA!$E$4:$E$8,"",0,),$B$9="VIRTUAL",_xlfn.XLOOKUP($S8,DATA!$G$4:$G$8,DATA!$J$4:$J$8,"",0),$B$9="DISTANCIA",_xlfn.XLOOKUP($S8,DATA!$L$4:$L$8,DATA!$O$4:$O$8,"",0)))</f>
        <v/>
      </c>
      <c r="V8" s="261" t="str">
        <f t="shared" si="0"/>
        <v/>
      </c>
      <c r="W8" s="282"/>
      <c r="X8" s="282"/>
      <c r="Y8" s="282"/>
      <c r="Z8" s="282"/>
      <c r="AA8" s="282"/>
      <c r="AB8" s="284"/>
      <c r="AC8" s="262" t="str">
        <f>IF(AE8="","",COUNTIF($AE$1:AE8,AE8))</f>
        <v/>
      </c>
      <c r="AD8" s="261" t="str">
        <f>IF(J8='PLAN DE ESTUDIO'!$XFD$41,"",IF(AE8="","",AC8&amp;K8&amp;L8&amp;M8))</f>
        <v/>
      </c>
      <c r="AE8" s="261" t="str">
        <f>IF(J8='PLAN DE ESTUDIO'!$XFD$41,"",IF(AF8=1,K8&amp;L8&amp;M8,""))</f>
        <v/>
      </c>
      <c r="AF8" s="261">
        <f>COUNTIF($O$1:O8,$O8)</f>
        <v>7</v>
      </c>
      <c r="AG8" s="285" t="str">
        <f>IF(J8='PLAN DE ESTUDIO'!$XFD$41,"",IF(P8="TP","Teórico-Práctica",IF(P8="T","Teórico",IF(P8="P","Práctica",""))))</f>
        <v/>
      </c>
      <c r="AH8" s="234" t="str">
        <f t="shared" si="1"/>
        <v xml:space="preserve"> </v>
      </c>
    </row>
    <row r="9" spans="1:34" ht="32.700000000000003" customHeight="1" thickBot="1" x14ac:dyDescent="0.35">
      <c r="A9" s="253" t="s">
        <v>46</v>
      </c>
      <c r="B9" s="488"/>
      <c r="C9" s="489"/>
      <c r="E9" s="256" t="s">
        <v>47</v>
      </c>
      <c r="F9" s="274" t="s">
        <v>48</v>
      </c>
      <c r="G9" s="275" t="str">
        <f>IF(B3="POSGRADO",SUM(G7:G8),"")</f>
        <v/>
      </c>
      <c r="J9" s="412"/>
      <c r="K9" s="281" t="str">
        <f>IF($B$3="","",IF($B$3="PREGRADO",DATA!Q10,DATA!AB11))</f>
        <v/>
      </c>
      <c r="L9" s="281" t="str">
        <f>IF($B$3="","",IF($B$3="PREGRADO",DATA!R10,DATA!AC11))</f>
        <v/>
      </c>
      <c r="M9" s="281" t="str">
        <f>IF($B$3="","",IF($B$3="PREGRADO",DATA!S10,DATA!AD11))</f>
        <v/>
      </c>
      <c r="N9" s="412"/>
      <c r="O9" s="281" t="str">
        <f>IF($B$3="","",IF($B$3="PREGRADO",DATA!T10,DATA!AE11))</f>
        <v/>
      </c>
      <c r="P9" s="281" t="str">
        <f>IF($B$3="","",IF($B$3="PREGRADO",DATA!U10,DATA!AF11))</f>
        <v/>
      </c>
      <c r="Q9" s="412"/>
      <c r="R9" s="281" t="str">
        <f>IF($B$3="","",IF($B$3="PREGRADO",DATA!V10,DATA!AG11))</f>
        <v/>
      </c>
      <c r="S9" s="281" t="str">
        <f>IF($B$3="","",IF($B$3="PREGRADO",DATA!W10,DATA!AH11))</f>
        <v/>
      </c>
      <c r="T9" s="283" t="str" cm="1">
        <f t="array" ref="T9">IF($B$9="","",_xlfn.IFS($B$9="PRESENCIAL",_xlfn.XLOOKUP($S9,DATA!$B$4:$B$8,DATA!$D$4:$D$8,"",0,),$B$9="VIRTUAL",_xlfn.XLOOKUP($S9,DATA!$G$4:$G$8,DATA!$I$4:$I$8,"",0),$B$9="DISTANCIA",_xlfn.XLOOKUP($S9,DATA!$L$4:$L$8,DATA!$N$4:$N$8,"",0)))</f>
        <v/>
      </c>
      <c r="U9" s="283" t="str" cm="1">
        <f t="array" ref="U9">IF($B$9="","",_xlfn.IFS($B$9="PRESENCIAL",_xlfn.XLOOKUP($S9,DATA!$B$4:$B$8,DATA!$E$4:$E$8,"",0,),$B$9="VIRTUAL",_xlfn.XLOOKUP($S9,DATA!$G$4:$G$8,DATA!$J$4:$J$8,"",0),$B$9="DISTANCIA",_xlfn.XLOOKUP($S9,DATA!$L$4:$L$8,DATA!$O$4:$O$8,"",0)))</f>
        <v/>
      </c>
      <c r="V9" s="261" t="str">
        <f t="shared" si="0"/>
        <v/>
      </c>
      <c r="W9" s="282"/>
      <c r="X9" s="282"/>
      <c r="Y9" s="282"/>
      <c r="Z9" s="282"/>
      <c r="AA9" s="282"/>
      <c r="AB9" s="284"/>
      <c r="AC9" s="262" t="str">
        <f>IF(AE9="","",COUNTIF($AE$1:AE9,AE9))</f>
        <v/>
      </c>
      <c r="AD9" s="261" t="str">
        <f>IF(J9='PLAN DE ESTUDIO'!$XFD$41,"",IF(AE9="","",AC9&amp;K9&amp;L9&amp;M9))</f>
        <v/>
      </c>
      <c r="AE9" s="261" t="str">
        <f>IF(J9='PLAN DE ESTUDIO'!$XFD$41,"",IF(AF9=1,K9&amp;L9&amp;M9,""))</f>
        <v/>
      </c>
      <c r="AF9" s="261">
        <f>COUNTIF($O$1:O9,$O9)</f>
        <v>8</v>
      </c>
      <c r="AG9" s="285" t="str">
        <f>IF(J9='PLAN DE ESTUDIO'!$XFD$41,"",IF(P9="TP","Teórico-Práctica",IF(P9="T","Teórico",IF(P9="P","Práctica",""))))</f>
        <v/>
      </c>
      <c r="AH9" s="234" t="str">
        <f t="shared" si="1"/>
        <v xml:space="preserve"> </v>
      </c>
    </row>
    <row r="10" spans="1:34" x14ac:dyDescent="0.3">
      <c r="J10" s="412"/>
      <c r="K10" s="281" t="str">
        <f>IF($B$3="","",IF($B$3="PREGRADO",DATA!Q11,DATA!AB12))</f>
        <v/>
      </c>
      <c r="L10" s="281" t="str">
        <f>IF($B$3="","",IF($B$3="PREGRADO",DATA!R11,DATA!AC12))</f>
        <v/>
      </c>
      <c r="M10" s="281" t="str">
        <f>IF($B$3="","",IF($B$3="PREGRADO",DATA!S11,DATA!AD12))</f>
        <v/>
      </c>
      <c r="N10" s="412"/>
      <c r="O10" s="281" t="str">
        <f>IF($B$3="","",IF($B$3="PREGRADO",DATA!T11,DATA!AE12))</f>
        <v/>
      </c>
      <c r="P10" s="281" t="str">
        <f>IF($B$3="","",IF($B$3="PREGRADO",DATA!U11,DATA!AF12))</f>
        <v/>
      </c>
      <c r="Q10" s="412"/>
      <c r="R10" s="281" t="str">
        <f>IF($B$3="","",IF($B$3="PREGRADO",DATA!V11,DATA!AG12))</f>
        <v/>
      </c>
      <c r="S10" s="281" t="str">
        <f>IF($B$3="","",IF($B$3="PREGRADO",DATA!W11,DATA!AH12))</f>
        <v/>
      </c>
      <c r="T10" s="283" t="str" cm="1">
        <f t="array" ref="T10">IF($B$9="","",_xlfn.IFS($B$9="PRESENCIAL",_xlfn.XLOOKUP($S10,DATA!$B$4:$B$8,DATA!$D$4:$D$8,"",0,),$B$9="VIRTUAL",_xlfn.XLOOKUP($S10,DATA!$G$4:$G$8,DATA!$I$4:$I$8,"",0),$B$9="DISTANCIA",_xlfn.XLOOKUP($S10,DATA!$L$4:$L$8,DATA!$N$4:$N$8,"",0)))</f>
        <v/>
      </c>
      <c r="U10" s="283" t="str" cm="1">
        <f t="array" ref="U10">IF($B$9="","",_xlfn.IFS($B$9="PRESENCIAL",_xlfn.XLOOKUP($S10,DATA!$B$4:$B$8,DATA!$E$4:$E$8,"",0,),$B$9="VIRTUAL",_xlfn.XLOOKUP($S10,DATA!$G$4:$G$8,DATA!$J$4:$J$8,"",0),$B$9="DISTANCIA",_xlfn.XLOOKUP($S10,DATA!$L$4:$L$8,DATA!$O$4:$O$8,"",0)))</f>
        <v/>
      </c>
      <c r="V10" s="261" t="str">
        <f t="shared" si="0"/>
        <v/>
      </c>
      <c r="W10" s="282"/>
      <c r="X10" s="282"/>
      <c r="Y10" s="282"/>
      <c r="Z10" s="282"/>
      <c r="AA10" s="282"/>
      <c r="AB10" s="284"/>
      <c r="AC10" s="262" t="str">
        <f>IF(AE10="","",COUNTIF($AE$1:AE10,AE10))</f>
        <v/>
      </c>
      <c r="AD10" s="261" t="str">
        <f>IF(J10='PLAN DE ESTUDIO'!$XFD$41,"",IF(AE10="","",AC10&amp;K10&amp;L10&amp;M10))</f>
        <v/>
      </c>
      <c r="AE10" s="261" t="str">
        <f>IF(J10='PLAN DE ESTUDIO'!$XFD$41,"",IF(AF10=1,K10&amp;L10&amp;M10,""))</f>
        <v/>
      </c>
      <c r="AF10" s="261">
        <f>COUNTIF($O$1:O10,$O10)</f>
        <v>9</v>
      </c>
      <c r="AG10" s="285" t="str">
        <f>IF(J10='PLAN DE ESTUDIO'!$XFD$41,"",IF(P10="TP","Teórico-Práctica",IF(P10="T","Teórico",IF(P10="P","Práctica",""))))</f>
        <v/>
      </c>
      <c r="AH10" s="234" t="str">
        <f t="shared" si="1"/>
        <v xml:space="preserve"> </v>
      </c>
    </row>
    <row r="11" spans="1:34" x14ac:dyDescent="0.3">
      <c r="A11" s="493" t="s">
        <v>49</v>
      </c>
      <c r="B11" s="494"/>
      <c r="C11" s="495"/>
      <c r="J11" s="412"/>
      <c r="K11" s="281" t="str">
        <f>IF($B$3="","",IF($B$3="PREGRADO",DATA!Q12,DATA!AB13))</f>
        <v/>
      </c>
      <c r="L11" s="281" t="str">
        <f>IF($B$3="","",IF($B$3="PREGRADO",DATA!R12,DATA!AC13))</f>
        <v/>
      </c>
      <c r="M11" s="281" t="str">
        <f>IF($B$3="","",IF($B$3="PREGRADO",DATA!S12,DATA!AD13))</f>
        <v/>
      </c>
      <c r="N11" s="412"/>
      <c r="O11" s="281" t="str">
        <f>IF($B$3="","",IF($B$3="PREGRADO",DATA!T12,DATA!AE13))</f>
        <v/>
      </c>
      <c r="P11" s="281" t="str">
        <f>IF($B$3="","",IF($B$3="PREGRADO",DATA!U12,DATA!AF13))</f>
        <v/>
      </c>
      <c r="Q11" s="412"/>
      <c r="R11" s="281" t="str">
        <f>IF($B$3="","",IF($B$3="PREGRADO",DATA!V12,DATA!AG13))</f>
        <v/>
      </c>
      <c r="S11" s="281" t="str">
        <f>IF($B$3="","",IF($B$3="PREGRADO",DATA!W12,DATA!AH13))</f>
        <v/>
      </c>
      <c r="T11" s="283" t="str" cm="1">
        <f t="array" ref="T11">IF($B$9="","",_xlfn.IFS($B$9="PRESENCIAL",_xlfn.XLOOKUP($S11,DATA!$B$4:$B$8,DATA!$D$4:$D$8,"",0,),$B$9="VIRTUAL",_xlfn.XLOOKUP($S11,DATA!$G$4:$G$8,DATA!$I$4:$I$8,"",0),$B$9="DISTANCIA",_xlfn.XLOOKUP($S11,DATA!$L$4:$L$8,DATA!$N$4:$N$8,"",0)))</f>
        <v/>
      </c>
      <c r="U11" s="283" t="str" cm="1">
        <f t="array" ref="U11">IF($B$9="","",_xlfn.IFS($B$9="PRESENCIAL",_xlfn.XLOOKUP($S11,DATA!$B$4:$B$8,DATA!$E$4:$E$8,"",0,),$B$9="VIRTUAL",_xlfn.XLOOKUP($S11,DATA!$G$4:$G$8,DATA!$J$4:$J$8,"",0),$B$9="DISTANCIA",_xlfn.XLOOKUP($S11,DATA!$L$4:$L$8,DATA!$O$4:$O$8,"",0)))</f>
        <v/>
      </c>
      <c r="V11" s="261" t="str">
        <f t="shared" si="0"/>
        <v/>
      </c>
      <c r="W11" s="282"/>
      <c r="X11" s="282"/>
      <c r="Y11" s="282"/>
      <c r="Z11" s="282"/>
      <c r="AA11" s="282"/>
      <c r="AB11" s="284"/>
      <c r="AC11" s="262" t="str">
        <f>IF(AE11="","",COUNTIF($AE$1:AE11,AE11))</f>
        <v/>
      </c>
      <c r="AD11" s="261" t="str">
        <f>IF(J11='PLAN DE ESTUDIO'!$XFD$41,"",IF(AE11="","",AC11&amp;K11&amp;L11&amp;M11))</f>
        <v/>
      </c>
      <c r="AE11" s="261" t="str">
        <f>IF(J11='PLAN DE ESTUDIO'!$XFD$41,"",IF(AF11=1,K11&amp;L11&amp;M11,""))</f>
        <v/>
      </c>
      <c r="AF11" s="261">
        <f>COUNTIF($O$1:O11,$O11)</f>
        <v>10</v>
      </c>
      <c r="AG11" s="285" t="str">
        <f>IF(J11='PLAN DE ESTUDIO'!$XFD$41,"",IF(P11="TP","Teórico-Práctica",IF(P11="T","Teórico",IF(P11="P","Práctica",""))))</f>
        <v/>
      </c>
      <c r="AH11" s="234" t="str">
        <f t="shared" si="1"/>
        <v xml:space="preserve"> </v>
      </c>
    </row>
    <row r="12" spans="1:34" ht="15" thickBot="1" x14ac:dyDescent="0.35">
      <c r="A12" s="409" t="s">
        <v>19</v>
      </c>
      <c r="B12" s="418" t="s">
        <v>50</v>
      </c>
      <c r="C12" s="430" t="s">
        <v>51</v>
      </c>
      <c r="J12" s="412"/>
      <c r="K12" s="281" t="str">
        <f>IF($B$3="","",IF($B$3="PREGRADO",DATA!Q13,DATA!AB14))</f>
        <v/>
      </c>
      <c r="L12" s="281" t="str">
        <f>IF($B$3="","",IF($B$3="PREGRADO",DATA!R13,DATA!AC14))</f>
        <v/>
      </c>
      <c r="M12" s="281" t="str">
        <f>IF($B$3="","",IF($B$3="PREGRADO",DATA!S13,DATA!AD14))</f>
        <v/>
      </c>
      <c r="N12" s="412"/>
      <c r="O12" s="281" t="str">
        <f>IF($B$3="","",IF($B$3="PREGRADO",DATA!T13,DATA!AE14))</f>
        <v/>
      </c>
      <c r="P12" s="281" t="str">
        <f>IF($B$3="","",IF($B$3="PREGRADO",DATA!U13,DATA!AF14))</f>
        <v/>
      </c>
      <c r="Q12" s="412"/>
      <c r="R12" s="281" t="str">
        <f>IF($B$3="","",IF($B$3="PREGRADO",DATA!V13,DATA!AG14))</f>
        <v/>
      </c>
      <c r="S12" s="281" t="str">
        <f>IF($B$3="","",IF($B$3="PREGRADO",DATA!W13,DATA!AH14))</f>
        <v/>
      </c>
      <c r="T12" s="283" t="str" cm="1">
        <f t="array" ref="T12">IF($B$9="","",_xlfn.IFS($B$9="PRESENCIAL",_xlfn.XLOOKUP($S12,DATA!$B$4:$B$8,DATA!$D$4:$D$8,"",0,),$B$9="VIRTUAL",_xlfn.XLOOKUP($S12,DATA!$G$4:$G$8,DATA!$I$4:$I$8,"",0),$B$9="DISTANCIA",_xlfn.XLOOKUP($S12,DATA!$L$4:$L$8,DATA!$N$4:$N$8,"",0)))</f>
        <v/>
      </c>
      <c r="U12" s="283" t="str" cm="1">
        <f t="array" ref="U12">IF($B$9="","",_xlfn.IFS($B$9="PRESENCIAL",_xlfn.XLOOKUP($S12,DATA!$B$4:$B$8,DATA!$E$4:$E$8,"",0,),$B$9="VIRTUAL",_xlfn.XLOOKUP($S12,DATA!$G$4:$G$8,DATA!$J$4:$J$8,"",0),$B$9="DISTANCIA",_xlfn.XLOOKUP($S12,DATA!$L$4:$L$8,DATA!$O$4:$O$8,"",0)))</f>
        <v/>
      </c>
      <c r="V12" s="261" t="str">
        <f t="shared" si="0"/>
        <v/>
      </c>
      <c r="W12" s="282"/>
      <c r="X12" s="282"/>
      <c r="Y12" s="282"/>
      <c r="Z12" s="282"/>
      <c r="AA12" s="282"/>
      <c r="AB12" s="284"/>
      <c r="AC12" s="262" t="str">
        <f>IF(AE12="","",COUNTIF($AE$1:AE12,AE12))</f>
        <v/>
      </c>
      <c r="AD12" s="261" t="str">
        <f>IF(J12='PLAN DE ESTUDIO'!$XFD$41,"",IF(AE12="","",AC12&amp;K12&amp;L12&amp;M12))</f>
        <v/>
      </c>
      <c r="AE12" s="261" t="str">
        <f>IF(J12='PLAN DE ESTUDIO'!$XFD$41,"",IF(AF12=1,K12&amp;L12&amp;M12,""))</f>
        <v/>
      </c>
      <c r="AF12" s="261">
        <f>COUNTIF($O$1:O12,$O12)</f>
        <v>11</v>
      </c>
      <c r="AG12" s="285" t="str">
        <f>IF(J12='PLAN DE ESTUDIO'!$XFD$41,"",IF(P12="TP","Teórico-Práctica",IF(P12="T","Teórico",IF(P12="P","Práctica",""))))</f>
        <v/>
      </c>
      <c r="AH12" s="234" t="str">
        <f t="shared" si="1"/>
        <v xml:space="preserve"> </v>
      </c>
    </row>
    <row r="13" spans="1:34" ht="14.7" customHeight="1" x14ac:dyDescent="0.3">
      <c r="A13" s="246">
        <v>1</v>
      </c>
      <c r="B13" s="410" t="s">
        <v>52</v>
      </c>
      <c r="C13" s="431"/>
      <c r="J13" s="412"/>
      <c r="K13" s="281" t="str">
        <f>IF($B$3="","",IF($B$3="PREGRADO",DATA!Q14,DATA!AB15))</f>
        <v/>
      </c>
      <c r="L13" s="281" t="str">
        <f>IF($B$3="","",IF($B$3="PREGRADO",DATA!R14,DATA!AC15))</f>
        <v/>
      </c>
      <c r="M13" s="281" t="str">
        <f>IF($B$3="","",IF($B$3="PREGRADO",DATA!S14,DATA!AD15))</f>
        <v/>
      </c>
      <c r="N13" s="412"/>
      <c r="O13" s="281" t="str">
        <f>IF($B$3="","",IF($B$3="PREGRADO",DATA!T14,DATA!AE15))</f>
        <v/>
      </c>
      <c r="P13" s="281" t="str">
        <f>IF($B$3="","",IF($B$3="PREGRADO",DATA!U14,DATA!AF15))</f>
        <v/>
      </c>
      <c r="Q13" s="412"/>
      <c r="R13" s="281" t="str">
        <f>IF($B$3="","",IF($B$3="PREGRADO",DATA!V14,DATA!AG15))</f>
        <v/>
      </c>
      <c r="S13" s="281" t="str">
        <f>IF($B$3="","",IF($B$3="PREGRADO",DATA!W14,DATA!AH15))</f>
        <v/>
      </c>
      <c r="T13" s="283" t="str" cm="1">
        <f t="array" ref="T13">IF($B$9="","",_xlfn.IFS($B$9="PRESENCIAL",_xlfn.XLOOKUP($S13,DATA!$B$4:$B$8,DATA!$D$4:$D$8,"",0,),$B$9="VIRTUAL",_xlfn.XLOOKUP($S13,DATA!$G$4:$G$8,DATA!$I$4:$I$8,"",0),$B$9="DISTANCIA",_xlfn.XLOOKUP($S13,DATA!$L$4:$L$8,DATA!$N$4:$N$8,"",0)))</f>
        <v/>
      </c>
      <c r="U13" s="283" t="str" cm="1">
        <f t="array" ref="U13">IF($B$9="","",_xlfn.IFS($B$9="PRESENCIAL",_xlfn.XLOOKUP($S13,DATA!$B$4:$B$8,DATA!$E$4:$E$8,"",0,),$B$9="VIRTUAL",_xlfn.XLOOKUP($S13,DATA!$G$4:$G$8,DATA!$J$4:$J$8,"",0),$B$9="DISTANCIA",_xlfn.XLOOKUP($S13,DATA!$L$4:$L$8,DATA!$O$4:$O$8,"",0)))</f>
        <v/>
      </c>
      <c r="V13" s="261" t="str">
        <f t="shared" si="0"/>
        <v/>
      </c>
      <c r="W13" s="282"/>
      <c r="X13" s="282"/>
      <c r="Y13" s="282"/>
      <c r="Z13" s="282"/>
      <c r="AA13" s="282"/>
      <c r="AB13" s="284"/>
      <c r="AC13" s="262" t="str">
        <f>IF(AE13="","",COUNTIF($AE$1:AE13,AE13))</f>
        <v/>
      </c>
      <c r="AD13" s="261" t="str">
        <f>IF(J13='PLAN DE ESTUDIO'!$XFD$41,"",IF(AE13="","",AC13&amp;K13&amp;L13&amp;M13))</f>
        <v/>
      </c>
      <c r="AE13" s="261" t="str">
        <f>IF(J13='PLAN DE ESTUDIO'!$XFD$41,"",IF(AF13=1,K13&amp;L13&amp;M13,""))</f>
        <v/>
      </c>
      <c r="AF13" s="261">
        <f>COUNTIF($O$1:O13,$O13)</f>
        <v>12</v>
      </c>
      <c r="AG13" s="285" t="str">
        <f>IF(J13='PLAN DE ESTUDIO'!$XFD$41,"",IF(P13="TP","Teórico-Práctica",IF(P13="T","Teórico",IF(P13="P","Práctica",""))))</f>
        <v/>
      </c>
      <c r="AH13" s="234" t="str">
        <f t="shared" si="1"/>
        <v xml:space="preserve"> </v>
      </c>
    </row>
    <row r="14" spans="1:34" x14ac:dyDescent="0.3">
      <c r="A14" s="280">
        <v>2</v>
      </c>
      <c r="B14" s="259" t="s">
        <v>52</v>
      </c>
      <c r="C14" s="431"/>
      <c r="J14" s="412"/>
      <c r="K14" s="281" t="str">
        <f>IF($B$3="","",IF($B$3="PREGRADO",DATA!Q15,DATA!AB16))</f>
        <v/>
      </c>
      <c r="L14" s="281" t="str">
        <f>IF($B$3="","",IF($B$3="PREGRADO",DATA!R15,DATA!AC16))</f>
        <v/>
      </c>
      <c r="M14" s="281" t="str">
        <f>IF($B$3="","",IF($B$3="PREGRADO",DATA!S15,DATA!AD16))</f>
        <v/>
      </c>
      <c r="N14" s="412"/>
      <c r="O14" s="281" t="str">
        <f>IF($B$3="","",IF($B$3="PREGRADO",DATA!T15,DATA!AE16))</f>
        <v/>
      </c>
      <c r="P14" s="281" t="str">
        <f>IF($B$3="","",IF($B$3="PREGRADO",DATA!U15,DATA!AF16))</f>
        <v/>
      </c>
      <c r="Q14" s="412"/>
      <c r="R14" s="281" t="str">
        <f>IF($B$3="","",IF($B$3="PREGRADO",DATA!V15,DATA!AG16))</f>
        <v/>
      </c>
      <c r="S14" s="281" t="str">
        <f>IF($B$3="","",IF($B$3="PREGRADO",DATA!W15,DATA!AH16))</f>
        <v/>
      </c>
      <c r="T14" s="283" t="str" cm="1">
        <f t="array" ref="T14">IF($B$9="","",_xlfn.IFS($B$9="PRESENCIAL",_xlfn.XLOOKUP($S14,DATA!$B$4:$B$8,DATA!$D$4:$D$8,"",0,),$B$9="VIRTUAL",_xlfn.XLOOKUP($S14,DATA!$G$4:$G$8,DATA!$I$4:$I$8,"",0),$B$9="DISTANCIA",_xlfn.XLOOKUP($S14,DATA!$L$4:$L$8,DATA!$N$4:$N$8,"",0)))</f>
        <v/>
      </c>
      <c r="U14" s="283" t="str" cm="1">
        <f t="array" ref="U14">IF($B$9="","",_xlfn.IFS($B$9="PRESENCIAL",_xlfn.XLOOKUP($S14,DATA!$B$4:$B$8,DATA!$E$4:$E$8,"",0,),$B$9="VIRTUAL",_xlfn.XLOOKUP($S14,DATA!$G$4:$G$8,DATA!$J$4:$J$8,"",0),$B$9="DISTANCIA",_xlfn.XLOOKUP($S14,DATA!$L$4:$L$8,DATA!$O$4:$O$8,"",0)))</f>
        <v/>
      </c>
      <c r="V14" s="261" t="str">
        <f t="shared" si="0"/>
        <v/>
      </c>
      <c r="W14" s="282"/>
      <c r="X14" s="282"/>
      <c r="Y14" s="282"/>
      <c r="Z14" s="282"/>
      <c r="AA14" s="282"/>
      <c r="AB14" s="284"/>
      <c r="AC14" s="262" t="str">
        <f>IF(AE14="","",COUNTIF($AE$1:AE14,AE14))</f>
        <v/>
      </c>
      <c r="AD14" s="261" t="str">
        <f>IF(J14='PLAN DE ESTUDIO'!$XFD$41,"",IF(AE14="","",AC14&amp;K14&amp;L14&amp;M14))</f>
        <v/>
      </c>
      <c r="AE14" s="261" t="str">
        <f>IF(J14='PLAN DE ESTUDIO'!$XFD$41,"",IF(AF14=1,K14&amp;L14&amp;M14,""))</f>
        <v/>
      </c>
      <c r="AF14" s="261">
        <f>COUNTIF($O$1:O14,$O14)</f>
        <v>13</v>
      </c>
      <c r="AG14" s="285" t="str">
        <f>IF(J14='PLAN DE ESTUDIO'!$XFD$41,"",IF(P14="TP","Teórico-Práctica",IF(P14="T","Teórico",IF(P14="P","Práctica",""))))</f>
        <v/>
      </c>
      <c r="AH14" s="234" t="str">
        <f t="shared" si="1"/>
        <v xml:space="preserve"> </v>
      </c>
    </row>
    <row r="15" spans="1:34" x14ac:dyDescent="0.3">
      <c r="A15" s="280">
        <v>3</v>
      </c>
      <c r="B15" s="259" t="s">
        <v>52</v>
      </c>
      <c r="C15" s="431"/>
      <c r="J15" s="412"/>
      <c r="K15" s="281" t="str">
        <f>IF($B$3="","",IF($B$3="PREGRADO",DATA!Q16,DATA!AB17))</f>
        <v/>
      </c>
      <c r="L15" s="281" t="str">
        <f>IF($B$3="","",IF($B$3="PREGRADO",DATA!R16,DATA!AC17))</f>
        <v/>
      </c>
      <c r="M15" s="281" t="str">
        <f>IF($B$3="","",IF($B$3="PREGRADO",DATA!S16,DATA!AD17))</f>
        <v/>
      </c>
      <c r="N15" s="412"/>
      <c r="O15" s="281" t="str">
        <f>IF($B$3="","",IF($B$3="PREGRADO",DATA!T16,DATA!AE17))</f>
        <v/>
      </c>
      <c r="P15" s="281" t="str">
        <f>IF($B$3="","",IF($B$3="PREGRADO",DATA!U16,DATA!AF17))</f>
        <v/>
      </c>
      <c r="Q15" s="412"/>
      <c r="R15" s="281" t="str">
        <f>IF($B$3="","",IF($B$3="PREGRADO",DATA!V16,DATA!AG17))</f>
        <v/>
      </c>
      <c r="S15" s="281" t="str">
        <f>IF($B$3="","",IF($B$3="PREGRADO",DATA!W16,DATA!AH17))</f>
        <v/>
      </c>
      <c r="T15" s="283" t="str" cm="1">
        <f t="array" ref="T15">IF($B$9="","",_xlfn.IFS($B$9="PRESENCIAL",_xlfn.XLOOKUP($S15,DATA!$B$4:$B$8,DATA!$D$4:$D$8,"",0,),$B$9="VIRTUAL",_xlfn.XLOOKUP($S15,DATA!$G$4:$G$8,DATA!$I$4:$I$8,"",0),$B$9="DISTANCIA",_xlfn.XLOOKUP($S15,DATA!$L$4:$L$8,DATA!$N$4:$N$8,"",0)))</f>
        <v/>
      </c>
      <c r="U15" s="283" t="str" cm="1">
        <f t="array" ref="U15">IF($B$9="","",_xlfn.IFS($B$9="PRESENCIAL",_xlfn.XLOOKUP($S15,DATA!$B$4:$B$8,DATA!$E$4:$E$8,"",0,),$B$9="VIRTUAL",_xlfn.XLOOKUP($S15,DATA!$G$4:$G$8,DATA!$J$4:$J$8,"",0),$B$9="DISTANCIA",_xlfn.XLOOKUP($S15,DATA!$L$4:$L$8,DATA!$O$4:$O$8,"",0)))</f>
        <v/>
      </c>
      <c r="V15" s="261" t="str">
        <f t="shared" si="0"/>
        <v/>
      </c>
      <c r="W15" s="282"/>
      <c r="X15" s="282"/>
      <c r="Y15" s="282"/>
      <c r="Z15" s="282"/>
      <c r="AA15" s="282"/>
      <c r="AB15" s="284"/>
      <c r="AC15" s="262" t="str">
        <f>IF(AE15="","",COUNTIF($AE$1:AE15,AE15))</f>
        <v/>
      </c>
      <c r="AD15" s="261" t="str">
        <f>IF(J15='PLAN DE ESTUDIO'!$XFD$41,"",IF(AE15="","",AC15&amp;K15&amp;L15&amp;M15))</f>
        <v/>
      </c>
      <c r="AE15" s="261" t="str">
        <f>IF(J15='PLAN DE ESTUDIO'!$XFD$41,"",IF(AF15=1,K15&amp;L15&amp;M15,""))</f>
        <v/>
      </c>
      <c r="AF15" s="261">
        <f>COUNTIF($O$1:O15,$O15)</f>
        <v>14</v>
      </c>
      <c r="AG15" s="285" t="str">
        <f>IF(J15='PLAN DE ESTUDIO'!$XFD$41,"",IF(P15="TP","Teórico-Práctica",IF(P15="T","Teórico",IF(P15="P","Práctica",""))))</f>
        <v/>
      </c>
      <c r="AH15" s="234" t="str">
        <f t="shared" si="1"/>
        <v xml:space="preserve"> </v>
      </c>
    </row>
    <row r="16" spans="1:34" x14ac:dyDescent="0.3">
      <c r="A16" s="280">
        <v>4</v>
      </c>
      <c r="B16" s="259" t="s">
        <v>52</v>
      </c>
      <c r="C16" s="432"/>
      <c r="J16" s="412"/>
      <c r="K16" s="281" t="str">
        <f>IF($B$3="","",IF($B$3="PREGRADO",DATA!Q17,DATA!AB18))</f>
        <v/>
      </c>
      <c r="L16" s="281" t="str">
        <f>IF($B$3="","",IF($B$3="PREGRADO",DATA!R17,DATA!AC18))</f>
        <v/>
      </c>
      <c r="M16" s="281" t="str">
        <f>IF($B$3="","",IF($B$3="PREGRADO",DATA!S17,DATA!AD18))</f>
        <v/>
      </c>
      <c r="N16" s="412"/>
      <c r="O16" s="281" t="str">
        <f>IF($B$3="","",IF($B$3="PREGRADO",DATA!T17,DATA!AE18))</f>
        <v/>
      </c>
      <c r="P16" s="281" t="str">
        <f>IF($B$3="","",IF($B$3="PREGRADO",DATA!U17,DATA!AF18))</f>
        <v/>
      </c>
      <c r="Q16" s="412"/>
      <c r="R16" s="281" t="str">
        <f>IF($B$3="","",IF($B$3="PREGRADO",DATA!V17,DATA!AG18))</f>
        <v/>
      </c>
      <c r="S16" s="281" t="str">
        <f>IF($B$3="","",IF($B$3="PREGRADO",DATA!W17,DATA!AH18))</f>
        <v/>
      </c>
      <c r="T16" s="283" t="str" cm="1">
        <f t="array" ref="T16">IF($B$9="","",_xlfn.IFS($B$9="PRESENCIAL",_xlfn.XLOOKUP($S16,DATA!$B$4:$B$8,DATA!$D$4:$D$8,"",0,),$B$9="VIRTUAL",_xlfn.XLOOKUP($S16,DATA!$G$4:$G$8,DATA!$I$4:$I$8,"",0),$B$9="DISTANCIA",_xlfn.XLOOKUP($S16,DATA!$L$4:$L$8,DATA!$N$4:$N$8,"",0)))</f>
        <v/>
      </c>
      <c r="U16" s="283" t="str" cm="1">
        <f t="array" ref="U16">IF($B$9="","",_xlfn.IFS($B$9="PRESENCIAL",_xlfn.XLOOKUP($S16,DATA!$B$4:$B$8,DATA!$E$4:$E$8,"",0,),$B$9="VIRTUAL",_xlfn.XLOOKUP($S16,DATA!$G$4:$G$8,DATA!$J$4:$J$8,"",0),$B$9="DISTANCIA",_xlfn.XLOOKUP($S16,DATA!$L$4:$L$8,DATA!$O$4:$O$8,"",0)))</f>
        <v/>
      </c>
      <c r="V16" s="261" t="str">
        <f t="shared" si="0"/>
        <v/>
      </c>
      <c r="W16" s="282"/>
      <c r="X16" s="282"/>
      <c r="Y16" s="282"/>
      <c r="Z16" s="282"/>
      <c r="AA16" s="282"/>
      <c r="AB16" s="284"/>
      <c r="AC16" s="262" t="str">
        <f>IF(AE16="","",COUNTIF($AE$1:AE16,AE16))</f>
        <v/>
      </c>
      <c r="AD16" s="261" t="str">
        <f>IF(J16='PLAN DE ESTUDIO'!$XFD$41,"",IF(AE16="","",AC16&amp;K16&amp;L16&amp;M16))</f>
        <v/>
      </c>
      <c r="AE16" s="261" t="str">
        <f>IF(J16='PLAN DE ESTUDIO'!$XFD$41,"",IF(AF16=1,K16&amp;L16&amp;M16,""))</f>
        <v/>
      </c>
      <c r="AF16" s="261">
        <f>COUNTIF($O$1:O16,$O16)</f>
        <v>15</v>
      </c>
      <c r="AG16" s="285" t="str">
        <f>IF(J16='PLAN DE ESTUDIO'!$XFD$41,"",IF(P16="TP","Teórico-Práctica",IF(P16="T","Teórico",IF(P16="P","Práctica",""))))</f>
        <v/>
      </c>
      <c r="AH16" s="234" t="str">
        <f t="shared" si="1"/>
        <v xml:space="preserve"> </v>
      </c>
    </row>
    <row r="17" spans="1:34" x14ac:dyDescent="0.3">
      <c r="A17" s="280">
        <v>5</v>
      </c>
      <c r="B17" s="259" t="s">
        <v>52</v>
      </c>
      <c r="C17" s="432"/>
      <c r="J17" s="412"/>
      <c r="K17" s="281" t="str">
        <f>IF($B$3="","",IF($B$3="PREGRADO",DATA!Q18,DATA!AB19))</f>
        <v/>
      </c>
      <c r="L17" s="281" t="str">
        <f>IF($B$3="","",IF($B$3="PREGRADO",DATA!R18,DATA!AC19))</f>
        <v/>
      </c>
      <c r="M17" s="281" t="str">
        <f>IF($B$3="","",IF($B$3="PREGRADO",DATA!S18,DATA!AD19))</f>
        <v/>
      </c>
      <c r="N17" s="412"/>
      <c r="O17" s="281" t="str">
        <f>IF($B$3="","",IF($B$3="PREGRADO",DATA!T18,DATA!AE19))</f>
        <v/>
      </c>
      <c r="P17" s="281" t="str">
        <f>IF($B$3="","",IF($B$3="PREGRADO",DATA!U18,DATA!AF19))</f>
        <v/>
      </c>
      <c r="Q17" s="412"/>
      <c r="R17" s="281" t="str">
        <f>IF($B$3="","",IF($B$3="PREGRADO",DATA!V18,DATA!AG19))</f>
        <v/>
      </c>
      <c r="S17" s="281" t="str">
        <f>IF($B$3="","",IF($B$3="PREGRADO",DATA!W18,DATA!AH19))</f>
        <v/>
      </c>
      <c r="T17" s="283" t="str" cm="1">
        <f t="array" ref="T17">IF($B$9="","",_xlfn.IFS($B$9="PRESENCIAL",_xlfn.XLOOKUP($S17,DATA!$B$4:$B$8,DATA!$D$4:$D$8,"",0,),$B$9="VIRTUAL",_xlfn.XLOOKUP($S17,DATA!$G$4:$G$8,DATA!$I$4:$I$8,"",0),$B$9="DISTANCIA",_xlfn.XLOOKUP($S17,DATA!$L$4:$L$8,DATA!$N$4:$N$8,"",0)))</f>
        <v/>
      </c>
      <c r="U17" s="283" t="str" cm="1">
        <f t="array" ref="U17">IF($B$9="","",_xlfn.IFS($B$9="PRESENCIAL",_xlfn.XLOOKUP($S17,DATA!$B$4:$B$8,DATA!$E$4:$E$8,"",0,),$B$9="VIRTUAL",_xlfn.XLOOKUP($S17,DATA!$G$4:$G$8,DATA!$J$4:$J$8,"",0),$B$9="DISTANCIA",_xlfn.XLOOKUP($S17,DATA!$L$4:$L$8,DATA!$O$4:$O$8,"",0)))</f>
        <v/>
      </c>
      <c r="V17" s="261" t="str">
        <f t="shared" si="0"/>
        <v/>
      </c>
      <c r="W17" s="282"/>
      <c r="X17" s="282"/>
      <c r="Y17" s="282"/>
      <c r="Z17" s="282"/>
      <c r="AA17" s="282"/>
      <c r="AB17" s="284"/>
      <c r="AC17" s="262" t="str">
        <f>IF(AE17="","",COUNTIF($AE$1:AE17,AE17))</f>
        <v/>
      </c>
      <c r="AD17" s="261" t="str">
        <f>IF(J17='PLAN DE ESTUDIO'!$XFD$41,"",IF(AE17="","",AC17&amp;K17&amp;L17&amp;M17))</f>
        <v/>
      </c>
      <c r="AE17" s="261" t="str">
        <f>IF(J17='PLAN DE ESTUDIO'!$XFD$41,"",IF(AF17=1,K17&amp;L17&amp;M17,""))</f>
        <v/>
      </c>
      <c r="AF17" s="261">
        <f>COUNTIF($O$1:O17,$O17)</f>
        <v>16</v>
      </c>
      <c r="AG17" s="285" t="str">
        <f>IF(J17='PLAN DE ESTUDIO'!$XFD$41,"",IF(P17="TP","Teórico-Práctica",IF(P17="T","Teórico",IF(P17="P","Práctica",""))))</f>
        <v/>
      </c>
      <c r="AH17" s="234" t="str">
        <f t="shared" si="1"/>
        <v xml:space="preserve"> </v>
      </c>
    </row>
    <row r="18" spans="1:34" x14ac:dyDescent="0.3">
      <c r="A18" s="280">
        <v>6</v>
      </c>
      <c r="B18" s="259" t="s">
        <v>52</v>
      </c>
      <c r="C18" s="432"/>
      <c r="J18" s="412"/>
      <c r="K18" s="281" t="str">
        <f>IF($B$3="","",IF($B$3="PREGRADO",DATA!Q19,DATA!AB20))</f>
        <v/>
      </c>
      <c r="L18" s="281" t="str">
        <f>IF($B$3="","",IF($B$3="PREGRADO",DATA!R19,DATA!AC20))</f>
        <v/>
      </c>
      <c r="M18" s="281" t="str">
        <f>IF($B$3="","",IF($B$3="PREGRADO",DATA!S19,DATA!AD20))</f>
        <v/>
      </c>
      <c r="N18" s="412"/>
      <c r="O18" s="281" t="str">
        <f>IF($B$3="","",IF($B$3="PREGRADO",DATA!T19,DATA!AE20))</f>
        <v/>
      </c>
      <c r="P18" s="281" t="str">
        <f>IF($B$3="","",IF($B$3="PREGRADO",DATA!U19,DATA!AF20))</f>
        <v/>
      </c>
      <c r="Q18" s="412"/>
      <c r="R18" s="281" t="str">
        <f>IF($B$3="","",IF($B$3="PREGRADO",DATA!V19,DATA!AG20))</f>
        <v/>
      </c>
      <c r="S18" s="281" t="str">
        <f>IF($B$3="","",IF($B$3="PREGRADO",DATA!W19,DATA!AH20))</f>
        <v/>
      </c>
      <c r="T18" s="283" t="str" cm="1">
        <f t="array" ref="T18">IF($B$9="","",_xlfn.IFS($B$9="PRESENCIAL",_xlfn.XLOOKUP($S18,DATA!$B$4:$B$8,DATA!$D$4:$D$8,"",0,),$B$9="VIRTUAL",_xlfn.XLOOKUP($S18,DATA!$G$4:$G$8,DATA!$I$4:$I$8,"",0),$B$9="DISTANCIA",_xlfn.XLOOKUP($S18,DATA!$L$4:$L$8,DATA!$N$4:$N$8,"",0)))</f>
        <v/>
      </c>
      <c r="U18" s="283" t="str" cm="1">
        <f t="array" ref="U18">IF($B$9="","",_xlfn.IFS($B$9="PRESENCIAL",_xlfn.XLOOKUP($S18,DATA!$B$4:$B$8,DATA!$E$4:$E$8,"",0,),$B$9="VIRTUAL",_xlfn.XLOOKUP($S18,DATA!$G$4:$G$8,DATA!$J$4:$J$8,"",0),$B$9="DISTANCIA",_xlfn.XLOOKUP($S18,DATA!$L$4:$L$8,DATA!$O$4:$O$8,"",0)))</f>
        <v/>
      </c>
      <c r="V18" s="261" t="str">
        <f t="shared" si="0"/>
        <v/>
      </c>
      <c r="W18" s="282"/>
      <c r="X18" s="282"/>
      <c r="Y18" s="282"/>
      <c r="Z18" s="282"/>
      <c r="AA18" s="282"/>
      <c r="AB18" s="284"/>
      <c r="AC18" s="262" t="str">
        <f>IF(AE18="","",COUNTIF($AE$1:AE18,AE18))</f>
        <v/>
      </c>
      <c r="AD18" s="261" t="str">
        <f>IF(J18='PLAN DE ESTUDIO'!$XFD$41,"",IF(AE18="","",AC18&amp;K18&amp;L18&amp;M18))</f>
        <v/>
      </c>
      <c r="AE18" s="261" t="str">
        <f>IF(J18='PLAN DE ESTUDIO'!$XFD$41,"",IF(AF18=1,K18&amp;L18&amp;M18,""))</f>
        <v/>
      </c>
      <c r="AF18" s="261">
        <f>COUNTIF($O$1:O18,$O18)</f>
        <v>17</v>
      </c>
      <c r="AG18" s="285" t="str">
        <f>IF(J18='PLAN DE ESTUDIO'!$XFD$41,"",IF(P18="TP","Teórico-Práctica",IF(P18="T","Teórico",IF(P18="P","Práctica",""))))</f>
        <v/>
      </c>
      <c r="AH18" s="234" t="str">
        <f t="shared" si="1"/>
        <v xml:space="preserve"> </v>
      </c>
    </row>
    <row r="19" spans="1:34" x14ac:dyDescent="0.3">
      <c r="A19" s="280">
        <v>7</v>
      </c>
      <c r="B19" s="259" t="s">
        <v>52</v>
      </c>
      <c r="C19" s="432"/>
      <c r="J19" s="412"/>
      <c r="K19" s="281" t="str">
        <f>IF($B$3="","",IF($B$3="PREGRADO",DATA!Q20,DATA!AB21))</f>
        <v/>
      </c>
      <c r="L19" s="281" t="str">
        <f>IF($B$3="","",IF($B$3="PREGRADO",DATA!R20,DATA!AC21))</f>
        <v/>
      </c>
      <c r="M19" s="281" t="str">
        <f>IF($B$3="","",IF($B$3="PREGRADO",DATA!S20,DATA!AD21))</f>
        <v/>
      </c>
      <c r="N19" s="412"/>
      <c r="O19" s="281" t="str">
        <f>IF($B$3="","",IF($B$3="PREGRADO",DATA!T20,DATA!AE21))</f>
        <v/>
      </c>
      <c r="P19" s="281" t="str">
        <f>IF($B$3="","",IF($B$3="PREGRADO",DATA!U20,DATA!AF21))</f>
        <v/>
      </c>
      <c r="Q19" s="412"/>
      <c r="R19" s="281" t="str">
        <f>IF($B$3="","",IF($B$3="PREGRADO",DATA!V20,DATA!AG21))</f>
        <v/>
      </c>
      <c r="S19" s="281" t="str">
        <f>IF($B$3="","",IF($B$3="PREGRADO",DATA!W20,DATA!AH21))</f>
        <v/>
      </c>
      <c r="T19" s="283" t="str" cm="1">
        <f t="array" ref="T19">IF($B$9="","",_xlfn.IFS($B$9="PRESENCIAL",_xlfn.XLOOKUP($S19,DATA!$B$4:$B$8,DATA!$D$4:$D$8,"",0,),$B$9="VIRTUAL",_xlfn.XLOOKUP($S19,DATA!$G$4:$G$8,DATA!$I$4:$I$8,"",0),$B$9="DISTANCIA",_xlfn.XLOOKUP($S19,DATA!$L$4:$L$8,DATA!$N$4:$N$8,"",0)))</f>
        <v/>
      </c>
      <c r="U19" s="283" t="str" cm="1">
        <f t="array" ref="U19">IF($B$9="","",_xlfn.IFS($B$9="PRESENCIAL",_xlfn.XLOOKUP($S19,DATA!$B$4:$B$8,DATA!$E$4:$E$8,"",0,),$B$9="VIRTUAL",_xlfn.XLOOKUP($S19,DATA!$G$4:$G$8,DATA!$J$4:$J$8,"",0),$B$9="DISTANCIA",_xlfn.XLOOKUP($S19,DATA!$L$4:$L$8,DATA!$O$4:$O$8,"",0)))</f>
        <v/>
      </c>
      <c r="V19" s="261" t="str">
        <f t="shared" si="0"/>
        <v/>
      </c>
      <c r="W19" s="282"/>
      <c r="X19" s="282"/>
      <c r="Y19" s="282"/>
      <c r="Z19" s="282"/>
      <c r="AA19" s="282"/>
      <c r="AB19" s="284"/>
      <c r="AC19" s="262" t="str">
        <f>IF(AE19="","",COUNTIF($AE$1:AE19,AE19))</f>
        <v/>
      </c>
      <c r="AD19" s="261" t="str">
        <f>IF(J19='PLAN DE ESTUDIO'!$XFD$41,"",IF(AE19="","",AC19&amp;K19&amp;L19&amp;M19))</f>
        <v/>
      </c>
      <c r="AE19" s="261" t="str">
        <f>IF(J19='PLAN DE ESTUDIO'!$XFD$41,"",IF(AF19=1,K19&amp;L19&amp;M19,""))</f>
        <v/>
      </c>
      <c r="AF19" s="261">
        <f>COUNTIF($O$1:O19,$O19)</f>
        <v>18</v>
      </c>
      <c r="AG19" s="285" t="str">
        <f>IF(J19='PLAN DE ESTUDIO'!$XFD$41,"",IF(P19="TP","Teórico-Práctica",IF(P19="T","Teórico",IF(P19="P","Práctica",""))))</f>
        <v/>
      </c>
      <c r="AH19" s="234" t="str">
        <f t="shared" si="1"/>
        <v xml:space="preserve"> </v>
      </c>
    </row>
    <row r="20" spans="1:34" x14ac:dyDescent="0.3">
      <c r="A20" s="280">
        <v>8</v>
      </c>
      <c r="B20" s="259" t="s">
        <v>52</v>
      </c>
      <c r="C20" s="432"/>
      <c r="J20" s="412"/>
      <c r="K20" s="281" t="str">
        <f>IF($B$3="","",IF($B$3="PREGRADO",DATA!Q21,DATA!AB22))</f>
        <v/>
      </c>
      <c r="L20" s="281" t="str">
        <f>IF($B$3="","",IF($B$3="PREGRADO",DATA!R21,DATA!AC22))</f>
        <v/>
      </c>
      <c r="M20" s="281" t="str">
        <f>IF($B$3="","",IF($B$3="PREGRADO",DATA!S21,DATA!AD22))</f>
        <v/>
      </c>
      <c r="N20" s="412"/>
      <c r="O20" s="281" t="str">
        <f>IF($B$3="","",IF($B$3="PREGRADO",DATA!T21,DATA!AE22))</f>
        <v/>
      </c>
      <c r="P20" s="281" t="str">
        <f>IF($B$3="","",IF($B$3="PREGRADO",DATA!U21,DATA!AF22))</f>
        <v/>
      </c>
      <c r="Q20" s="412"/>
      <c r="R20" s="281" t="str">
        <f>IF($B$3="","",IF($B$3="PREGRADO",DATA!V21,DATA!AG22))</f>
        <v/>
      </c>
      <c r="S20" s="281" t="str">
        <f>IF($B$3="","",IF($B$3="PREGRADO",DATA!W21,DATA!AH22))</f>
        <v/>
      </c>
      <c r="T20" s="283" t="str" cm="1">
        <f t="array" ref="T20">IF($B$9="","",_xlfn.IFS($B$9="PRESENCIAL",_xlfn.XLOOKUP($S20,DATA!$B$4:$B$8,DATA!$D$4:$D$8,"",0,),$B$9="VIRTUAL",_xlfn.XLOOKUP($S20,DATA!$G$4:$G$8,DATA!$I$4:$I$8,"",0),$B$9="DISTANCIA",_xlfn.XLOOKUP($S20,DATA!$L$4:$L$8,DATA!$N$4:$N$8,"",0)))</f>
        <v/>
      </c>
      <c r="U20" s="283" t="str" cm="1">
        <f t="array" ref="U20">IF($B$9="","",_xlfn.IFS($B$9="PRESENCIAL",_xlfn.XLOOKUP($S20,DATA!$B$4:$B$8,DATA!$E$4:$E$8,"",0,),$B$9="VIRTUAL",_xlfn.XLOOKUP($S20,DATA!$G$4:$G$8,DATA!$J$4:$J$8,"",0),$B$9="DISTANCIA",_xlfn.XLOOKUP($S20,DATA!$L$4:$L$8,DATA!$O$4:$O$8,"",0)))</f>
        <v/>
      </c>
      <c r="V20" s="261" t="str">
        <f t="shared" si="0"/>
        <v/>
      </c>
      <c r="W20" s="282"/>
      <c r="X20" s="282"/>
      <c r="Y20" s="282"/>
      <c r="Z20" s="282"/>
      <c r="AA20" s="282"/>
      <c r="AB20" s="284"/>
      <c r="AC20" s="262" t="str">
        <f>IF(AE20="","",COUNTIF($AE$1:AE20,AE20))</f>
        <v/>
      </c>
      <c r="AD20" s="261" t="str">
        <f>IF(J20='PLAN DE ESTUDIO'!$XFD$41,"",IF(AE20="","",AC20&amp;K20&amp;L20&amp;M20))</f>
        <v/>
      </c>
      <c r="AE20" s="261" t="str">
        <f>IF(J20='PLAN DE ESTUDIO'!$XFD$41,"",IF(AF20=1,K20&amp;L20&amp;M20,""))</f>
        <v/>
      </c>
      <c r="AF20" s="261">
        <f>COUNTIF($O$1:O20,$O20)</f>
        <v>19</v>
      </c>
      <c r="AG20" s="285" t="str">
        <f>IF(J20='PLAN DE ESTUDIO'!$XFD$41,"",IF(P20="TP","Teórico-Práctica",IF(P20="T","Teórico",IF(P20="P","Práctica",""))))</f>
        <v/>
      </c>
      <c r="AH20" s="234" t="str">
        <f t="shared" si="1"/>
        <v xml:space="preserve"> </v>
      </c>
    </row>
    <row r="21" spans="1:34" x14ac:dyDescent="0.3">
      <c r="A21" s="280">
        <v>9</v>
      </c>
      <c r="B21" s="259" t="s">
        <v>52</v>
      </c>
      <c r="C21" s="432"/>
      <c r="J21" s="412"/>
      <c r="K21" s="281" t="str">
        <f>IF($B$3="","",IF($B$3="PREGRADO",DATA!Q22,DATA!AB23))</f>
        <v/>
      </c>
      <c r="L21" s="281" t="str">
        <f>IF($B$3="","",IF($B$3="PREGRADO",DATA!R22,DATA!AC23))</f>
        <v/>
      </c>
      <c r="M21" s="281" t="str">
        <f>IF($B$3="","",IF($B$3="PREGRADO",DATA!S22,DATA!AD23))</f>
        <v/>
      </c>
      <c r="N21" s="412"/>
      <c r="O21" s="281" t="str">
        <f>IF($B$3="","",IF($B$3="PREGRADO",DATA!T22,DATA!AE23))</f>
        <v/>
      </c>
      <c r="P21" s="281" t="str">
        <f>IF($B$3="","",IF($B$3="PREGRADO",DATA!U22,DATA!AF23))</f>
        <v/>
      </c>
      <c r="Q21" s="412"/>
      <c r="R21" s="281" t="str">
        <f>IF($B$3="","",IF($B$3="PREGRADO",DATA!V22,DATA!AG23))</f>
        <v/>
      </c>
      <c r="S21" s="281" t="str">
        <f>IF($B$3="","",IF($B$3="PREGRADO",DATA!W22,DATA!AH23))</f>
        <v/>
      </c>
      <c r="T21" s="283" t="str" cm="1">
        <f t="array" ref="T21">IF($B$9="","",_xlfn.IFS($B$9="PRESENCIAL",_xlfn.XLOOKUP($S21,DATA!$B$4:$B$8,DATA!$D$4:$D$8,"",0,),$B$9="VIRTUAL",_xlfn.XLOOKUP($S21,DATA!$G$4:$G$8,DATA!$I$4:$I$8,"",0),$B$9="DISTANCIA",_xlfn.XLOOKUP($S21,DATA!$L$4:$L$8,DATA!$N$4:$N$8,"",0)))</f>
        <v/>
      </c>
      <c r="U21" s="283" t="str" cm="1">
        <f t="array" ref="U21">IF($B$9="","",_xlfn.IFS($B$9="PRESENCIAL",_xlfn.XLOOKUP($S21,DATA!$B$4:$B$8,DATA!$E$4:$E$8,"",0,),$B$9="VIRTUAL",_xlfn.XLOOKUP($S21,DATA!$G$4:$G$8,DATA!$J$4:$J$8,"",0),$B$9="DISTANCIA",_xlfn.XLOOKUP($S21,DATA!$L$4:$L$8,DATA!$O$4:$O$8,"",0)))</f>
        <v/>
      </c>
      <c r="V21" s="261" t="str">
        <f t="shared" si="0"/>
        <v/>
      </c>
      <c r="W21" s="282"/>
      <c r="X21" s="282"/>
      <c r="Y21" s="282"/>
      <c r="Z21" s="282"/>
      <c r="AA21" s="282"/>
      <c r="AB21" s="284"/>
      <c r="AC21" s="262" t="str">
        <f>IF(AE21="","",COUNTIF($AE$1:AE21,AE21))</f>
        <v/>
      </c>
      <c r="AD21" s="261" t="str">
        <f>IF(J21='PLAN DE ESTUDIO'!$XFD$41,"",IF(AE21="","",AC21&amp;K21&amp;L21&amp;M21))</f>
        <v/>
      </c>
      <c r="AE21" s="261" t="str">
        <f>IF(J21='PLAN DE ESTUDIO'!$XFD$41,"",IF(AF21=1,K21&amp;L21&amp;M21,""))</f>
        <v/>
      </c>
      <c r="AF21" s="261">
        <f>COUNTIF($O$1:O21,$O21)</f>
        <v>20</v>
      </c>
      <c r="AG21" s="285" t="str">
        <f>IF(J21='PLAN DE ESTUDIO'!$XFD$41,"",IF(P21="TP","Teórico-Práctica",IF(P21="T","Teórico",IF(P21="P","Práctica",""))))</f>
        <v/>
      </c>
      <c r="AH21" s="234" t="str">
        <f t="shared" si="1"/>
        <v xml:space="preserve"> </v>
      </c>
    </row>
    <row r="22" spans="1:34" x14ac:dyDescent="0.3">
      <c r="A22" s="280">
        <v>10</v>
      </c>
      <c r="B22" s="259" t="s">
        <v>52</v>
      </c>
      <c r="C22" s="432"/>
      <c r="J22" s="412"/>
      <c r="K22" s="281" t="str">
        <f>IF($B$3="","",IF($B$3="PREGRADO",DATA!Q23,DATA!AB24))</f>
        <v/>
      </c>
      <c r="L22" s="281" t="str">
        <f>IF($B$3="","",IF($B$3="PREGRADO",DATA!R23,DATA!AC24))</f>
        <v/>
      </c>
      <c r="M22" s="281" t="str">
        <f>IF($B$3="","",IF($B$3="PREGRADO",DATA!S23,DATA!AD24))</f>
        <v/>
      </c>
      <c r="N22" s="412"/>
      <c r="O22" s="281" t="str">
        <f>IF($B$3="","",IF($B$3="PREGRADO",DATA!T23,DATA!AE24))</f>
        <v/>
      </c>
      <c r="P22" s="281" t="str">
        <f>IF($B$3="","",IF($B$3="PREGRADO",DATA!U23,DATA!AF24))</f>
        <v/>
      </c>
      <c r="Q22" s="412"/>
      <c r="R22" s="281" t="str">
        <f>IF($B$3="","",IF($B$3="PREGRADO",DATA!V23,DATA!AG24))</f>
        <v/>
      </c>
      <c r="S22" s="281" t="str">
        <f>IF($B$3="","",IF($B$3="PREGRADO",DATA!W23,DATA!AH24))</f>
        <v/>
      </c>
      <c r="T22" s="283" t="str" cm="1">
        <f t="array" ref="T22">IF($B$9="","",_xlfn.IFS($B$9="PRESENCIAL",_xlfn.XLOOKUP($S22,DATA!$B$4:$B$8,DATA!$D$4:$D$8,"",0,),$B$9="VIRTUAL",_xlfn.XLOOKUP($S22,DATA!$G$4:$G$8,DATA!$I$4:$I$8,"",0),$B$9="DISTANCIA",_xlfn.XLOOKUP($S22,DATA!$L$4:$L$8,DATA!$N$4:$N$8,"",0)))</f>
        <v/>
      </c>
      <c r="U22" s="283" t="str" cm="1">
        <f t="array" ref="U22">IF($B$9="","",_xlfn.IFS($B$9="PRESENCIAL",_xlfn.XLOOKUP($S22,DATA!$B$4:$B$8,DATA!$E$4:$E$8,"",0,),$B$9="VIRTUAL",_xlfn.XLOOKUP($S22,DATA!$G$4:$G$8,DATA!$J$4:$J$8,"",0),$B$9="DISTANCIA",_xlfn.XLOOKUP($S22,DATA!$L$4:$L$8,DATA!$O$4:$O$8,"",0)))</f>
        <v/>
      </c>
      <c r="V22" s="261" t="str">
        <f t="shared" si="0"/>
        <v/>
      </c>
      <c r="W22" s="282"/>
      <c r="X22" s="282"/>
      <c r="Y22" s="282"/>
      <c r="Z22" s="282"/>
      <c r="AA22" s="282"/>
      <c r="AB22" s="284"/>
      <c r="AC22" s="262" t="str">
        <f>IF(AE22="","",COUNTIF($AE$1:AE22,AE22))</f>
        <v/>
      </c>
      <c r="AD22" s="261" t="str">
        <f>IF(J22='PLAN DE ESTUDIO'!$XFD$41,"",IF(AE22="","",AC22&amp;K22&amp;L22&amp;M22))</f>
        <v/>
      </c>
      <c r="AE22" s="261" t="str">
        <f>IF(J22='PLAN DE ESTUDIO'!$XFD$41,"",IF(AF22=1,K22&amp;L22&amp;M22,""))</f>
        <v/>
      </c>
      <c r="AF22" s="261">
        <f>COUNTIF($O$1:O22,$O22)</f>
        <v>21</v>
      </c>
      <c r="AG22" s="285" t="str">
        <f>IF(J22='PLAN DE ESTUDIO'!$XFD$41,"",IF(P22="TP","Teórico-Práctica",IF(P22="T","Teórico",IF(P22="P","Práctica",""))))</f>
        <v/>
      </c>
      <c r="AH22" s="234" t="str">
        <f t="shared" si="1"/>
        <v xml:space="preserve"> </v>
      </c>
    </row>
    <row r="23" spans="1:34" x14ac:dyDescent="0.3">
      <c r="A23" s="280">
        <v>11</v>
      </c>
      <c r="B23" s="259" t="s">
        <v>52</v>
      </c>
      <c r="C23" s="417" t="s">
        <v>53</v>
      </c>
      <c r="J23" s="412"/>
      <c r="K23" s="281" t="str">
        <f>IF($B$3="","",IF($B$3="PREGRADO",DATA!Q24,DATA!AB25))</f>
        <v/>
      </c>
      <c r="L23" s="281" t="str">
        <f>IF($B$3="","",IF($B$3="PREGRADO",DATA!R24,DATA!AC25))</f>
        <v/>
      </c>
      <c r="M23" s="281" t="str">
        <f>IF($B$3="","",IF($B$3="PREGRADO",DATA!S24,DATA!AD25))</f>
        <v/>
      </c>
      <c r="N23" s="412"/>
      <c r="O23" s="281" t="str">
        <f>IF($B$3="","",IF($B$3="PREGRADO",DATA!T24,DATA!AE25))</f>
        <v/>
      </c>
      <c r="P23" s="281" t="str">
        <f>IF($B$3="","",IF($B$3="PREGRADO",DATA!U24,DATA!AF25))</f>
        <v/>
      </c>
      <c r="Q23" s="412"/>
      <c r="R23" s="281" t="str">
        <f>IF($B$3="","",IF($B$3="PREGRADO",DATA!V24,DATA!AG25))</f>
        <v/>
      </c>
      <c r="S23" s="281" t="str">
        <f>IF($B$3="","",IF($B$3="PREGRADO",DATA!W24,DATA!AH25))</f>
        <v/>
      </c>
      <c r="T23" s="283" t="str" cm="1">
        <f t="array" ref="T23">IF($B$9="","",_xlfn.IFS($B$9="PRESENCIAL",_xlfn.XLOOKUP($S23,DATA!$B$4:$B$8,DATA!$D$4:$D$8,"",0,),$B$9="VIRTUAL",_xlfn.XLOOKUP($S23,DATA!$G$4:$G$8,DATA!$I$4:$I$8,"",0),$B$9="DISTANCIA",_xlfn.XLOOKUP($S23,DATA!$L$4:$L$8,DATA!$N$4:$N$8,"",0)))</f>
        <v/>
      </c>
      <c r="U23" s="283" t="str" cm="1">
        <f t="array" ref="U23">IF($B$9="","",_xlfn.IFS($B$9="PRESENCIAL",_xlfn.XLOOKUP($S23,DATA!$B$4:$B$8,DATA!$E$4:$E$8,"",0,),$B$9="VIRTUAL",_xlfn.XLOOKUP($S23,DATA!$G$4:$G$8,DATA!$J$4:$J$8,"",0),$B$9="DISTANCIA",_xlfn.XLOOKUP($S23,DATA!$L$4:$L$8,DATA!$O$4:$O$8,"",0)))</f>
        <v/>
      </c>
      <c r="V23" s="261" t="str">
        <f t="shared" si="0"/>
        <v/>
      </c>
      <c r="W23" s="282"/>
      <c r="X23" s="282"/>
      <c r="Y23" s="282"/>
      <c r="Z23" s="282"/>
      <c r="AA23" s="282"/>
      <c r="AB23" s="284"/>
      <c r="AC23" s="262" t="str">
        <f>IF(AE23="","",COUNTIF($AE$1:AE23,AE23))</f>
        <v/>
      </c>
      <c r="AD23" s="261" t="str">
        <f>IF(J23='PLAN DE ESTUDIO'!$XFD$41,"",IF(AE23="","",AC23&amp;K23&amp;L23&amp;M23))</f>
        <v/>
      </c>
      <c r="AE23" s="261" t="str">
        <f>IF(J23='PLAN DE ESTUDIO'!$XFD$41,"",IF(AF23=1,K23&amp;L23&amp;M23,""))</f>
        <v/>
      </c>
      <c r="AF23" s="261">
        <f>COUNTIF($O$1:O23,$O23)</f>
        <v>22</v>
      </c>
      <c r="AG23" s="285" t="str">
        <f>IF(J23='PLAN DE ESTUDIO'!$XFD$41,"",IF(P23="TP","Teórico-Práctica",IF(P23="T","Teórico",IF(P23="P","Práctica",""))))</f>
        <v/>
      </c>
      <c r="AH23" s="234" t="str">
        <f t="shared" si="1"/>
        <v xml:space="preserve"> </v>
      </c>
    </row>
    <row r="24" spans="1:34" x14ac:dyDescent="0.3">
      <c r="A24" s="280">
        <v>1</v>
      </c>
      <c r="B24" s="259" t="s">
        <v>54</v>
      </c>
      <c r="C24" s="259" t="s">
        <v>55</v>
      </c>
      <c r="J24" s="412"/>
      <c r="K24" s="281" t="str">
        <f>IF($B$3="","",IF($B$3="PREGRADO",DATA!Q25,DATA!AB26))</f>
        <v/>
      </c>
      <c r="L24" s="281" t="str">
        <f>IF($B$3="","",IF($B$3="PREGRADO",DATA!R25,DATA!AC26))</f>
        <v/>
      </c>
      <c r="M24" s="281" t="str">
        <f>IF($B$3="","",IF($B$3="PREGRADO",DATA!S25,DATA!AD26))</f>
        <v/>
      </c>
      <c r="N24" s="412"/>
      <c r="O24" s="281" t="str">
        <f>IF($B$3="","",IF($B$3="PREGRADO",DATA!T25,DATA!AE26))</f>
        <v/>
      </c>
      <c r="P24" s="281" t="str">
        <f>IF($B$3="","",IF($B$3="PREGRADO",DATA!U25,DATA!AF26))</f>
        <v/>
      </c>
      <c r="Q24" s="412"/>
      <c r="R24" s="281" t="str">
        <f>IF($B$3="","",IF($B$3="PREGRADO",DATA!V25,DATA!AG26))</f>
        <v/>
      </c>
      <c r="S24" s="281" t="str">
        <f>IF($B$3="","",IF($B$3="PREGRADO",DATA!W25,DATA!AH26))</f>
        <v/>
      </c>
      <c r="T24" s="283" t="str" cm="1">
        <f t="array" ref="T24">IF($B$9="","",_xlfn.IFS($B$9="PRESENCIAL",_xlfn.XLOOKUP($S24,DATA!$B$4:$B$8,DATA!$D$4:$D$8,"",0,),$B$9="VIRTUAL",_xlfn.XLOOKUP($S24,DATA!$G$4:$G$8,DATA!$I$4:$I$8,"",0),$B$9="DISTANCIA",_xlfn.XLOOKUP($S24,DATA!$L$4:$L$8,DATA!$N$4:$N$8,"",0)))</f>
        <v/>
      </c>
      <c r="U24" s="283" t="str" cm="1">
        <f t="array" ref="U24">IF($B$9="","",_xlfn.IFS($B$9="PRESENCIAL",_xlfn.XLOOKUP($S24,DATA!$B$4:$B$8,DATA!$E$4:$E$8,"",0,),$B$9="VIRTUAL",_xlfn.XLOOKUP($S24,DATA!$G$4:$G$8,DATA!$J$4:$J$8,"",0),$B$9="DISTANCIA",_xlfn.XLOOKUP($S24,DATA!$L$4:$L$8,DATA!$O$4:$O$8,"",0)))</f>
        <v/>
      </c>
      <c r="V24" s="261" t="str">
        <f t="shared" si="0"/>
        <v/>
      </c>
      <c r="W24" s="282"/>
      <c r="X24" s="282"/>
      <c r="Y24" s="282"/>
      <c r="Z24" s="282"/>
      <c r="AA24" s="282"/>
      <c r="AB24" s="284"/>
      <c r="AC24" s="262" t="str">
        <f>IF(AE24="","",COUNTIF($AE$1:AE24,AE24))</f>
        <v/>
      </c>
      <c r="AD24" s="261" t="str">
        <f>IF(J24='PLAN DE ESTUDIO'!$XFD$41,"",IF(AE24="","",AC24&amp;K24&amp;L24&amp;M24))</f>
        <v/>
      </c>
      <c r="AE24" s="261" t="str">
        <f>IF(J24='PLAN DE ESTUDIO'!$XFD$41,"",IF(AF24=1,K24&amp;L24&amp;M24,""))</f>
        <v/>
      </c>
      <c r="AF24" s="261">
        <f>COUNTIF($O$1:O24,$O24)</f>
        <v>23</v>
      </c>
      <c r="AG24" s="285" t="str">
        <f>IF(J24='PLAN DE ESTUDIO'!$XFD$41,"",IF(P24="TP","Teórico-Práctica",IF(P24="T","Teórico",IF(P24="P","Práctica",""))))</f>
        <v/>
      </c>
      <c r="AH24" s="234" t="str">
        <f t="shared" si="1"/>
        <v xml:space="preserve"> </v>
      </c>
    </row>
    <row r="25" spans="1:34" x14ac:dyDescent="0.3">
      <c r="A25" s="280">
        <v>2</v>
      </c>
      <c r="B25" s="259" t="s">
        <v>54</v>
      </c>
      <c r="C25" s="259" t="s">
        <v>56</v>
      </c>
      <c r="J25" s="412"/>
      <c r="K25" s="281" t="str">
        <f>IF($B$3="","",IF($B$3="PREGRADO",DATA!Q26,DATA!AB27))</f>
        <v/>
      </c>
      <c r="L25" s="281" t="str">
        <f>IF($B$3="","",IF($B$3="PREGRADO",DATA!R26,DATA!AC27))</f>
        <v/>
      </c>
      <c r="M25" s="281" t="str">
        <f>IF($B$3="","",IF($B$3="PREGRADO",DATA!S26,DATA!AD27))</f>
        <v/>
      </c>
      <c r="N25" s="412"/>
      <c r="O25" s="281" t="str">
        <f>IF($B$3="","",IF($B$3="PREGRADO",DATA!T26,DATA!AE27))</f>
        <v/>
      </c>
      <c r="P25" s="281" t="str">
        <f>IF($B$3="","",IF($B$3="PREGRADO",DATA!U26,DATA!AF27))</f>
        <v/>
      </c>
      <c r="Q25" s="412"/>
      <c r="R25" s="281" t="str">
        <f>IF($B$3="","",IF($B$3="PREGRADO",DATA!V26,DATA!AG27))</f>
        <v/>
      </c>
      <c r="S25" s="281" t="str">
        <f>IF($B$3="","",IF($B$3="PREGRADO",DATA!W26,DATA!AH27))</f>
        <v/>
      </c>
      <c r="T25" s="283" t="str" cm="1">
        <f t="array" ref="T25">IF($B$9="","",_xlfn.IFS($B$9="PRESENCIAL",_xlfn.XLOOKUP($S25,DATA!$B$4:$B$8,DATA!$D$4:$D$8,"",0,),$B$9="VIRTUAL",_xlfn.XLOOKUP($S25,DATA!$G$4:$G$8,DATA!$I$4:$I$8,"",0),$B$9="DISTANCIA",_xlfn.XLOOKUP($S25,DATA!$L$4:$L$8,DATA!$N$4:$N$8,"",0)))</f>
        <v/>
      </c>
      <c r="U25" s="283" t="str" cm="1">
        <f t="array" ref="U25">IF($B$9="","",_xlfn.IFS($B$9="PRESENCIAL",_xlfn.XLOOKUP($S25,DATA!$B$4:$B$8,DATA!$E$4:$E$8,"",0,),$B$9="VIRTUAL",_xlfn.XLOOKUP($S25,DATA!$G$4:$G$8,DATA!$J$4:$J$8,"",0),$B$9="DISTANCIA",_xlfn.XLOOKUP($S25,DATA!$L$4:$L$8,DATA!$O$4:$O$8,"",0)))</f>
        <v/>
      </c>
      <c r="V25" s="261" t="str">
        <f t="shared" si="0"/>
        <v/>
      </c>
      <c r="W25" s="282"/>
      <c r="X25" s="282"/>
      <c r="Y25" s="282"/>
      <c r="Z25" s="282"/>
      <c r="AA25" s="282"/>
      <c r="AB25" s="284"/>
      <c r="AC25" s="262" t="str">
        <f>IF(AE25="","",COUNTIF($AE$1:AE25,AE25))</f>
        <v/>
      </c>
      <c r="AD25" s="261" t="str">
        <f>IF(J25='PLAN DE ESTUDIO'!$XFD$41,"",IF(AE25="","",AC25&amp;K25&amp;L25&amp;M25))</f>
        <v/>
      </c>
      <c r="AE25" s="261" t="str">
        <f>IF(J25='PLAN DE ESTUDIO'!$XFD$41,"",IF(AF25=1,K25&amp;L25&amp;M25,""))</f>
        <v/>
      </c>
      <c r="AF25" s="261">
        <f>COUNTIF($O$1:O25,$O25)</f>
        <v>24</v>
      </c>
      <c r="AG25" s="285" t="str">
        <f>IF(J25='PLAN DE ESTUDIO'!$XFD$41,"",IF(P25="TP","Teórico-Práctica",IF(P25="T","Teórico",IF(P25="P","Práctica",""))))</f>
        <v/>
      </c>
      <c r="AH25" s="234" t="str">
        <f t="shared" si="1"/>
        <v xml:space="preserve"> </v>
      </c>
    </row>
    <row r="26" spans="1:34" x14ac:dyDescent="0.3">
      <c r="A26" s="280">
        <v>1</v>
      </c>
      <c r="B26" s="259" t="s">
        <v>57</v>
      </c>
      <c r="C26" s="259" t="s">
        <v>58</v>
      </c>
      <c r="J26" s="412"/>
      <c r="K26" s="281" t="str">
        <f>IF($B$3="","",IF($B$3="PREGRADO",DATA!Q27,""))</f>
        <v/>
      </c>
      <c r="L26" s="281" t="str">
        <f>IF($B$3="","",IF($B$3="PREGRADO",DATA!R27,""))</f>
        <v/>
      </c>
      <c r="M26" s="232"/>
      <c r="N26" s="412"/>
      <c r="O26" s="281" t="str">
        <f>IF($B$3="","",IF($B$3="PREGRADO",DATA!T27,""))</f>
        <v/>
      </c>
      <c r="P26" s="281" t="str">
        <f>IF($B$3="","",IF($B$3="PREGRADO",DATA!U27,""))</f>
        <v/>
      </c>
      <c r="Q26" s="412"/>
      <c r="R26" s="281" t="str">
        <f>IF($B$3="","",IF($B$3="PREGRADO",DATA!V27,""))</f>
        <v/>
      </c>
      <c r="S26" s="281" t="str">
        <f>IF($B$3="","",IF($B$3="PREGRADO",DATA!W27,""))</f>
        <v/>
      </c>
      <c r="T26" s="283" t="str" cm="1">
        <f t="array" ref="T26">IF($B$9="","",_xlfn.IFS($B$9="PRESENCIAL",_xlfn.XLOOKUP($S26,DATA!$B$4:$B$8,DATA!$D$4:$D$8,"",0,),$B$9="VIRTUAL",_xlfn.XLOOKUP($S26,DATA!$G$4:$G$8,DATA!$I$4:$I$8,"",0),$B$9="DISTANCIA",_xlfn.XLOOKUP($S26,DATA!$L$4:$L$8,DATA!$N$4:$N$8,"",0)))</f>
        <v/>
      </c>
      <c r="U26" s="283" t="str" cm="1">
        <f t="array" ref="U26">IF($B$9="","",_xlfn.IFS($B$9="PRESENCIAL",_xlfn.XLOOKUP($S26,DATA!$B$4:$B$8,DATA!$E$4:$E$8,"",0,),$B$9="VIRTUAL",_xlfn.XLOOKUP($S26,DATA!$G$4:$G$8,DATA!$J$4:$J$8,"",0),$B$9="DISTANCIA",_xlfn.XLOOKUP($S26,DATA!$L$4:$L$8,DATA!$O$4:$O$8,"",0)))</f>
        <v/>
      </c>
      <c r="V26" s="261" t="str">
        <f t="shared" si="0"/>
        <v/>
      </c>
      <c r="W26" s="282"/>
      <c r="X26" s="282"/>
      <c r="Y26" s="282"/>
      <c r="Z26" s="282"/>
      <c r="AA26" s="282"/>
      <c r="AB26" s="284"/>
      <c r="AC26" s="262" t="str">
        <f>IF(AE26="","",COUNTIF($AE$1:AE26,AE26))</f>
        <v/>
      </c>
      <c r="AD26" s="261" t="str">
        <f>IF(J26='PLAN DE ESTUDIO'!$XFD$41,"",IF(AE26="","",AC26&amp;K26&amp;L26&amp;M26))</f>
        <v/>
      </c>
      <c r="AE26" s="261" t="str">
        <f>IF(J26='PLAN DE ESTUDIO'!$XFD$41,"",IF(AF26=1,K26&amp;L26&amp;M26,""))</f>
        <v/>
      </c>
      <c r="AF26" s="261">
        <f>COUNTIF($O$1:O26,$O26)</f>
        <v>25</v>
      </c>
      <c r="AG26" s="285" t="str">
        <f>IF(J26='PLAN DE ESTUDIO'!$XFD$41,"",IF(P26="TP","Teórico-Práctica",IF(P26="T","Teórico",IF(P26="P","Práctica",""))))</f>
        <v/>
      </c>
      <c r="AH26" s="234" t="str">
        <f t="shared" si="1"/>
        <v xml:space="preserve"> </v>
      </c>
    </row>
    <row r="27" spans="1:34" x14ac:dyDescent="0.3">
      <c r="A27" s="280">
        <v>2</v>
      </c>
      <c r="B27" s="259" t="s">
        <v>57</v>
      </c>
      <c r="C27" s="259" t="s">
        <v>59</v>
      </c>
      <c r="J27" s="412"/>
      <c r="K27" s="281" t="str">
        <f>IF($B$3="","",IF($B$3="PREGRADO",DATA!Q28,""))</f>
        <v/>
      </c>
      <c r="L27" s="281" t="str">
        <f>IF($B$3="","",IF($B$3="PREGRADO",DATA!R28,""))</f>
        <v/>
      </c>
      <c r="M27" s="232"/>
      <c r="N27" s="412"/>
      <c r="O27" s="281" t="str">
        <f>IF($B$3="","",IF($B$3="PREGRADO",DATA!T28,""))</f>
        <v/>
      </c>
      <c r="P27" s="281" t="str">
        <f>IF($B$3="","",IF($B$3="PREGRADO",DATA!U28,""))</f>
        <v/>
      </c>
      <c r="Q27" s="412"/>
      <c r="R27" s="281" t="str">
        <f>IF($B$3="","",IF($B$3="PREGRADO",DATA!V28,""))</f>
        <v/>
      </c>
      <c r="S27" s="281" t="str">
        <f>IF($B$3="","",IF($B$3="PREGRADO",DATA!W28,""))</f>
        <v/>
      </c>
      <c r="T27" s="283" t="str" cm="1">
        <f t="array" ref="T27">IF($B$9="","",_xlfn.IFS($B$9="PRESENCIAL",_xlfn.XLOOKUP($S27,DATA!$B$4:$B$8,DATA!$D$4:$D$8,"",0,),$B$9="VIRTUAL",_xlfn.XLOOKUP($S27,DATA!$G$4:$G$8,DATA!$I$4:$I$8,"",0),$B$9="DISTANCIA",_xlfn.XLOOKUP($S27,DATA!$L$4:$L$8,DATA!$N$4:$N$8,"",0)))</f>
        <v/>
      </c>
      <c r="U27" s="283" t="str" cm="1">
        <f t="array" ref="U27">IF($B$9="","",_xlfn.IFS($B$9="PRESENCIAL",_xlfn.XLOOKUP($S27,DATA!$B$4:$B$8,DATA!$E$4:$E$8,"",0,),$B$9="VIRTUAL",_xlfn.XLOOKUP($S27,DATA!$G$4:$G$8,DATA!$J$4:$J$8,"",0),$B$9="DISTANCIA",_xlfn.XLOOKUP($S27,DATA!$L$4:$L$8,DATA!$O$4:$O$8,"",0)))</f>
        <v/>
      </c>
      <c r="V27" s="261" t="str">
        <f t="shared" si="0"/>
        <v/>
      </c>
      <c r="W27" s="282"/>
      <c r="X27" s="282"/>
      <c r="Y27" s="282"/>
      <c r="Z27" s="282"/>
      <c r="AA27" s="282"/>
      <c r="AB27" s="284"/>
      <c r="AC27" s="262" t="str">
        <f>IF(AE27="","",COUNTIF($AE$1:AE27,AE27))</f>
        <v/>
      </c>
      <c r="AD27" s="261" t="str">
        <f>IF(J27='PLAN DE ESTUDIO'!$XFD$41,"",IF(AE27="","",AC27&amp;K27&amp;L27&amp;M27))</f>
        <v/>
      </c>
      <c r="AE27" s="261" t="str">
        <f>IF(J27='PLAN DE ESTUDIO'!$XFD$41,"",IF(AF27=1,K27&amp;L27&amp;M27,""))</f>
        <v/>
      </c>
      <c r="AF27" s="261">
        <f>COUNTIF($O$1:O27,$O27)</f>
        <v>26</v>
      </c>
      <c r="AG27" s="285" t="str">
        <f>IF(J27='PLAN DE ESTUDIO'!$XFD$41,"",IF(P27="TP","Teórico-Práctica",IF(P27="T","Teórico",IF(P27="P","Práctica",""))))</f>
        <v/>
      </c>
      <c r="AH27" s="234" t="str">
        <f t="shared" si="1"/>
        <v xml:space="preserve"> </v>
      </c>
    </row>
    <row r="28" spans="1:34" x14ac:dyDescent="0.3">
      <c r="A28" s="280">
        <v>3</v>
      </c>
      <c r="B28" s="259" t="s">
        <v>57</v>
      </c>
      <c r="C28" s="259" t="s">
        <v>60</v>
      </c>
      <c r="J28" s="412"/>
      <c r="K28" s="281" t="str">
        <f>IF($B$3="","",IF($B$3="PREGRADO",DATA!Q29,""))</f>
        <v/>
      </c>
      <c r="L28" s="281" t="str">
        <f>IF($B$3="","",IF($B$3="PREGRADO",DATA!R29,""))</f>
        <v/>
      </c>
      <c r="M28" s="232"/>
      <c r="N28" s="412"/>
      <c r="O28" s="281" t="str">
        <f>IF($B$3="","",IF($B$3="PREGRADO",DATA!T29,""))</f>
        <v/>
      </c>
      <c r="P28" s="281" t="str">
        <f>IF($B$3="","",IF($B$3="PREGRADO",DATA!U29,""))</f>
        <v/>
      </c>
      <c r="Q28" s="412"/>
      <c r="R28" s="281" t="str">
        <f>IF($B$3="","",IF($B$3="PREGRADO",DATA!V29,""))</f>
        <v/>
      </c>
      <c r="S28" s="281" t="str">
        <f>IF($B$3="","",IF($B$3="PREGRADO",DATA!W29,""))</f>
        <v/>
      </c>
      <c r="T28" s="283" t="str" cm="1">
        <f t="array" ref="T28">IF($B$9="","",_xlfn.IFS($B$9="PRESENCIAL",_xlfn.XLOOKUP($S28,DATA!$B$4:$B$8,DATA!$D$4:$D$8,"",0,),$B$9="VIRTUAL",_xlfn.XLOOKUP($S28,DATA!$G$4:$G$8,DATA!$I$4:$I$8,"",0),$B$9="DISTANCIA",_xlfn.XLOOKUP($S28,DATA!$L$4:$L$8,DATA!$N$4:$N$8,"",0)))</f>
        <v/>
      </c>
      <c r="U28" s="283" t="str" cm="1">
        <f t="array" ref="U28">IF($B$9="","",_xlfn.IFS($B$9="PRESENCIAL",_xlfn.XLOOKUP($S28,DATA!$B$4:$B$8,DATA!$E$4:$E$8,"",0,),$B$9="VIRTUAL",_xlfn.XLOOKUP($S28,DATA!$G$4:$G$8,DATA!$J$4:$J$8,"",0),$B$9="DISTANCIA",_xlfn.XLOOKUP($S28,DATA!$L$4:$L$8,DATA!$O$4:$O$8,"",0)))</f>
        <v/>
      </c>
      <c r="V28" s="261" t="str">
        <f t="shared" si="0"/>
        <v/>
      </c>
      <c r="W28" s="282"/>
      <c r="X28" s="282"/>
      <c r="Y28" s="282"/>
      <c r="Z28" s="282"/>
      <c r="AA28" s="282"/>
      <c r="AB28" s="284"/>
      <c r="AC28" s="262" t="str">
        <f>IF(AE28="","",COUNTIF($AE$1:AE28,AE28))</f>
        <v/>
      </c>
      <c r="AD28" s="261" t="str">
        <f>IF(J28='PLAN DE ESTUDIO'!$XFD$41,"",IF(AE28="","",AC28&amp;K28&amp;L28&amp;M28))</f>
        <v/>
      </c>
      <c r="AE28" s="261" t="str">
        <f>IF(J28='PLAN DE ESTUDIO'!$XFD$41,"",IF(AF28=1,K28&amp;L28&amp;M28,""))</f>
        <v/>
      </c>
      <c r="AF28" s="261">
        <f>COUNTIF($O$1:O28,$O28)</f>
        <v>27</v>
      </c>
      <c r="AG28" s="285" t="str">
        <f>IF(J28='PLAN DE ESTUDIO'!$XFD$41,"",IF(P28="TP","Teórico-Práctica",IF(P28="T","Teórico",IF(P28="P","Práctica",""))))</f>
        <v/>
      </c>
      <c r="AH28" s="234" t="str">
        <f t="shared" si="1"/>
        <v xml:space="preserve"> </v>
      </c>
    </row>
    <row r="29" spans="1:34" x14ac:dyDescent="0.3">
      <c r="A29" s="280">
        <v>4</v>
      </c>
      <c r="B29" s="259" t="s">
        <v>57</v>
      </c>
      <c r="C29" s="259" t="s">
        <v>61</v>
      </c>
      <c r="J29" s="412"/>
      <c r="K29" s="281" t="str">
        <f>IF($B$3="","",IF($B$3="PREGRADO",DATA!Q30,""))</f>
        <v/>
      </c>
      <c r="L29" s="281" t="str">
        <f>IF($B$3="","",IF($B$3="PREGRADO",DATA!R30,""))</f>
        <v/>
      </c>
      <c r="M29" s="232"/>
      <c r="N29" s="412"/>
      <c r="O29" s="281" t="str">
        <f>IF($B$3="","",IF($B$3="PREGRADO",DATA!T30,""))</f>
        <v/>
      </c>
      <c r="P29" s="281" t="str">
        <f>IF($B$3="","",IF($B$3="PREGRADO",DATA!U30,""))</f>
        <v/>
      </c>
      <c r="Q29" s="412"/>
      <c r="R29" s="281" t="str">
        <f>IF($B$3="","",IF($B$3="PREGRADO",DATA!V30,""))</f>
        <v/>
      </c>
      <c r="S29" s="281" t="str">
        <f>IF($B$3="","",IF($B$3="PREGRADO",DATA!W30,""))</f>
        <v/>
      </c>
      <c r="T29" s="283" t="str" cm="1">
        <f t="array" ref="T29">IF($B$9="","",_xlfn.IFS($B$9="PRESENCIAL",_xlfn.XLOOKUP($S29,DATA!$B$4:$B$8,DATA!$D$4:$D$8,"",0,),$B$9="VIRTUAL",_xlfn.XLOOKUP($S29,DATA!$G$4:$G$8,DATA!$I$4:$I$8,"",0),$B$9="DISTANCIA",_xlfn.XLOOKUP($S29,DATA!$L$4:$L$8,DATA!$N$4:$N$8,"",0)))</f>
        <v/>
      </c>
      <c r="U29" s="283" t="str" cm="1">
        <f t="array" ref="U29">IF($B$9="","",_xlfn.IFS($B$9="PRESENCIAL",_xlfn.XLOOKUP($S29,DATA!$B$4:$B$8,DATA!$E$4:$E$8,"",0,),$B$9="VIRTUAL",_xlfn.XLOOKUP($S29,DATA!$G$4:$G$8,DATA!$J$4:$J$8,"",0),$B$9="DISTANCIA",_xlfn.XLOOKUP($S29,DATA!$L$4:$L$8,DATA!$O$4:$O$8,"",0)))</f>
        <v/>
      </c>
      <c r="V29" s="261" t="str">
        <f t="shared" si="0"/>
        <v/>
      </c>
      <c r="W29" s="282"/>
      <c r="X29" s="282"/>
      <c r="Y29" s="282"/>
      <c r="Z29" s="282"/>
      <c r="AA29" s="282"/>
      <c r="AB29" s="284"/>
      <c r="AC29" s="262" t="str">
        <f>IF(AE29="","",COUNTIF($AE$1:AE29,AE29))</f>
        <v/>
      </c>
      <c r="AD29" s="261" t="str">
        <f>IF(J29='PLAN DE ESTUDIO'!$XFD$41,"",IF(AE29="","",AC29&amp;K29&amp;L29&amp;M29))</f>
        <v/>
      </c>
      <c r="AE29" s="261" t="str">
        <f>IF(J29='PLAN DE ESTUDIO'!$XFD$41,"",IF(AF29=1,K29&amp;L29&amp;M29,""))</f>
        <v/>
      </c>
      <c r="AF29" s="261">
        <f>COUNTIF($O$1:O29,$O29)</f>
        <v>28</v>
      </c>
      <c r="AG29" s="285" t="str">
        <f>IF(J29='PLAN DE ESTUDIO'!$XFD$41,"",IF(P29="TP","Teórico-Práctica",IF(P29="T","Teórico",IF(P29="P","Práctica",""))))</f>
        <v/>
      </c>
      <c r="AH29" s="234" t="str">
        <f t="shared" si="1"/>
        <v xml:space="preserve"> </v>
      </c>
    </row>
    <row r="30" spans="1:34" x14ac:dyDescent="0.3">
      <c r="A30" s="280">
        <v>5</v>
      </c>
      <c r="B30" s="259" t="s">
        <v>57</v>
      </c>
      <c r="C30" s="259" t="s">
        <v>62</v>
      </c>
      <c r="J30" s="412"/>
      <c r="K30" s="281" t="str">
        <f>IF($B$3="","",IF($B$3="PREGRADO",DATA!Q31,""))</f>
        <v/>
      </c>
      <c r="L30" s="281" t="str">
        <f>IF($B$3="","",IF($B$3="PREGRADO",DATA!R31,""))</f>
        <v/>
      </c>
      <c r="M30" s="232"/>
      <c r="N30" s="412"/>
      <c r="O30" s="281" t="str">
        <f>IF($B$3="","",IF($B$3="PREGRADO",DATA!T31,""))</f>
        <v/>
      </c>
      <c r="P30" s="281" t="str">
        <f>IF($B$3="","",IF($B$3="PREGRADO",DATA!U31,""))</f>
        <v/>
      </c>
      <c r="Q30" s="412"/>
      <c r="R30" s="281" t="str">
        <f>IF($B$3="","",IF($B$3="PREGRADO",DATA!V31,""))</f>
        <v/>
      </c>
      <c r="S30" s="281" t="str">
        <f>IF($B$3="","",IF($B$3="PREGRADO",DATA!W31,""))</f>
        <v/>
      </c>
      <c r="T30" s="283" t="str" cm="1">
        <f t="array" ref="T30">IF($B$9="","",_xlfn.IFS($B$9="PRESENCIAL",_xlfn.XLOOKUP($S30,DATA!$B$4:$B$8,DATA!$D$4:$D$8,"",0,),$B$9="VIRTUAL",_xlfn.XLOOKUP($S30,DATA!$G$4:$G$8,DATA!$I$4:$I$8,"",0),$B$9="DISTANCIA",_xlfn.XLOOKUP($S30,DATA!$L$4:$L$8,DATA!$N$4:$N$8,"",0)))</f>
        <v/>
      </c>
      <c r="U30" s="283" t="str" cm="1">
        <f t="array" ref="U30">IF($B$9="","",_xlfn.IFS($B$9="PRESENCIAL",_xlfn.XLOOKUP($S30,DATA!$B$4:$B$8,DATA!$E$4:$E$8,"",0,),$B$9="VIRTUAL",_xlfn.XLOOKUP($S30,DATA!$G$4:$G$8,DATA!$J$4:$J$8,"",0),$B$9="DISTANCIA",_xlfn.XLOOKUP($S30,DATA!$L$4:$L$8,DATA!$O$4:$O$8,"",0)))</f>
        <v/>
      </c>
      <c r="V30" s="261" t="str">
        <f t="shared" si="0"/>
        <v/>
      </c>
      <c r="W30" s="282"/>
      <c r="X30" s="282"/>
      <c r="Y30" s="282"/>
      <c r="Z30" s="282"/>
      <c r="AA30" s="282"/>
      <c r="AB30" s="284"/>
      <c r="AC30" s="262" t="str">
        <f>IF(AE30="","",COUNTIF($AE$1:AE30,AE30))</f>
        <v/>
      </c>
      <c r="AD30" s="261" t="str">
        <f>IF(J30='PLAN DE ESTUDIO'!$XFD$41,"",IF(AE30="","",AC30&amp;K30&amp;L30&amp;M30))</f>
        <v/>
      </c>
      <c r="AE30" s="261" t="str">
        <f>IF(J30='PLAN DE ESTUDIO'!$XFD$41,"",IF(AF30=1,K30&amp;L30&amp;M30,""))</f>
        <v/>
      </c>
      <c r="AF30" s="261">
        <f>COUNTIF($O$1:O30,$O30)</f>
        <v>29</v>
      </c>
      <c r="AG30" s="285" t="str">
        <f>IF(J30='PLAN DE ESTUDIO'!$XFD$41,"",IF(P30="TP","Teórico-Práctica",IF(P30="T","Teórico",IF(P30="P","Práctica",""))))</f>
        <v/>
      </c>
      <c r="AH30" s="234" t="str">
        <f t="shared" si="1"/>
        <v xml:space="preserve"> </v>
      </c>
    </row>
    <row r="31" spans="1:34" x14ac:dyDescent="0.3">
      <c r="A31" s="280">
        <v>1</v>
      </c>
      <c r="B31" s="259" t="s">
        <v>63</v>
      </c>
      <c r="C31" s="231"/>
      <c r="J31" s="412"/>
      <c r="K31" s="281" t="str">
        <f>IF($B$3="","",IF($B$3="PREGRADO",DATA!Q32,""))</f>
        <v/>
      </c>
      <c r="L31" s="281" t="str">
        <f>IF($B$3="","",IF($B$3="PREGRADO",DATA!R32,""))</f>
        <v/>
      </c>
      <c r="M31" s="281" t="str">
        <f>IF($B$3="","",IF($B$3="PREGRADO",DATA!S32,""))</f>
        <v/>
      </c>
      <c r="N31" s="412"/>
      <c r="O31" s="281" t="str">
        <f>IF($B$3="","",IF($B$3="PREGRADO",DATA!T32,""))</f>
        <v/>
      </c>
      <c r="P31" s="281" t="str">
        <f>IF($B$3="","",IF($B$3="PREGRADO",DATA!U32,""))</f>
        <v/>
      </c>
      <c r="Q31" s="412"/>
      <c r="R31" s="281" t="str">
        <f>IF($B$3="","",IF($B$3="PREGRADO",DATA!V32,""))</f>
        <v/>
      </c>
      <c r="S31" s="281" t="str">
        <f>IF($B$3="","",IF($B$3="PREGRADO",DATA!W32,""))</f>
        <v/>
      </c>
      <c r="T31" s="283" t="str" cm="1">
        <f t="array" ref="T31">IF($B$9="","",_xlfn.IFS($B$9="PRESENCIAL",_xlfn.XLOOKUP($S31,DATA!$B$4:$B$8,DATA!$D$4:$D$8,"",0,),$B$9="VIRTUAL",_xlfn.XLOOKUP($S31,DATA!$G$4:$G$8,DATA!$I$4:$I$8,"",0),$B$9="DISTANCIA",_xlfn.XLOOKUP($S31,DATA!$L$4:$L$8,DATA!$N$4:$N$8,"",0)))</f>
        <v/>
      </c>
      <c r="U31" s="283" t="str" cm="1">
        <f t="array" ref="U31">IF($B$9="","",_xlfn.IFS($B$9="PRESENCIAL",_xlfn.XLOOKUP($S31,DATA!$B$4:$B$8,DATA!$E$4:$E$8,"",0,),$B$9="VIRTUAL",_xlfn.XLOOKUP($S31,DATA!$G$4:$G$8,DATA!$J$4:$J$8,"",0),$B$9="DISTANCIA",_xlfn.XLOOKUP($S31,DATA!$L$4:$L$8,DATA!$O$4:$O$8,"",0)))</f>
        <v/>
      </c>
      <c r="V31" s="261" t="str">
        <f t="shared" si="0"/>
        <v/>
      </c>
      <c r="W31" s="282"/>
      <c r="X31" s="282"/>
      <c r="Y31" s="282"/>
      <c r="Z31" s="282"/>
      <c r="AA31" s="282"/>
      <c r="AB31" s="284"/>
      <c r="AC31" s="262" t="str">
        <f>IF(AE31="","",COUNTIF($AE$1:AE31,AE31))</f>
        <v/>
      </c>
      <c r="AD31" s="261" t="str">
        <f>IF(J31='PLAN DE ESTUDIO'!$XFD$41,"",IF(AE31="","",AC31&amp;K31&amp;L31&amp;M31))</f>
        <v/>
      </c>
      <c r="AE31" s="261" t="str">
        <f>IF(J31='PLAN DE ESTUDIO'!$XFD$41,"",IF(AF31=1,K31&amp;L31&amp;M31,""))</f>
        <v/>
      </c>
      <c r="AF31" s="261">
        <f>COUNTIF($O$1:O31,$O31)</f>
        <v>30</v>
      </c>
      <c r="AG31" s="285" t="str">
        <f>IF(J31='PLAN DE ESTUDIO'!$XFD$41,"",IF(P31="TP","Teórico-Práctica",IF(P31="T","Teórico",IF(P31="P","Práctica",""))))</f>
        <v/>
      </c>
      <c r="AH31" s="234" t="str">
        <f t="shared" si="1"/>
        <v xml:space="preserve"> </v>
      </c>
    </row>
    <row r="32" spans="1:34" ht="15" thickBot="1" x14ac:dyDescent="0.35">
      <c r="J32" s="412"/>
      <c r="K32" s="281" t="str">
        <f>IF($B$3="","",IF($B$3="PREGRADO",DATA!Q33,""))</f>
        <v/>
      </c>
      <c r="L32" s="281" t="str">
        <f>IF($B$3="","",IF($B$3="PREGRADO",DATA!R33,""))</f>
        <v/>
      </c>
      <c r="M32" s="281" t="str">
        <f>IF($B$3="","",IF($B$3="PREGRADO",DATA!S33,""))</f>
        <v/>
      </c>
      <c r="N32" s="412"/>
      <c r="O32" s="281" t="str">
        <f>IF($B$3="","",IF($B$3="PREGRADO",DATA!T33,""))</f>
        <v/>
      </c>
      <c r="P32" s="281" t="str">
        <f>IF($B$3="","",IF($B$3="PREGRADO",DATA!U33,""))</f>
        <v/>
      </c>
      <c r="Q32" s="412"/>
      <c r="R32" s="281" t="str">
        <f>IF($B$3="","",IF($B$3="PREGRADO",DATA!V33,""))</f>
        <v/>
      </c>
      <c r="S32" s="281" t="str">
        <f>IF($B$3="","",IF($B$3="PREGRADO",DATA!W33,""))</f>
        <v/>
      </c>
      <c r="T32" s="283" t="str" cm="1">
        <f t="array" ref="T32">IF($B$9="","",_xlfn.IFS($B$9="PRESENCIAL",_xlfn.XLOOKUP($S32,DATA!$B$4:$B$8,DATA!$D$4:$D$8,"",0,),$B$9="VIRTUAL",_xlfn.XLOOKUP($S32,DATA!$G$4:$G$8,DATA!$I$4:$I$8,"",0),$B$9="DISTANCIA",_xlfn.XLOOKUP($S32,DATA!$L$4:$L$8,DATA!$N$4:$N$8,"",0)))</f>
        <v/>
      </c>
      <c r="U32" s="283" t="str" cm="1">
        <f t="array" ref="U32">IF($B$9="","",_xlfn.IFS($B$9="PRESENCIAL",_xlfn.XLOOKUP($S32,DATA!$B$4:$B$8,DATA!$E$4:$E$8,"",0,),$B$9="VIRTUAL",_xlfn.XLOOKUP($S32,DATA!$G$4:$G$8,DATA!$J$4:$J$8,"",0),$B$9="DISTANCIA",_xlfn.XLOOKUP($S32,DATA!$L$4:$L$8,DATA!$O$4:$O$8,"",0)))</f>
        <v/>
      </c>
      <c r="V32" s="261" t="str">
        <f t="shared" si="0"/>
        <v/>
      </c>
      <c r="W32" s="282"/>
      <c r="X32" s="282"/>
      <c r="Y32" s="282"/>
      <c r="Z32" s="282"/>
      <c r="AA32" s="282"/>
      <c r="AB32" s="284"/>
      <c r="AC32" s="262" t="str">
        <f>IF(AE32="","",COUNTIF($AE$1:AE32,AE32))</f>
        <v/>
      </c>
      <c r="AD32" s="261" t="str">
        <f>IF(J32='PLAN DE ESTUDIO'!$XFD$41,"",IF(AE32="","",AC32&amp;K32&amp;L32&amp;M32))</f>
        <v/>
      </c>
      <c r="AE32" s="261" t="str">
        <f>IF(J32='PLAN DE ESTUDIO'!$XFD$41,"",IF(AF32=1,K32&amp;L32&amp;M32,""))</f>
        <v/>
      </c>
      <c r="AF32" s="261">
        <f>COUNTIF($O$1:O32,$O32)</f>
        <v>31</v>
      </c>
      <c r="AG32" s="285" t="str">
        <f>IF(J32='PLAN DE ESTUDIO'!$XFD$41,"",IF(P32="TP","Teórico-Práctica",IF(P32="T","Teórico",IF(P32="P","Práctica",""))))</f>
        <v/>
      </c>
      <c r="AH32" s="234" t="str">
        <f t="shared" si="1"/>
        <v xml:space="preserve"> </v>
      </c>
    </row>
    <row r="33" spans="1:34" ht="15" thickBot="1" x14ac:dyDescent="0.35">
      <c r="A33" s="483" t="s">
        <v>64</v>
      </c>
      <c r="B33" s="484"/>
      <c r="C33" s="485"/>
      <c r="J33" s="412"/>
      <c r="K33" s="281" t="str">
        <f>IF($B$3="","",IF($B$3="PREGRADO",DATA!Q34,""))</f>
        <v/>
      </c>
      <c r="L33" s="281" t="str">
        <f>IF($B$3="","",IF($B$3="PREGRADO",DATA!R34,""))</f>
        <v/>
      </c>
      <c r="M33" s="281" t="str">
        <f>IF($B$3="","",IF($B$3="PREGRADO",DATA!S34,""))</f>
        <v/>
      </c>
      <c r="N33" s="412"/>
      <c r="O33" s="281" t="str">
        <f>IF($B$3="","",IF($B$3="PREGRADO",DATA!T34,""))</f>
        <v/>
      </c>
      <c r="P33" s="281" t="str">
        <f>IF($B$3="","",IF($B$3="PREGRADO",DATA!U34,""))</f>
        <v/>
      </c>
      <c r="Q33" s="412"/>
      <c r="R33" s="281" t="str">
        <f>IF($B$3="","",IF($B$3="PREGRADO",DATA!V34,""))</f>
        <v/>
      </c>
      <c r="S33" s="281" t="str">
        <f>IF($B$3="","",IF($B$3="PREGRADO",DATA!W34,""))</f>
        <v/>
      </c>
      <c r="T33" s="283" t="str" cm="1">
        <f t="array" ref="T33">IF($B$9="","",_xlfn.IFS($B$9="PRESENCIAL",_xlfn.XLOOKUP($S33,DATA!$B$4:$B$8,DATA!$D$4:$D$8,"",0,),$B$9="VIRTUAL",_xlfn.XLOOKUP($S33,DATA!$G$4:$G$8,DATA!$I$4:$I$8,"",0),$B$9="DISTANCIA",_xlfn.XLOOKUP($S33,DATA!$L$4:$L$8,DATA!$N$4:$N$8,"",0)))</f>
        <v/>
      </c>
      <c r="U33" s="283" t="str" cm="1">
        <f t="array" ref="U33">IF($B$9="","",_xlfn.IFS($B$9="PRESENCIAL",_xlfn.XLOOKUP($S33,DATA!$B$4:$B$8,DATA!$E$4:$E$8,"",0,),$B$9="VIRTUAL",_xlfn.XLOOKUP($S33,DATA!$G$4:$G$8,DATA!$J$4:$J$8,"",0),$B$9="DISTANCIA",_xlfn.XLOOKUP($S33,DATA!$L$4:$L$8,DATA!$O$4:$O$8,"",0)))</f>
        <v/>
      </c>
      <c r="V33" s="261" t="str">
        <f t="shared" si="0"/>
        <v/>
      </c>
      <c r="W33" s="282"/>
      <c r="X33" s="282"/>
      <c r="Y33" s="282"/>
      <c r="Z33" s="282"/>
      <c r="AA33" s="282"/>
      <c r="AB33" s="284"/>
      <c r="AC33" s="262" t="str">
        <f>IF(AE33="","",COUNTIF($AE$1:AE33,AE33))</f>
        <v/>
      </c>
      <c r="AD33" s="261" t="str">
        <f>IF(J33='PLAN DE ESTUDIO'!$XFD$41,"",IF(AE33="","",AC33&amp;K33&amp;L33&amp;M33))</f>
        <v/>
      </c>
      <c r="AE33" s="261" t="str">
        <f>IF(J33='PLAN DE ESTUDIO'!$XFD$41,"",IF(AF33=1,K33&amp;L33&amp;M33,""))</f>
        <v/>
      </c>
      <c r="AF33" s="261">
        <f>COUNTIF($O$1:O33,$O33)</f>
        <v>32</v>
      </c>
      <c r="AG33" s="285" t="str">
        <f>IF(J33='PLAN DE ESTUDIO'!$XFD$41,"",IF(P33="TP","Teórico-Práctica",IF(P33="T","Teórico",IF(P33="P","Práctica",""))))</f>
        <v/>
      </c>
      <c r="AH33" s="234" t="str">
        <f t="shared" si="1"/>
        <v xml:space="preserve"> </v>
      </c>
    </row>
    <row r="34" spans="1:34" ht="15" thickBot="1" x14ac:dyDescent="0.35">
      <c r="A34" s="251" t="s">
        <v>19</v>
      </c>
      <c r="B34" s="264" t="s">
        <v>50</v>
      </c>
      <c r="C34" s="252" t="s">
        <v>51</v>
      </c>
      <c r="J34" s="412"/>
      <c r="K34" s="281" t="str">
        <f>IF($B$3="","",IF($B$3="PREGRADO",DATA!Q35,""))</f>
        <v/>
      </c>
      <c r="L34" s="281" t="str">
        <f>IF($B$3="","",IF($B$3="PREGRADO",DATA!R35,""))</f>
        <v/>
      </c>
      <c r="M34" s="281" t="str">
        <f>IF($B$3="","",IF($B$3="PREGRADO",DATA!S35,""))</f>
        <v/>
      </c>
      <c r="N34" s="412"/>
      <c r="O34" s="281" t="str">
        <f>IF($B$3="","",IF($B$3="PREGRADO",DATA!T35,""))</f>
        <v/>
      </c>
      <c r="P34" s="281" t="str">
        <f>IF($B$3="","",IF($B$3="PREGRADO",DATA!U35,""))</f>
        <v/>
      </c>
      <c r="Q34" s="412"/>
      <c r="R34" s="281" t="str">
        <f>IF($B$3="","",IF($B$3="PREGRADO",DATA!V35,""))</f>
        <v/>
      </c>
      <c r="S34" s="281" t="str">
        <f>IF($B$3="","",IF($B$3="PREGRADO",DATA!W35,""))</f>
        <v/>
      </c>
      <c r="T34" s="283" t="str" cm="1">
        <f t="array" ref="T34">IF($B$9="","",_xlfn.IFS($B$9="PRESENCIAL",_xlfn.XLOOKUP($S34,DATA!$B$4:$B$8,DATA!$D$4:$D$8,"",0,),$B$9="VIRTUAL",_xlfn.XLOOKUP($S34,DATA!$G$4:$G$8,DATA!$I$4:$I$8,"",0),$B$9="DISTANCIA",_xlfn.XLOOKUP($S34,DATA!$L$4:$L$8,DATA!$N$4:$N$8,"",0)))</f>
        <v/>
      </c>
      <c r="U34" s="283" t="str" cm="1">
        <f t="array" ref="U34">IF($B$9="","",_xlfn.IFS($B$9="PRESENCIAL",_xlfn.XLOOKUP($S34,DATA!$B$4:$B$8,DATA!$E$4:$E$8,"",0,),$B$9="VIRTUAL",_xlfn.XLOOKUP($S34,DATA!$G$4:$G$8,DATA!$J$4:$J$8,"",0),$B$9="DISTANCIA",_xlfn.XLOOKUP($S34,DATA!$L$4:$L$8,DATA!$O$4:$O$8,"",0)))</f>
        <v/>
      </c>
      <c r="V34" s="261" t="str">
        <f t="shared" si="0"/>
        <v/>
      </c>
      <c r="W34" s="282"/>
      <c r="X34" s="282"/>
      <c r="Y34" s="282"/>
      <c r="Z34" s="282"/>
      <c r="AA34" s="282"/>
      <c r="AB34" s="284"/>
      <c r="AC34" s="262" t="str">
        <f>IF(AE34="","",COUNTIF($AE$1:AE34,AE34))</f>
        <v/>
      </c>
      <c r="AD34" s="261" t="str">
        <f>IF(J34='PLAN DE ESTUDIO'!$XFD$41,"",IF(AE34="","",AC34&amp;K34&amp;L34&amp;M34))</f>
        <v/>
      </c>
      <c r="AE34" s="261" t="str">
        <f>IF(J34='PLAN DE ESTUDIO'!$XFD$41,"",IF(AF34=1,K34&amp;L34&amp;M34,""))</f>
        <v/>
      </c>
      <c r="AF34" s="261">
        <f>COUNTIF($O$1:O34,$O34)</f>
        <v>33</v>
      </c>
      <c r="AG34" s="285" t="str">
        <f>IF(J34='PLAN DE ESTUDIO'!$XFD$41,"",IF(P34="TP","Teórico-Práctica",IF(P34="T","Teórico",IF(P34="P","Práctica",""))))</f>
        <v/>
      </c>
      <c r="AH34" s="234" t="str">
        <f t="shared" si="1"/>
        <v xml:space="preserve"> </v>
      </c>
    </row>
    <row r="35" spans="1:34" x14ac:dyDescent="0.3">
      <c r="A35" s="254">
        <v>1</v>
      </c>
      <c r="B35" s="263" t="s">
        <v>52</v>
      </c>
      <c r="C35" s="257"/>
      <c r="J35" s="412"/>
      <c r="K35" s="281" t="str">
        <f>IF($B$3="","",IF($B$3="PREGRADO",DATA!Q36,""))</f>
        <v/>
      </c>
      <c r="L35" s="281" t="str">
        <f>IF($B$3="","",IF($B$3="PREGRADO",DATA!R36,""))</f>
        <v/>
      </c>
      <c r="M35" s="281" t="str">
        <f>IF($B$3="","",IF($B$3="PREGRADO",DATA!S36,""))</f>
        <v/>
      </c>
      <c r="N35" s="412"/>
      <c r="O35" s="281" t="str">
        <f>IF($B$3="","",IF($B$3="PREGRADO",DATA!T36,""))</f>
        <v/>
      </c>
      <c r="P35" s="281" t="str">
        <f>IF($B$3="","",IF($B$3="PREGRADO",DATA!U36,""))</f>
        <v/>
      </c>
      <c r="Q35" s="412"/>
      <c r="R35" s="281" t="str">
        <f>IF($B$3="","",IF($B$3="PREGRADO",DATA!V36,""))</f>
        <v/>
      </c>
      <c r="S35" s="281" t="str">
        <f>IF($B$3="","",IF($B$3="PREGRADO",DATA!W36,""))</f>
        <v/>
      </c>
      <c r="T35" s="283" t="str" cm="1">
        <f t="array" ref="T35">IF($B$9="","",_xlfn.IFS($B$9="PRESENCIAL",_xlfn.XLOOKUP($S35,DATA!$B$4:$B$8,DATA!$D$4:$D$8,"",0,),$B$9="VIRTUAL",_xlfn.XLOOKUP($S35,DATA!$G$4:$G$8,DATA!$I$4:$I$8,"",0),$B$9="DISTANCIA",_xlfn.XLOOKUP($S35,DATA!$L$4:$L$8,DATA!$N$4:$N$8,"",0)))</f>
        <v/>
      </c>
      <c r="U35" s="283" t="str" cm="1">
        <f t="array" ref="U35">IF($B$9="","",_xlfn.IFS($B$9="PRESENCIAL",_xlfn.XLOOKUP($S35,DATA!$B$4:$B$8,DATA!$E$4:$E$8,"",0,),$B$9="VIRTUAL",_xlfn.XLOOKUP($S35,DATA!$G$4:$G$8,DATA!$J$4:$J$8,"",0),$B$9="DISTANCIA",_xlfn.XLOOKUP($S35,DATA!$L$4:$L$8,DATA!$O$4:$O$8,"",0)))</f>
        <v/>
      </c>
      <c r="V35" s="261" t="str">
        <f t="shared" si="0"/>
        <v/>
      </c>
      <c r="W35" s="282"/>
      <c r="X35" s="282"/>
      <c r="Y35" s="282"/>
      <c r="Z35" s="282"/>
      <c r="AA35" s="282"/>
      <c r="AB35" s="284"/>
      <c r="AC35" s="262" t="str">
        <f>IF(AE35="","",COUNTIF($AE$1:AE35,AE35))</f>
        <v/>
      </c>
      <c r="AD35" s="261" t="str">
        <f>IF(J35='PLAN DE ESTUDIO'!$XFD$41,"",IF(AE35="","",AC35&amp;K35&amp;L35&amp;M35))</f>
        <v/>
      </c>
      <c r="AE35" s="261" t="str">
        <f>IF(J35='PLAN DE ESTUDIO'!$XFD$41,"",IF(AF35=1,K35&amp;L35&amp;M35,""))</f>
        <v/>
      </c>
      <c r="AF35" s="261">
        <f>COUNTIF($O$1:O35,$O35)</f>
        <v>34</v>
      </c>
      <c r="AG35" s="285" t="str">
        <f>IF(J35='PLAN DE ESTUDIO'!$XFD$41,"",IF(P35="TP","Teórico-Práctica",IF(P35="T","Teórico",IF(P35="P","Práctica",""))))</f>
        <v/>
      </c>
      <c r="AH35" s="234" t="str">
        <f t="shared" si="1"/>
        <v xml:space="preserve"> </v>
      </c>
    </row>
    <row r="36" spans="1:34" x14ac:dyDescent="0.3">
      <c r="A36" s="255">
        <v>2</v>
      </c>
      <c r="B36" s="259" t="s">
        <v>52</v>
      </c>
      <c r="C36" s="228"/>
      <c r="J36" s="412"/>
      <c r="K36" s="281" t="str">
        <f>IF($B$3="","",IF($B$3="PREGRADO",DATA!Q37,""))</f>
        <v/>
      </c>
      <c r="L36" s="281" t="str">
        <f>IF($B$3="","",IF($B$3="PREGRADO",DATA!R37,""))</f>
        <v/>
      </c>
      <c r="M36" s="281" t="str">
        <f>IF($B$3="","",IF($B$3="PREGRADO",DATA!S37,""))</f>
        <v/>
      </c>
      <c r="N36" s="412"/>
      <c r="O36" s="281" t="str">
        <f>IF($B$3="","",IF($B$3="PREGRADO",DATA!T37,""))</f>
        <v/>
      </c>
      <c r="P36" s="281" t="str">
        <f>IF($B$3="","",IF($B$3="PREGRADO",DATA!U37,""))</f>
        <v/>
      </c>
      <c r="Q36" s="412"/>
      <c r="R36" s="281" t="str">
        <f>IF($B$3="","",IF($B$3="PREGRADO",DATA!V37,""))</f>
        <v/>
      </c>
      <c r="S36" s="281" t="str">
        <f>IF($B$3="","",IF($B$3="PREGRADO",DATA!W37,""))</f>
        <v/>
      </c>
      <c r="T36" s="283" t="str" cm="1">
        <f t="array" ref="T36">IF($B$9="","",_xlfn.IFS($B$9="PRESENCIAL",_xlfn.XLOOKUP($S36,DATA!$B$4:$B$8,DATA!$D$4:$D$8,"",0,),$B$9="VIRTUAL",_xlfn.XLOOKUP($S36,DATA!$G$4:$G$8,DATA!$I$4:$I$8,"",0),$B$9="DISTANCIA",_xlfn.XLOOKUP($S36,DATA!$L$4:$L$8,DATA!$N$4:$N$8,"",0)))</f>
        <v/>
      </c>
      <c r="U36" s="283" t="str" cm="1">
        <f t="array" ref="U36">IF($B$9="","",_xlfn.IFS($B$9="PRESENCIAL",_xlfn.XLOOKUP($S36,DATA!$B$4:$B$8,DATA!$E$4:$E$8,"",0,),$B$9="VIRTUAL",_xlfn.XLOOKUP($S36,DATA!$G$4:$G$8,DATA!$J$4:$J$8,"",0),$B$9="DISTANCIA",_xlfn.XLOOKUP($S36,DATA!$L$4:$L$8,DATA!$O$4:$O$8,"",0)))</f>
        <v/>
      </c>
      <c r="V36" s="261" t="str">
        <f t="shared" si="0"/>
        <v/>
      </c>
      <c r="W36" s="282"/>
      <c r="X36" s="282"/>
      <c r="Y36" s="282"/>
      <c r="Z36" s="282"/>
      <c r="AA36" s="282"/>
      <c r="AB36" s="284"/>
      <c r="AC36" s="262" t="str">
        <f>IF(AE36="","",COUNTIF($AE$1:AE36,AE36))</f>
        <v/>
      </c>
      <c r="AD36" s="261" t="str">
        <f>IF(J36='PLAN DE ESTUDIO'!$XFD$41,"",IF(AE36="","",AC36&amp;K36&amp;L36&amp;M36))</f>
        <v/>
      </c>
      <c r="AE36" s="261" t="str">
        <f>IF(J36='PLAN DE ESTUDIO'!$XFD$41,"",IF(AF36=1,K36&amp;L36&amp;M36,""))</f>
        <v/>
      </c>
      <c r="AF36" s="261">
        <f>COUNTIF($O$1:O36,$O36)</f>
        <v>35</v>
      </c>
      <c r="AG36" s="285" t="str">
        <f>IF(J36='PLAN DE ESTUDIO'!$XFD$41,"",IF(P36="TP","Teórico-Práctica",IF(P36="T","Teórico",IF(P36="P","Práctica",""))))</f>
        <v/>
      </c>
      <c r="AH36" s="234" t="str">
        <f t="shared" si="1"/>
        <v xml:space="preserve"> </v>
      </c>
    </row>
    <row r="37" spans="1:34" x14ac:dyDescent="0.3">
      <c r="A37" s="255">
        <v>3</v>
      </c>
      <c r="B37" s="259" t="s">
        <v>52</v>
      </c>
      <c r="C37" s="228"/>
      <c r="J37" s="412"/>
      <c r="K37" s="281" t="str">
        <f>IF($B$3="","",IF($B$3="PREGRADO",DATA!Q38,""))</f>
        <v/>
      </c>
      <c r="L37" s="281" t="str">
        <f>IF($B$3="","",IF($B$3="PREGRADO",DATA!R38,""))</f>
        <v/>
      </c>
      <c r="M37" s="281" t="str">
        <f>IF($B$3="","",IF($B$3="PREGRADO",DATA!S38,""))</f>
        <v/>
      </c>
      <c r="N37" s="412"/>
      <c r="O37" s="281" t="str">
        <f>IF($B$3="","",IF($B$3="PREGRADO",DATA!T38,""))</f>
        <v/>
      </c>
      <c r="P37" s="281" t="str">
        <f>IF($B$3="","",IF($B$3="PREGRADO",DATA!U38,""))</f>
        <v/>
      </c>
      <c r="Q37" s="412"/>
      <c r="R37" s="281" t="str">
        <f>IF($B$3="","",IF($B$3="PREGRADO",DATA!V38,""))</f>
        <v/>
      </c>
      <c r="S37" s="281" t="str">
        <f>IF($B$3="","",IF($B$3="PREGRADO",DATA!W38,""))</f>
        <v/>
      </c>
      <c r="T37" s="283" t="str" cm="1">
        <f t="array" ref="T37">IF($B$9="","",_xlfn.IFS($B$9="PRESENCIAL",_xlfn.XLOOKUP($S37,DATA!$B$4:$B$8,DATA!$D$4:$D$8,"",0,),$B$9="VIRTUAL",_xlfn.XLOOKUP($S37,DATA!$G$4:$G$8,DATA!$I$4:$I$8,"",0),$B$9="DISTANCIA",_xlfn.XLOOKUP($S37,DATA!$L$4:$L$8,DATA!$N$4:$N$8,"",0)))</f>
        <v/>
      </c>
      <c r="U37" s="283" t="str" cm="1">
        <f t="array" ref="U37">IF($B$9="","",_xlfn.IFS($B$9="PRESENCIAL",_xlfn.XLOOKUP($S37,DATA!$B$4:$B$8,DATA!$E$4:$E$8,"",0,),$B$9="VIRTUAL",_xlfn.XLOOKUP($S37,DATA!$G$4:$G$8,DATA!$J$4:$J$8,"",0),$B$9="DISTANCIA",_xlfn.XLOOKUP($S37,DATA!$L$4:$L$8,DATA!$O$4:$O$8,"",0)))</f>
        <v/>
      </c>
      <c r="V37" s="261" t="str">
        <f t="shared" si="0"/>
        <v/>
      </c>
      <c r="W37" s="282"/>
      <c r="X37" s="282"/>
      <c r="Y37" s="282"/>
      <c r="Z37" s="282"/>
      <c r="AA37" s="282"/>
      <c r="AB37" s="284"/>
      <c r="AC37" s="262" t="str">
        <f>IF(AE37="","",COUNTIF($AE$1:AE37,AE37))</f>
        <v/>
      </c>
      <c r="AD37" s="261" t="str">
        <f>IF(J37='PLAN DE ESTUDIO'!$XFD$41,"",IF(AE37="","",AC37&amp;K37&amp;L37&amp;M37))</f>
        <v/>
      </c>
      <c r="AE37" s="261" t="str">
        <f>IF(J37='PLAN DE ESTUDIO'!$XFD$41,"",IF(AF37=1,K37&amp;L37&amp;M37,""))</f>
        <v/>
      </c>
      <c r="AF37" s="261">
        <f>COUNTIF($O$1:O37,$O37)</f>
        <v>36</v>
      </c>
      <c r="AG37" s="285" t="str">
        <f>IF(J37='PLAN DE ESTUDIO'!$XFD$41,"",IF(P37="TP","Teórico-Práctica",IF(P37="T","Teórico",IF(P37="P","Práctica",""))))</f>
        <v/>
      </c>
      <c r="AH37" s="234" t="str">
        <f t="shared" si="1"/>
        <v xml:space="preserve"> </v>
      </c>
    </row>
    <row r="38" spans="1:34" x14ac:dyDescent="0.3">
      <c r="A38" s="255">
        <v>4</v>
      </c>
      <c r="B38" s="259" t="s">
        <v>52</v>
      </c>
      <c r="C38" s="228"/>
      <c r="J38" s="412"/>
      <c r="K38" s="281" t="str">
        <f>IF($B$3="","",IF($B$3="PREGRADO",DATA!Q39,""))</f>
        <v/>
      </c>
      <c r="L38" s="281" t="str">
        <f>IF($B$3="","",IF($B$3="PREGRADO",DATA!R39,""))</f>
        <v/>
      </c>
      <c r="M38" s="281" t="str">
        <f>IF($B$3="","",IF($B$3="PREGRADO",DATA!S39,""))</f>
        <v/>
      </c>
      <c r="N38" s="412"/>
      <c r="O38" s="281" t="str">
        <f>IF($B$3="","",IF($B$3="PREGRADO",DATA!T39,""))</f>
        <v/>
      </c>
      <c r="P38" s="281" t="str">
        <f>IF($B$3="","",IF($B$3="PREGRADO",DATA!U39,""))</f>
        <v/>
      </c>
      <c r="Q38" s="412"/>
      <c r="R38" s="281" t="str">
        <f>IF($B$3="","",IF($B$3="PREGRADO",DATA!V39,""))</f>
        <v/>
      </c>
      <c r="S38" s="281" t="str">
        <f>IF($B$3="","",IF($B$3="PREGRADO",DATA!W39,""))</f>
        <v/>
      </c>
      <c r="T38" s="283" t="str" cm="1">
        <f t="array" ref="T38">IF($B$9="","",_xlfn.IFS($B$9="PRESENCIAL",_xlfn.XLOOKUP($S38,DATA!$B$4:$B$8,DATA!$D$4:$D$8,"",0,),$B$9="VIRTUAL",_xlfn.XLOOKUP($S38,DATA!$G$4:$G$8,DATA!$I$4:$I$8,"",0),$B$9="DISTANCIA",_xlfn.XLOOKUP($S38,DATA!$L$4:$L$8,DATA!$N$4:$N$8,"",0)))</f>
        <v/>
      </c>
      <c r="U38" s="283" t="str" cm="1">
        <f t="array" ref="U38">IF($B$9="","",_xlfn.IFS($B$9="PRESENCIAL",_xlfn.XLOOKUP($S38,DATA!$B$4:$B$8,DATA!$E$4:$E$8,"",0,),$B$9="VIRTUAL",_xlfn.XLOOKUP($S38,DATA!$G$4:$G$8,DATA!$J$4:$J$8,"",0),$B$9="DISTANCIA",_xlfn.XLOOKUP($S38,DATA!$L$4:$L$8,DATA!$O$4:$O$8,"",0)))</f>
        <v/>
      </c>
      <c r="V38" s="261" t="str">
        <f t="shared" si="0"/>
        <v/>
      </c>
      <c r="W38" s="282"/>
      <c r="X38" s="282"/>
      <c r="Y38" s="282"/>
      <c r="Z38" s="282"/>
      <c r="AA38" s="282"/>
      <c r="AB38" s="284"/>
      <c r="AC38" s="262" t="str">
        <f>IF(AE38="","",COUNTIF($AE$1:AE38,AE38))</f>
        <v/>
      </c>
      <c r="AD38" s="261" t="str">
        <f>IF(J38='PLAN DE ESTUDIO'!$XFD$41,"",IF(AE38="","",AC38&amp;K38&amp;L38&amp;M38))</f>
        <v/>
      </c>
      <c r="AE38" s="261" t="str">
        <f>IF(J38='PLAN DE ESTUDIO'!$XFD$41,"",IF(AF38=1,K38&amp;L38&amp;M38,""))</f>
        <v/>
      </c>
      <c r="AF38" s="261">
        <f>COUNTIF($O$1:O38,$O38)</f>
        <v>37</v>
      </c>
      <c r="AG38" s="285" t="str">
        <f>IF(J38='PLAN DE ESTUDIO'!$XFD$41,"",IF(P38="TP","Teórico-Práctica",IF(P38="T","Teórico",IF(P38="P","Práctica",""))))</f>
        <v/>
      </c>
      <c r="AH38" s="234" t="str">
        <f t="shared" si="1"/>
        <v xml:space="preserve"> </v>
      </c>
    </row>
    <row r="39" spans="1:34" x14ac:dyDescent="0.3">
      <c r="A39" s="255">
        <v>5</v>
      </c>
      <c r="B39" s="259" t="s">
        <v>52</v>
      </c>
      <c r="C39" s="228"/>
      <c r="J39" s="412"/>
      <c r="K39" s="281" t="str">
        <f>IF($B$3="","",IF($B$3="PREGRADO",DATA!Q40,""))</f>
        <v/>
      </c>
      <c r="L39" s="281" t="str">
        <f>IF($B$3="","",IF($B$3="PREGRADO",DATA!R40,""))</f>
        <v/>
      </c>
      <c r="M39" s="281" t="str">
        <f>IF($B$3="","",IF($B$3="PREGRADO",DATA!S40,""))</f>
        <v/>
      </c>
      <c r="N39" s="412"/>
      <c r="O39" s="281" t="str">
        <f>IF($B$3="","",IF($B$3="PREGRADO",DATA!T40,""))</f>
        <v/>
      </c>
      <c r="P39" s="281" t="str">
        <f>IF($B$3="","",IF($B$3="PREGRADO",DATA!U40,""))</f>
        <v/>
      </c>
      <c r="Q39" s="412"/>
      <c r="R39" s="281" t="str">
        <f>IF($B$3="","",IF($B$3="PREGRADO",DATA!V40,""))</f>
        <v/>
      </c>
      <c r="S39" s="281" t="str">
        <f>IF($B$3="","",IF($B$3="PREGRADO",DATA!W40,""))</f>
        <v/>
      </c>
      <c r="T39" s="283" t="str" cm="1">
        <f t="array" ref="T39">IF($B$9="","",_xlfn.IFS($B$9="PRESENCIAL",_xlfn.XLOOKUP($S39,DATA!$B$4:$B$8,DATA!$D$4:$D$8,"",0,),$B$9="VIRTUAL",_xlfn.XLOOKUP($S39,DATA!$G$4:$G$8,DATA!$I$4:$I$8,"",0),$B$9="DISTANCIA",_xlfn.XLOOKUP($S39,DATA!$L$4:$L$8,DATA!$N$4:$N$8,"",0)))</f>
        <v/>
      </c>
      <c r="U39" s="283" t="str" cm="1">
        <f t="array" ref="U39">IF($B$9="","",_xlfn.IFS($B$9="PRESENCIAL",_xlfn.XLOOKUP($S39,DATA!$B$4:$B$8,DATA!$E$4:$E$8,"",0,),$B$9="VIRTUAL",_xlfn.XLOOKUP($S39,DATA!$G$4:$G$8,DATA!$J$4:$J$8,"",0),$B$9="DISTANCIA",_xlfn.XLOOKUP($S39,DATA!$L$4:$L$8,DATA!$O$4:$O$8,"",0)))</f>
        <v/>
      </c>
      <c r="V39" s="261" t="str">
        <f t="shared" si="0"/>
        <v/>
      </c>
      <c r="W39" s="282"/>
      <c r="X39" s="282"/>
      <c r="Y39" s="282"/>
      <c r="Z39" s="282"/>
      <c r="AA39" s="282"/>
      <c r="AB39" s="284"/>
      <c r="AC39" s="262" t="str">
        <f>IF(AE39="","",COUNTIF($AE$1:AE39,AE39))</f>
        <v/>
      </c>
      <c r="AD39" s="261" t="str">
        <f>IF(J39='PLAN DE ESTUDIO'!$XFD$41,"",IF(AE39="","",AC39&amp;K39&amp;L39&amp;M39))</f>
        <v/>
      </c>
      <c r="AE39" s="261" t="str">
        <f>IF(J39='PLAN DE ESTUDIO'!$XFD$41,"",IF(AF39=1,K39&amp;L39&amp;M39,""))</f>
        <v/>
      </c>
      <c r="AF39" s="261">
        <f>COUNTIF($O$1:O39,$O39)</f>
        <v>38</v>
      </c>
      <c r="AG39" s="285" t="str">
        <f>IF(J39='PLAN DE ESTUDIO'!$XFD$41,"",IF(P39="TP","Teórico-Práctica",IF(P39="T","Teórico",IF(P39="P","Práctica",""))))</f>
        <v/>
      </c>
      <c r="AH39" s="234" t="str">
        <f t="shared" si="1"/>
        <v xml:space="preserve"> </v>
      </c>
    </row>
    <row r="40" spans="1:34" x14ac:dyDescent="0.3">
      <c r="A40" s="255">
        <v>1</v>
      </c>
      <c r="B40" s="259" t="s">
        <v>57</v>
      </c>
      <c r="C40" s="259" t="s">
        <v>60</v>
      </c>
      <c r="J40" s="412"/>
      <c r="K40" s="281" t="str">
        <f>IF($B$3="","",IF($B$3="PREGRADO",DATA!Q41,""))</f>
        <v/>
      </c>
      <c r="L40" s="281" t="str">
        <f>IF($B$3="","",IF($B$3="PREGRADO",DATA!R41,""))</f>
        <v/>
      </c>
      <c r="M40" s="281" t="str">
        <f>IF($B$3="","",IF($B$3="PREGRADO",DATA!S41,""))</f>
        <v/>
      </c>
      <c r="N40" s="412"/>
      <c r="O40" s="281" t="str">
        <f>IF($B$3="","",IF($B$3="PREGRADO",DATA!T41,""))</f>
        <v/>
      </c>
      <c r="P40" s="281" t="str">
        <f>IF($B$3="","",IF($B$3="PREGRADO",DATA!U41,""))</f>
        <v/>
      </c>
      <c r="Q40" s="412"/>
      <c r="R40" s="281" t="str">
        <f>IF($B$3="","",IF($B$3="PREGRADO",DATA!V41,""))</f>
        <v/>
      </c>
      <c r="S40" s="281" t="str">
        <f>IF($B$3="","",IF($B$3="PREGRADO",DATA!W41,""))</f>
        <v/>
      </c>
      <c r="T40" s="283" t="str" cm="1">
        <f t="array" ref="T40">IF($B$9="","",_xlfn.IFS($B$9="PRESENCIAL",_xlfn.XLOOKUP($S40,DATA!$B$4:$B$8,DATA!$D$4:$D$8,"",0,),$B$9="VIRTUAL",_xlfn.XLOOKUP($S40,DATA!$G$4:$G$8,DATA!$I$4:$I$8,"",0),$B$9="DISTANCIA",_xlfn.XLOOKUP($S40,DATA!$L$4:$L$8,DATA!$N$4:$N$8,"",0)))</f>
        <v/>
      </c>
      <c r="U40" s="283" t="str" cm="1">
        <f t="array" ref="U40">IF($B$9="","",_xlfn.IFS($B$9="PRESENCIAL",_xlfn.XLOOKUP($S40,DATA!$B$4:$B$8,DATA!$E$4:$E$8,"",0,),$B$9="VIRTUAL",_xlfn.XLOOKUP($S40,DATA!$G$4:$G$8,DATA!$J$4:$J$8,"",0),$B$9="DISTANCIA",_xlfn.XLOOKUP($S40,DATA!$L$4:$L$8,DATA!$O$4:$O$8,"",0)))</f>
        <v/>
      </c>
      <c r="V40" s="261" t="str">
        <f t="shared" si="0"/>
        <v/>
      </c>
      <c r="W40" s="282"/>
      <c r="X40" s="282"/>
      <c r="Y40" s="282"/>
      <c r="Z40" s="282"/>
      <c r="AA40" s="282"/>
      <c r="AB40" s="284"/>
      <c r="AC40" s="262" t="str">
        <f>IF(AE40="","",COUNTIF($AE$1:AE40,AE40))</f>
        <v/>
      </c>
      <c r="AD40" s="261" t="str">
        <f>IF(J40='PLAN DE ESTUDIO'!$XFD$41,"",IF(AE40="","",AC40&amp;K40&amp;L40&amp;M40))</f>
        <v/>
      </c>
      <c r="AE40" s="261" t="str">
        <f>IF(J40='PLAN DE ESTUDIO'!$XFD$41,"",IF(AF40=1,K40&amp;L40&amp;M40,""))</f>
        <v/>
      </c>
      <c r="AF40" s="261">
        <f>COUNTIF($O$1:O40,$O40)</f>
        <v>39</v>
      </c>
      <c r="AG40" s="285" t="str">
        <f>IF(J40='PLAN DE ESTUDIO'!$XFD$41,"",IF(P40="TP","Teórico-Práctica",IF(P40="T","Teórico",IF(P40="P","Práctica",""))))</f>
        <v/>
      </c>
      <c r="AH40" s="234" t="str">
        <f t="shared" si="1"/>
        <v xml:space="preserve"> </v>
      </c>
    </row>
    <row r="41" spans="1:34" x14ac:dyDescent="0.3">
      <c r="A41" s="255">
        <v>2</v>
      </c>
      <c r="B41" s="259" t="s">
        <v>57</v>
      </c>
      <c r="C41" s="259" t="s">
        <v>58</v>
      </c>
      <c r="J41" s="412"/>
      <c r="K41" s="281" t="str">
        <f>IF($B$3="","",IF($B$3="PREGRADO",DATA!Q42,""))</f>
        <v/>
      </c>
      <c r="L41" s="281" t="str">
        <f>IF($B$3="","",IF($B$3="PREGRADO",DATA!R42,""))</f>
        <v/>
      </c>
      <c r="M41" s="281" t="str">
        <f>IF($B$3="","",IF($B$3="PREGRADO",DATA!S42,""))</f>
        <v/>
      </c>
      <c r="N41" s="412"/>
      <c r="O41" s="281" t="str">
        <f>IF($B$3="","",IF($B$3="PREGRADO",DATA!T42,""))</f>
        <v/>
      </c>
      <c r="P41" s="281" t="str">
        <f>IF($B$3="","",IF($B$3="PREGRADO",DATA!U42,""))</f>
        <v/>
      </c>
      <c r="Q41" s="412"/>
      <c r="R41" s="281" t="str">
        <f>IF($B$3="","",IF($B$3="PREGRADO",DATA!V42,""))</f>
        <v/>
      </c>
      <c r="S41" s="281" t="str">
        <f>IF($B$3="","",IF($B$3="PREGRADO",DATA!W42,""))</f>
        <v/>
      </c>
      <c r="T41" s="283" t="str" cm="1">
        <f t="array" ref="T41">IF($B$9="","",_xlfn.IFS($B$9="PRESENCIAL",_xlfn.XLOOKUP($S41,DATA!$B$4:$B$8,DATA!$D$4:$D$8,"",0,),$B$9="VIRTUAL",_xlfn.XLOOKUP($S41,DATA!$G$4:$G$8,DATA!$I$4:$I$8,"",0),$B$9="DISTANCIA",_xlfn.XLOOKUP($S41,DATA!$L$4:$L$8,DATA!$N$4:$N$8,"",0)))</f>
        <v/>
      </c>
      <c r="U41" s="283" t="str" cm="1">
        <f t="array" ref="U41">IF($B$9="","",_xlfn.IFS($B$9="PRESENCIAL",_xlfn.XLOOKUP($S41,DATA!$B$4:$B$8,DATA!$E$4:$E$8,"",0,),$B$9="VIRTUAL",_xlfn.XLOOKUP($S41,DATA!$G$4:$G$8,DATA!$J$4:$J$8,"",0),$B$9="DISTANCIA",_xlfn.XLOOKUP($S41,DATA!$L$4:$L$8,DATA!$O$4:$O$8,"",0)))</f>
        <v/>
      </c>
      <c r="V41" s="261" t="str">
        <f t="shared" si="0"/>
        <v/>
      </c>
      <c r="W41" s="282"/>
      <c r="X41" s="282"/>
      <c r="Y41" s="282"/>
      <c r="Z41" s="282"/>
      <c r="AA41" s="282"/>
      <c r="AB41" s="284"/>
      <c r="AC41" s="262" t="str">
        <f>IF(AE41="","",COUNTIF($AE$1:AE41,AE41))</f>
        <v/>
      </c>
      <c r="AD41" s="261" t="str">
        <f>IF(J41='PLAN DE ESTUDIO'!$XFD$41,"",IF(AE41="","",AC41&amp;K41&amp;L41&amp;M41))</f>
        <v/>
      </c>
      <c r="AE41" s="261" t="str">
        <f>IF(J41='PLAN DE ESTUDIO'!$XFD$41,"",IF(AF41=1,K41&amp;L41&amp;M41,""))</f>
        <v/>
      </c>
      <c r="AF41" s="261">
        <f>COUNTIF($O$1:O41,$O41)</f>
        <v>40</v>
      </c>
      <c r="AG41" s="285" t="str">
        <f>IF(J41='PLAN DE ESTUDIO'!$XFD$41,"",IF(P41="TP","Teórico-Práctica",IF(P41="T","Teórico",IF(P41="P","Práctica",""))))</f>
        <v/>
      </c>
      <c r="AH41" s="234" t="str">
        <f t="shared" si="1"/>
        <v xml:space="preserve"> </v>
      </c>
    </row>
    <row r="42" spans="1:34" x14ac:dyDescent="0.3">
      <c r="A42" s="255">
        <v>3</v>
      </c>
      <c r="B42" s="259" t="s">
        <v>57</v>
      </c>
      <c r="C42" s="259" t="s">
        <v>62</v>
      </c>
      <c r="J42" s="412"/>
      <c r="K42" s="281" t="str">
        <f>IF($B$3="","",IF($B$3="PREGRADO",DATA!Q43,""))</f>
        <v/>
      </c>
      <c r="L42" s="281" t="str">
        <f>IF($B$3="","",IF($B$3="PREGRADO",DATA!R43,""))</f>
        <v/>
      </c>
      <c r="M42" s="281" t="str">
        <f>IF($B$3="","",IF($B$3="PREGRADO",DATA!S43,""))</f>
        <v/>
      </c>
      <c r="N42" s="412"/>
      <c r="O42" s="281" t="str">
        <f>IF($B$3="","",IF($B$3="PREGRADO",DATA!T43,""))</f>
        <v/>
      </c>
      <c r="P42" s="281" t="str">
        <f>IF($B$3="","",IF($B$3="PREGRADO",DATA!U43,""))</f>
        <v/>
      </c>
      <c r="Q42" s="412"/>
      <c r="R42" s="281" t="str">
        <f>IF($B$3="","",IF($B$3="PREGRADO",DATA!V43,""))</f>
        <v/>
      </c>
      <c r="S42" s="281" t="str">
        <f>IF($B$3="","",IF($B$3="PREGRADO",DATA!W43,""))</f>
        <v/>
      </c>
      <c r="T42" s="283" t="str" cm="1">
        <f t="array" ref="T42">IF($B$9="","",_xlfn.IFS($B$9="PRESENCIAL",_xlfn.XLOOKUP($S42,DATA!$B$4:$B$8,DATA!$D$4:$D$8,"",0,),$B$9="VIRTUAL",_xlfn.XLOOKUP($S42,DATA!$G$4:$G$8,DATA!$I$4:$I$8,"",0),$B$9="DISTANCIA",_xlfn.XLOOKUP($S42,DATA!$L$4:$L$8,DATA!$N$4:$N$8,"",0)))</f>
        <v/>
      </c>
      <c r="U42" s="283" t="str" cm="1">
        <f t="array" ref="U42">IF($B$9="","",_xlfn.IFS($B$9="PRESENCIAL",_xlfn.XLOOKUP($S42,DATA!$B$4:$B$8,DATA!$E$4:$E$8,"",0,),$B$9="VIRTUAL",_xlfn.XLOOKUP($S42,DATA!$G$4:$G$8,DATA!$J$4:$J$8,"",0),$B$9="DISTANCIA",_xlfn.XLOOKUP($S42,DATA!$L$4:$L$8,DATA!$O$4:$O$8,"",0)))</f>
        <v/>
      </c>
      <c r="V42" s="261" t="str">
        <f t="shared" si="0"/>
        <v/>
      </c>
      <c r="W42" s="282"/>
      <c r="X42" s="282"/>
      <c r="Y42" s="282"/>
      <c r="Z42" s="282"/>
      <c r="AA42" s="282"/>
      <c r="AB42" s="284"/>
      <c r="AC42" s="262" t="str">
        <f>IF(AE42="","",COUNTIF($AE$1:AE42,AE42))</f>
        <v/>
      </c>
      <c r="AD42" s="261" t="str">
        <f>IF(J42='PLAN DE ESTUDIO'!$XFD$41,"",IF(AE42="","",AC42&amp;K42&amp;L42&amp;M42))</f>
        <v/>
      </c>
      <c r="AE42" s="261" t="str">
        <f>IF(J42='PLAN DE ESTUDIO'!$XFD$41,"",IF(AF42=1,K42&amp;L42&amp;M42,""))</f>
        <v/>
      </c>
      <c r="AF42" s="261">
        <f>COUNTIF($O$1:O42,$O42)</f>
        <v>41</v>
      </c>
      <c r="AG42" s="285" t="str">
        <f>IF(J42='PLAN DE ESTUDIO'!$XFD$41,"",IF(P42="TP","Teórico-Práctica",IF(P42="T","Teórico",IF(P42="P","Práctica",""))))</f>
        <v/>
      </c>
      <c r="AH42" s="234" t="str">
        <f t="shared" si="1"/>
        <v xml:space="preserve"> </v>
      </c>
    </row>
    <row r="43" spans="1:34" x14ac:dyDescent="0.3">
      <c r="A43" s="255">
        <v>1</v>
      </c>
      <c r="B43" s="259" t="s">
        <v>65</v>
      </c>
      <c r="C43" s="259" t="s">
        <v>56</v>
      </c>
      <c r="J43" s="412"/>
      <c r="K43" s="281" t="str">
        <f>IF($B$3="","",IF($B$3="PREGRADO",DATA!Q44,""))</f>
        <v/>
      </c>
      <c r="L43" s="281" t="str">
        <f>IF($B$3="","",IF($B$3="PREGRADO",DATA!R44,""))</f>
        <v/>
      </c>
      <c r="M43" s="281" t="str">
        <f>IF($B$3="","",IF($B$3="PREGRADO",DATA!S44,""))</f>
        <v/>
      </c>
      <c r="N43" s="412"/>
      <c r="O43" s="281" t="str">
        <f>IF($B$3="","",IF($B$3="PREGRADO",DATA!T44,""))</f>
        <v/>
      </c>
      <c r="P43" s="281" t="str">
        <f>IF($B$3="","",IF($B$3="PREGRADO",DATA!U44,""))</f>
        <v/>
      </c>
      <c r="Q43" s="412"/>
      <c r="R43" s="281" t="str">
        <f>IF($B$3="","",IF($B$3="PREGRADO",DATA!V44,""))</f>
        <v/>
      </c>
      <c r="S43" s="281" t="str">
        <f>IF($B$3="","",IF($B$3="PREGRADO",DATA!W44,""))</f>
        <v/>
      </c>
      <c r="T43" s="283" t="str" cm="1">
        <f t="array" ref="T43">IF($B$9="","",_xlfn.IFS($B$9="PRESENCIAL",_xlfn.XLOOKUP($S43,DATA!$B$4:$B$8,DATA!$D$4:$D$8,"",0,),$B$9="VIRTUAL",_xlfn.XLOOKUP($S43,DATA!$G$4:$G$8,DATA!$I$4:$I$8,"",0),$B$9="DISTANCIA",_xlfn.XLOOKUP($S43,DATA!$L$4:$L$8,DATA!$N$4:$N$8,"",0)))</f>
        <v/>
      </c>
      <c r="U43" s="283" t="str" cm="1">
        <f t="array" ref="U43">IF($B$9="","",_xlfn.IFS($B$9="PRESENCIAL",_xlfn.XLOOKUP($S43,DATA!$B$4:$B$8,DATA!$E$4:$E$8,"",0,),$B$9="VIRTUAL",_xlfn.XLOOKUP($S43,DATA!$G$4:$G$8,DATA!$J$4:$J$8,"",0),$B$9="DISTANCIA",_xlfn.XLOOKUP($S43,DATA!$L$4:$L$8,DATA!$O$4:$O$8,"",0)))</f>
        <v/>
      </c>
      <c r="V43" s="261" t="str">
        <f t="shared" si="0"/>
        <v/>
      </c>
      <c r="W43" s="282"/>
      <c r="X43" s="282"/>
      <c r="Y43" s="282"/>
      <c r="Z43" s="282"/>
      <c r="AA43" s="282"/>
      <c r="AB43" s="284"/>
      <c r="AC43" s="262" t="str">
        <f>IF(AE43="","",COUNTIF($AE$1:AE43,AE43))</f>
        <v/>
      </c>
      <c r="AD43" s="261" t="str">
        <f>IF(J43='PLAN DE ESTUDIO'!$XFD$41,"",IF(AE43="","",AC43&amp;K43&amp;L43&amp;M43))</f>
        <v/>
      </c>
      <c r="AE43" s="261" t="str">
        <f>IF(J43='PLAN DE ESTUDIO'!$XFD$41,"",IF(AF43=1,K43&amp;L43&amp;M43,""))</f>
        <v/>
      </c>
      <c r="AF43" s="261">
        <f>COUNTIF($O$1:O43,$O43)</f>
        <v>42</v>
      </c>
      <c r="AG43" s="285" t="str">
        <f>IF(J43='PLAN DE ESTUDIO'!$XFD$41,"",IF(P43="TP","Teórico-Práctica",IF(P43="T","Teórico",IF(P43="P","Práctica",""))))</f>
        <v/>
      </c>
      <c r="AH43" s="234" t="str">
        <f t="shared" si="1"/>
        <v xml:space="preserve"> </v>
      </c>
    </row>
    <row r="44" spans="1:34" x14ac:dyDescent="0.3">
      <c r="J44" s="412"/>
      <c r="K44" s="281" t="str">
        <f>IF($B$3="","",IF($B$3="PREGRADO",DATA!Q45,""))</f>
        <v/>
      </c>
      <c r="L44" s="281" t="str">
        <f>IF($B$3="","",IF($B$3="PREGRADO",DATA!R45,""))</f>
        <v/>
      </c>
      <c r="M44" s="281" t="str">
        <f>IF($B$3="","",IF($B$3="PREGRADO",DATA!S45,""))</f>
        <v/>
      </c>
      <c r="N44" s="412"/>
      <c r="O44" s="281" t="str">
        <f>IF($B$3="","",IF($B$3="PREGRADO",DATA!T45,""))</f>
        <v/>
      </c>
      <c r="P44" s="281" t="str">
        <f>IF($B$3="","",IF($B$3="PREGRADO",DATA!U45,""))</f>
        <v/>
      </c>
      <c r="Q44" s="412"/>
      <c r="R44" s="281" t="str">
        <f>IF($B$3="","",IF($B$3="PREGRADO",DATA!V45,""))</f>
        <v/>
      </c>
      <c r="S44" s="281" t="str">
        <f>IF($B$3="","",IF($B$3="PREGRADO",DATA!W45,""))</f>
        <v/>
      </c>
      <c r="T44" s="283" t="str" cm="1">
        <f t="array" ref="T44">IF($B$9="","",_xlfn.IFS($B$9="PRESENCIAL",_xlfn.XLOOKUP($S44,DATA!$B$4:$B$8,DATA!$D$4:$D$8,"",0,),$B$9="VIRTUAL",_xlfn.XLOOKUP($S44,DATA!$G$4:$G$8,DATA!$I$4:$I$8,"",0),$B$9="DISTANCIA",_xlfn.XLOOKUP($S44,DATA!$L$4:$L$8,DATA!$N$4:$N$8,"",0)))</f>
        <v/>
      </c>
      <c r="U44" s="283" t="str" cm="1">
        <f t="array" ref="U44">IF($B$9="","",_xlfn.IFS($B$9="PRESENCIAL",_xlfn.XLOOKUP($S44,DATA!$B$4:$B$8,DATA!$E$4:$E$8,"",0,),$B$9="VIRTUAL",_xlfn.XLOOKUP($S44,DATA!$G$4:$G$8,DATA!$J$4:$J$8,"",0),$B$9="DISTANCIA",_xlfn.XLOOKUP($S44,DATA!$L$4:$L$8,DATA!$O$4:$O$8,"",0)))</f>
        <v/>
      </c>
      <c r="V44" s="261" t="str">
        <f t="shared" si="0"/>
        <v/>
      </c>
      <c r="W44" s="282"/>
      <c r="X44" s="282"/>
      <c r="Y44" s="282"/>
      <c r="Z44" s="282"/>
      <c r="AA44" s="282"/>
      <c r="AB44" s="284"/>
      <c r="AC44" s="262" t="str">
        <f>IF(AE44="","",COUNTIF($AE$1:AE44,AE44))</f>
        <v/>
      </c>
      <c r="AD44" s="261" t="str">
        <f>IF(J44='PLAN DE ESTUDIO'!$XFD$41,"",IF(AE44="","",AC44&amp;K44&amp;L44&amp;M44))</f>
        <v/>
      </c>
      <c r="AE44" s="261" t="str">
        <f>IF(J44='PLAN DE ESTUDIO'!$XFD$41,"",IF(AF44=1,K44&amp;L44&amp;M44,""))</f>
        <v/>
      </c>
      <c r="AF44" s="261">
        <f>COUNTIF($O$1:O44,$O44)</f>
        <v>43</v>
      </c>
      <c r="AG44" s="285" t="str">
        <f>IF(J44='PLAN DE ESTUDIO'!$XFD$41,"",IF(P44="TP","Teórico-Práctica",IF(P44="T","Teórico",IF(P44="P","Práctica",""))))</f>
        <v/>
      </c>
      <c r="AH44" s="234" t="str">
        <f t="shared" si="1"/>
        <v xml:space="preserve"> </v>
      </c>
    </row>
    <row r="45" spans="1:34" x14ac:dyDescent="0.3">
      <c r="J45" s="412"/>
      <c r="K45" s="281" t="str">
        <f>IF($B$3="","",IF($B$3="PREGRADO",DATA!Q46,""))</f>
        <v/>
      </c>
      <c r="L45" s="281" t="str">
        <f>IF($B$3="","",IF($B$3="PREGRADO",DATA!R46,""))</f>
        <v/>
      </c>
      <c r="M45" s="281" t="str">
        <f>IF($B$3="","",IF($B$3="PREGRADO",DATA!S46,""))</f>
        <v/>
      </c>
      <c r="N45" s="412"/>
      <c r="O45" s="281" t="str">
        <f>IF($B$3="","",IF($B$3="PREGRADO",DATA!T46,""))</f>
        <v/>
      </c>
      <c r="P45" s="281" t="str">
        <f>IF($B$3="","",IF($B$3="PREGRADO",DATA!U46,""))</f>
        <v/>
      </c>
      <c r="Q45" s="412"/>
      <c r="R45" s="281" t="str">
        <f>IF($B$3="","",IF($B$3="PREGRADO",DATA!V46,""))</f>
        <v/>
      </c>
      <c r="S45" s="281" t="str">
        <f>IF($B$3="","",IF($B$3="PREGRADO",DATA!W46,""))</f>
        <v/>
      </c>
      <c r="T45" s="283" t="str" cm="1">
        <f t="array" ref="T45">IF($B$9="","",_xlfn.IFS($B$9="PRESENCIAL",_xlfn.XLOOKUP($S45,DATA!$B$4:$B$8,DATA!$D$4:$D$8,"",0,),$B$9="VIRTUAL",_xlfn.XLOOKUP($S45,DATA!$G$4:$G$8,DATA!$I$4:$I$8,"",0),$B$9="DISTANCIA",_xlfn.XLOOKUP($S45,DATA!$L$4:$L$8,DATA!$N$4:$N$8,"",0)))</f>
        <v/>
      </c>
      <c r="U45" s="283" t="str" cm="1">
        <f t="array" ref="U45">IF($B$9="","",_xlfn.IFS($B$9="PRESENCIAL",_xlfn.XLOOKUP($S45,DATA!$B$4:$B$8,DATA!$E$4:$E$8,"",0,),$B$9="VIRTUAL",_xlfn.XLOOKUP($S45,DATA!$G$4:$G$8,DATA!$J$4:$J$8,"",0),$B$9="DISTANCIA",_xlfn.XLOOKUP($S45,DATA!$L$4:$L$8,DATA!$O$4:$O$8,"",0)))</f>
        <v/>
      </c>
      <c r="V45" s="261" t="str">
        <f t="shared" si="0"/>
        <v/>
      </c>
      <c r="W45" s="282"/>
      <c r="X45" s="282"/>
      <c r="Y45" s="282"/>
      <c r="Z45" s="282"/>
      <c r="AA45" s="282"/>
      <c r="AB45" s="284"/>
      <c r="AC45" s="262" t="str">
        <f>IF(AE45="","",COUNTIF($AE$1:AE45,AE45))</f>
        <v/>
      </c>
      <c r="AD45" s="261" t="str">
        <f>IF(J45='PLAN DE ESTUDIO'!$XFD$41,"",IF(AE45="","",AC45&amp;K45&amp;L45&amp;M45))</f>
        <v/>
      </c>
      <c r="AE45" s="261" t="str">
        <f>IF(J45='PLAN DE ESTUDIO'!$XFD$41,"",IF(AF45=1,K45&amp;L45&amp;M45,""))</f>
        <v/>
      </c>
      <c r="AF45" s="261">
        <f>COUNTIF($O$1:O45,$O45)</f>
        <v>44</v>
      </c>
      <c r="AG45" s="285" t="str">
        <f>IF(J45='PLAN DE ESTUDIO'!$XFD$41,"",IF(P45="TP","Teórico-Práctica",IF(P45="T","Teórico",IF(P45="P","Práctica",""))))</f>
        <v/>
      </c>
      <c r="AH45" s="234" t="str">
        <f t="shared" si="1"/>
        <v xml:space="preserve"> </v>
      </c>
    </row>
    <row r="46" spans="1:34" x14ac:dyDescent="0.3">
      <c r="J46" s="412"/>
      <c r="K46" s="281" t="str">
        <f>IF($B$3="","",IF($B$3="PREGRADO",DATA!Q47,""))</f>
        <v/>
      </c>
      <c r="L46" s="281" t="str">
        <f>IF($B$3="","",IF($B$3="PREGRADO",DATA!R47,""))</f>
        <v/>
      </c>
      <c r="M46" s="281" t="str">
        <f>IF($B$3="","",IF($B$3="PREGRADO",DATA!S47,""))</f>
        <v/>
      </c>
      <c r="N46" s="412"/>
      <c r="O46" s="281" t="str">
        <f>IF($B$3="","",IF($B$3="PREGRADO",DATA!T47,""))</f>
        <v/>
      </c>
      <c r="P46" s="281" t="str">
        <f>IF($B$3="","",IF($B$3="PREGRADO",DATA!U47,""))</f>
        <v/>
      </c>
      <c r="Q46" s="412"/>
      <c r="R46" s="281" t="str">
        <f>IF($B$3="","",IF($B$3="PREGRADO",DATA!V47,""))</f>
        <v/>
      </c>
      <c r="S46" s="281" t="str">
        <f>IF($B$3="","",IF($B$3="PREGRADO",DATA!W47,""))</f>
        <v/>
      </c>
      <c r="T46" s="283" t="str" cm="1">
        <f t="array" ref="T46">IF($B$9="","",_xlfn.IFS($B$9="PRESENCIAL",_xlfn.XLOOKUP($S46,DATA!$B$4:$B$8,DATA!$D$4:$D$8,"",0,),$B$9="VIRTUAL",_xlfn.XLOOKUP($S46,DATA!$G$4:$G$8,DATA!$I$4:$I$8,"",0),$B$9="DISTANCIA",_xlfn.XLOOKUP($S46,DATA!$L$4:$L$8,DATA!$N$4:$N$8,"",0)))</f>
        <v/>
      </c>
      <c r="U46" s="283" t="str" cm="1">
        <f t="array" ref="U46">IF($B$9="","",_xlfn.IFS($B$9="PRESENCIAL",_xlfn.XLOOKUP($S46,DATA!$B$4:$B$8,DATA!$E$4:$E$8,"",0,),$B$9="VIRTUAL",_xlfn.XLOOKUP($S46,DATA!$G$4:$G$8,DATA!$J$4:$J$8,"",0),$B$9="DISTANCIA",_xlfn.XLOOKUP($S46,DATA!$L$4:$L$8,DATA!$O$4:$O$8,"",0)))</f>
        <v/>
      </c>
      <c r="V46" s="261" t="str">
        <f t="shared" si="0"/>
        <v/>
      </c>
      <c r="W46" s="282"/>
      <c r="X46" s="282"/>
      <c r="Y46" s="282"/>
      <c r="Z46" s="282"/>
      <c r="AA46" s="282"/>
      <c r="AB46" s="284"/>
      <c r="AC46" s="262" t="str">
        <f>IF(AE46="","",COUNTIF($AE$1:AE46,AE46))</f>
        <v/>
      </c>
      <c r="AD46" s="261" t="str">
        <f>IF(J46='PLAN DE ESTUDIO'!$XFD$41,"",IF(AE46="","",AC46&amp;K46&amp;L46&amp;M46))</f>
        <v/>
      </c>
      <c r="AE46" s="261" t="str">
        <f>IF(J46='PLAN DE ESTUDIO'!$XFD$41,"",IF(AF46=1,K46&amp;L46&amp;M46,""))</f>
        <v/>
      </c>
      <c r="AF46" s="261">
        <f>COUNTIF($O$1:O46,$O46)</f>
        <v>45</v>
      </c>
      <c r="AG46" s="285" t="str">
        <f>IF(J46='PLAN DE ESTUDIO'!$XFD$41,"",IF(P46="TP","Teórico-Práctica",IF(P46="T","Teórico",IF(P46="P","Práctica",""))))</f>
        <v/>
      </c>
      <c r="AH46" s="234" t="str">
        <f t="shared" si="1"/>
        <v xml:space="preserve"> </v>
      </c>
    </row>
    <row r="47" spans="1:34" x14ac:dyDescent="0.3">
      <c r="J47" s="412"/>
      <c r="K47" s="281" t="str">
        <f>IF($B$3="","",IF($B$3="PREGRADO",DATA!Q48,""))</f>
        <v/>
      </c>
      <c r="L47" s="281" t="str">
        <f>IF($B$3="","",IF($B$3="PREGRADO",DATA!R48,""))</f>
        <v/>
      </c>
      <c r="M47" s="281" t="str">
        <f>IF($B$3="","",IF($B$3="PREGRADO",DATA!S48,""))</f>
        <v/>
      </c>
      <c r="N47" s="412"/>
      <c r="O47" s="281" t="str">
        <f>IF($B$3="","",IF($B$3="PREGRADO",DATA!T48,""))</f>
        <v/>
      </c>
      <c r="P47" s="281" t="str">
        <f>IF($B$3="","",IF($B$3="PREGRADO",DATA!U48,""))</f>
        <v/>
      </c>
      <c r="Q47" s="412"/>
      <c r="R47" s="281" t="str">
        <f>IF($B$3="","",IF($B$3="PREGRADO",DATA!V48,""))</f>
        <v/>
      </c>
      <c r="S47" s="281" t="str">
        <f>IF($B$3="","",IF($B$3="PREGRADO",DATA!W48,""))</f>
        <v/>
      </c>
      <c r="T47" s="283" t="str" cm="1">
        <f t="array" ref="T47">IF($B$9="","",_xlfn.IFS($B$9="PRESENCIAL",_xlfn.XLOOKUP($S47,DATA!$B$4:$B$8,DATA!$D$4:$D$8,"",0,),$B$9="VIRTUAL",_xlfn.XLOOKUP($S47,DATA!$G$4:$G$8,DATA!$I$4:$I$8,"",0),$B$9="DISTANCIA",_xlfn.XLOOKUP($S47,DATA!$L$4:$L$8,DATA!$N$4:$N$8,"",0)))</f>
        <v/>
      </c>
      <c r="U47" s="283" t="str" cm="1">
        <f t="array" ref="U47">IF($B$9="","",_xlfn.IFS($B$9="PRESENCIAL",_xlfn.XLOOKUP($S47,DATA!$B$4:$B$8,DATA!$E$4:$E$8,"",0,),$B$9="VIRTUAL",_xlfn.XLOOKUP($S47,DATA!$G$4:$G$8,DATA!$J$4:$J$8,"",0),$B$9="DISTANCIA",_xlfn.XLOOKUP($S47,DATA!$L$4:$L$8,DATA!$O$4:$O$8,"",0)))</f>
        <v/>
      </c>
      <c r="V47" s="261" t="str">
        <f t="shared" si="0"/>
        <v/>
      </c>
      <c r="W47" s="282"/>
      <c r="X47" s="282"/>
      <c r="Y47" s="282"/>
      <c r="Z47" s="282"/>
      <c r="AA47" s="282"/>
      <c r="AB47" s="284"/>
      <c r="AC47" s="262" t="str">
        <f>IF(AE47="","",COUNTIF($AE$1:AE47,AE47))</f>
        <v/>
      </c>
      <c r="AD47" s="261" t="str">
        <f>IF(J47='PLAN DE ESTUDIO'!$XFD$41,"",IF(AE47="","",AC47&amp;K47&amp;L47&amp;M47))</f>
        <v/>
      </c>
      <c r="AE47" s="261" t="str">
        <f>IF(J47='PLAN DE ESTUDIO'!$XFD$41,"",IF(AF47=1,K47&amp;L47&amp;M47,""))</f>
        <v/>
      </c>
      <c r="AF47" s="261">
        <f>COUNTIF($O$1:O47,$O47)</f>
        <v>46</v>
      </c>
      <c r="AG47" s="285" t="str">
        <f>IF(J47='PLAN DE ESTUDIO'!$XFD$41,"",IF(P47="TP","Teórico-Práctica",IF(P47="T","Teórico",IF(P47="P","Práctica",""))))</f>
        <v/>
      </c>
      <c r="AH47" s="234" t="str">
        <f t="shared" si="1"/>
        <v xml:space="preserve"> </v>
      </c>
    </row>
    <row r="48" spans="1:34" x14ac:dyDescent="0.3">
      <c r="J48" s="412"/>
      <c r="K48" s="281" t="str">
        <f>IF($B$3="","",IF($B$3="PREGRADO",DATA!Q49,""))</f>
        <v/>
      </c>
      <c r="L48" s="281" t="str">
        <f>IF($B$3="","",IF($B$3="PREGRADO",DATA!R49,""))</f>
        <v/>
      </c>
      <c r="M48" s="281" t="str">
        <f>IF($B$3="","",IF($B$3="PREGRADO",DATA!S49,""))</f>
        <v/>
      </c>
      <c r="N48" s="412"/>
      <c r="O48" s="281" t="str">
        <f>IF($B$3="","",IF($B$3="PREGRADO",DATA!T49,""))</f>
        <v/>
      </c>
      <c r="P48" s="281" t="str">
        <f>IF($B$3="","",IF($B$3="PREGRADO",DATA!U49,""))</f>
        <v/>
      </c>
      <c r="Q48" s="412"/>
      <c r="R48" s="281" t="str">
        <f>IF($B$3="","",IF($B$3="PREGRADO",DATA!V49,""))</f>
        <v/>
      </c>
      <c r="S48" s="281" t="str">
        <f>IF($B$3="","",IF($B$3="PREGRADO",DATA!W49,""))</f>
        <v/>
      </c>
      <c r="T48" s="283" t="str" cm="1">
        <f t="array" ref="T48">IF($B$9="","",_xlfn.IFS($B$9="PRESENCIAL",_xlfn.XLOOKUP($S48,DATA!$B$4:$B$8,DATA!$D$4:$D$8,"",0,),$B$9="VIRTUAL",_xlfn.XLOOKUP($S48,DATA!$G$4:$G$8,DATA!$I$4:$I$8,"",0),$B$9="DISTANCIA",_xlfn.XLOOKUP($S48,DATA!$L$4:$L$8,DATA!$N$4:$N$8,"",0)))</f>
        <v/>
      </c>
      <c r="U48" s="283" t="str" cm="1">
        <f t="array" ref="U48">IF($B$9="","",_xlfn.IFS($B$9="PRESENCIAL",_xlfn.XLOOKUP($S48,DATA!$B$4:$B$8,DATA!$E$4:$E$8,"",0,),$B$9="VIRTUAL",_xlfn.XLOOKUP($S48,DATA!$G$4:$G$8,DATA!$J$4:$J$8,"",0),$B$9="DISTANCIA",_xlfn.XLOOKUP($S48,DATA!$L$4:$L$8,DATA!$O$4:$O$8,"",0)))</f>
        <v/>
      </c>
      <c r="V48" s="261" t="str">
        <f t="shared" si="0"/>
        <v/>
      </c>
      <c r="W48" s="282"/>
      <c r="X48" s="282"/>
      <c r="Y48" s="282"/>
      <c r="Z48" s="282"/>
      <c r="AA48" s="282"/>
      <c r="AB48" s="284"/>
      <c r="AC48" s="262" t="str">
        <f>IF(AE48="","",COUNTIF($AE$1:AE48,AE48))</f>
        <v/>
      </c>
      <c r="AD48" s="261" t="str">
        <f>IF(J48='PLAN DE ESTUDIO'!$XFD$41,"",IF(AE48="","",AC48&amp;K48&amp;L48&amp;M48))</f>
        <v/>
      </c>
      <c r="AE48" s="261" t="str">
        <f>IF(J48='PLAN DE ESTUDIO'!$XFD$41,"",IF(AF48=1,K48&amp;L48&amp;M48,""))</f>
        <v/>
      </c>
      <c r="AF48" s="261">
        <f>COUNTIF($O$1:O48,$O48)</f>
        <v>47</v>
      </c>
      <c r="AG48" s="285" t="str">
        <f>IF(J48='PLAN DE ESTUDIO'!$XFD$41,"",IF(P48="TP","Teórico-Práctica",IF(P48="T","Teórico",IF(P48="P","Práctica",""))))</f>
        <v/>
      </c>
      <c r="AH48" s="234" t="str">
        <f t="shared" si="1"/>
        <v xml:space="preserve"> </v>
      </c>
    </row>
    <row r="49" spans="10:34" x14ac:dyDescent="0.3">
      <c r="J49" s="412"/>
      <c r="K49" s="281" t="str">
        <f>IF($B$3="","",IF($B$3="PREGRADO",DATA!Q50,""))</f>
        <v/>
      </c>
      <c r="L49" s="281" t="str">
        <f>IF($B$3="","",IF($B$3="PREGRADO",DATA!R50,""))</f>
        <v/>
      </c>
      <c r="M49" s="281" t="str">
        <f>IF($B$3="","",IF($B$3="PREGRADO",DATA!S50,""))</f>
        <v/>
      </c>
      <c r="N49" s="412"/>
      <c r="O49" s="281" t="str">
        <f>IF($B$3="","",IF($B$3="PREGRADO",DATA!T50,""))</f>
        <v/>
      </c>
      <c r="P49" s="281" t="str">
        <f>IF($B$3="","",IF($B$3="PREGRADO",DATA!U50,""))</f>
        <v/>
      </c>
      <c r="Q49" s="412"/>
      <c r="R49" s="281" t="str">
        <f>IF($B$3="","",IF($B$3="PREGRADO",DATA!V50,""))</f>
        <v/>
      </c>
      <c r="S49" s="281" t="str">
        <f>IF($B$3="","",IF($B$3="PREGRADO",DATA!W50,""))</f>
        <v/>
      </c>
      <c r="T49" s="283" t="str" cm="1">
        <f t="array" ref="T49">IF($B$9="","",_xlfn.IFS($B$9="PRESENCIAL",_xlfn.XLOOKUP($S49,DATA!$B$4:$B$8,DATA!$D$4:$D$8,"",0,),$B$9="VIRTUAL",_xlfn.XLOOKUP($S49,DATA!$G$4:$G$8,DATA!$I$4:$I$8,"",0),$B$9="DISTANCIA",_xlfn.XLOOKUP($S49,DATA!$L$4:$L$8,DATA!$N$4:$N$8,"",0)))</f>
        <v/>
      </c>
      <c r="U49" s="283" t="str" cm="1">
        <f t="array" ref="U49">IF($B$9="","",_xlfn.IFS($B$9="PRESENCIAL",_xlfn.XLOOKUP($S49,DATA!$B$4:$B$8,DATA!$E$4:$E$8,"",0,),$B$9="VIRTUAL",_xlfn.XLOOKUP($S49,DATA!$G$4:$G$8,DATA!$J$4:$J$8,"",0),$B$9="DISTANCIA",_xlfn.XLOOKUP($S49,DATA!$L$4:$L$8,DATA!$O$4:$O$8,"",0)))</f>
        <v/>
      </c>
      <c r="V49" s="261" t="str">
        <f t="shared" si="0"/>
        <v/>
      </c>
      <c r="W49" s="282"/>
      <c r="X49" s="282"/>
      <c r="Y49" s="282"/>
      <c r="Z49" s="282"/>
      <c r="AA49" s="282"/>
      <c r="AB49" s="284"/>
      <c r="AC49" s="262" t="str">
        <f>IF(AE49="","",COUNTIF($AE$1:AE49,AE49))</f>
        <v/>
      </c>
      <c r="AD49" s="261" t="str">
        <f>IF(J49='PLAN DE ESTUDIO'!$XFD$41,"",IF(AE49="","",AC49&amp;K49&amp;L49&amp;M49))</f>
        <v/>
      </c>
      <c r="AE49" s="261" t="str">
        <f>IF(J49='PLAN DE ESTUDIO'!$XFD$41,"",IF(AF49=1,K49&amp;L49&amp;M49,""))</f>
        <v/>
      </c>
      <c r="AF49" s="261">
        <f>COUNTIF($O$1:O49,$O49)</f>
        <v>48</v>
      </c>
      <c r="AG49" s="285" t="str">
        <f>IF(J49='PLAN DE ESTUDIO'!$XFD$41,"",IF(P49="TP","Teórico-Práctica",IF(P49="T","Teórico",IF(P49="P","Práctica",""))))</f>
        <v/>
      </c>
      <c r="AH49" s="234" t="str">
        <f t="shared" si="1"/>
        <v xml:space="preserve"> </v>
      </c>
    </row>
    <row r="50" spans="10:34" x14ac:dyDescent="0.3">
      <c r="J50" s="412"/>
      <c r="K50" s="281" t="str">
        <f>IF($B$3="","",IF($B$3="PREGRADO",DATA!Q51,""))</f>
        <v/>
      </c>
      <c r="L50" s="281" t="str">
        <f>IF($B$3="","",IF($B$3="PREGRADO",DATA!R51,""))</f>
        <v/>
      </c>
      <c r="M50" s="281" t="str">
        <f>IF($B$3="","",IF($B$3="PREGRADO",DATA!S51,""))</f>
        <v/>
      </c>
      <c r="N50" s="412"/>
      <c r="O50" s="281" t="str">
        <f>IF($B$3="","",IF($B$3="PREGRADO",DATA!T51,""))</f>
        <v/>
      </c>
      <c r="P50" s="281" t="str">
        <f>IF($B$3="","",IF($B$3="PREGRADO",DATA!U51,""))</f>
        <v/>
      </c>
      <c r="Q50" s="412"/>
      <c r="R50" s="281" t="str">
        <f>IF($B$3="","",IF($B$3="PREGRADO",DATA!V51,""))</f>
        <v/>
      </c>
      <c r="S50" s="281" t="str">
        <f>IF($B$3="","",IF($B$3="PREGRADO",DATA!W51,""))</f>
        <v/>
      </c>
      <c r="T50" s="283" t="str" cm="1">
        <f t="array" ref="T50">IF($B$9="","",_xlfn.IFS($B$9="PRESENCIAL",_xlfn.XLOOKUP($S50,DATA!$B$4:$B$8,DATA!$D$4:$D$8,"",0,),$B$9="VIRTUAL",_xlfn.XLOOKUP($S50,DATA!$G$4:$G$8,DATA!$I$4:$I$8,"",0),$B$9="DISTANCIA",_xlfn.XLOOKUP($S50,DATA!$L$4:$L$8,DATA!$N$4:$N$8,"",0)))</f>
        <v/>
      </c>
      <c r="U50" s="283" t="str" cm="1">
        <f t="array" ref="U50">IF($B$9="","",_xlfn.IFS($B$9="PRESENCIAL",_xlfn.XLOOKUP($S50,DATA!$B$4:$B$8,DATA!$E$4:$E$8,"",0,),$B$9="VIRTUAL",_xlfn.XLOOKUP($S50,DATA!$G$4:$G$8,DATA!$J$4:$J$8,"",0),$B$9="DISTANCIA",_xlfn.XLOOKUP($S50,DATA!$L$4:$L$8,DATA!$O$4:$O$8,"",0)))</f>
        <v/>
      </c>
      <c r="V50" s="261" t="str">
        <f t="shared" si="0"/>
        <v/>
      </c>
      <c r="W50" s="282"/>
      <c r="X50" s="282"/>
      <c r="Y50" s="282"/>
      <c r="Z50" s="282"/>
      <c r="AA50" s="282"/>
      <c r="AB50" s="284"/>
      <c r="AC50" s="262" t="str">
        <f>IF(AE50="","",COUNTIF($AE$1:AE50,AE50))</f>
        <v/>
      </c>
      <c r="AD50" s="261" t="str">
        <f>IF(J50='PLAN DE ESTUDIO'!$XFD$41,"",IF(AE50="","",AC50&amp;K50&amp;L50&amp;M50))</f>
        <v/>
      </c>
      <c r="AE50" s="261" t="str">
        <f>IF(J50='PLAN DE ESTUDIO'!$XFD$41,"",IF(AF50=1,K50&amp;L50&amp;M50,""))</f>
        <v/>
      </c>
      <c r="AF50" s="261">
        <f>COUNTIF($O$1:O50,$O50)</f>
        <v>49</v>
      </c>
      <c r="AG50" s="285" t="str">
        <f>IF(J50='PLAN DE ESTUDIO'!$XFD$41,"",IF(P50="TP","Teórico-Práctica",IF(P50="T","Teórico",IF(P50="P","Práctica",""))))</f>
        <v/>
      </c>
      <c r="AH50" s="234" t="str">
        <f t="shared" si="1"/>
        <v xml:space="preserve"> </v>
      </c>
    </row>
    <row r="51" spans="10:34" x14ac:dyDescent="0.3">
      <c r="J51" s="412"/>
      <c r="K51" s="281" t="str">
        <f>IF($B$3="","",IF($B$3="PREGRADO",DATA!Q52,""))</f>
        <v/>
      </c>
      <c r="L51" s="281" t="str">
        <f>IF($B$3="","",IF($B$3="PREGRADO",DATA!R52,""))</f>
        <v/>
      </c>
      <c r="M51" s="281" t="str">
        <f>IF($B$3="","",IF($B$3="PREGRADO",DATA!S52,""))</f>
        <v/>
      </c>
      <c r="N51" s="412"/>
      <c r="O51" s="281" t="str">
        <f>IF($B$3="","",IF($B$3="PREGRADO",DATA!T52,""))</f>
        <v/>
      </c>
      <c r="P51" s="281" t="str">
        <f>IF($B$3="","",IF($B$3="PREGRADO",DATA!U52,""))</f>
        <v/>
      </c>
      <c r="Q51" s="412"/>
      <c r="R51" s="281" t="str">
        <f>IF($B$3="","",IF($B$3="PREGRADO",DATA!V52,""))</f>
        <v/>
      </c>
      <c r="S51" s="281" t="str">
        <f>IF($B$3="","",IF($B$3="PREGRADO",DATA!W52,""))</f>
        <v/>
      </c>
      <c r="T51" s="283" t="str" cm="1">
        <f t="array" ref="T51">IF($B$9="","",_xlfn.IFS($B$9="PRESENCIAL",_xlfn.XLOOKUP($S51,DATA!$B$4:$B$8,DATA!$D$4:$D$8,"",0,),$B$9="VIRTUAL",_xlfn.XLOOKUP($S51,DATA!$G$4:$G$8,DATA!$I$4:$I$8,"",0),$B$9="DISTANCIA",_xlfn.XLOOKUP($S51,DATA!$L$4:$L$8,DATA!$N$4:$N$8,"",0)))</f>
        <v/>
      </c>
      <c r="U51" s="283" t="str" cm="1">
        <f t="array" ref="U51">IF($B$9="","",_xlfn.IFS($B$9="PRESENCIAL",_xlfn.XLOOKUP($S51,DATA!$B$4:$B$8,DATA!$E$4:$E$8,"",0,),$B$9="VIRTUAL",_xlfn.XLOOKUP($S51,DATA!$G$4:$G$8,DATA!$J$4:$J$8,"",0),$B$9="DISTANCIA",_xlfn.XLOOKUP($S51,DATA!$L$4:$L$8,DATA!$O$4:$O$8,"",0)))</f>
        <v/>
      </c>
      <c r="V51" s="261" t="str">
        <f t="shared" si="0"/>
        <v/>
      </c>
      <c r="W51" s="282"/>
      <c r="X51" s="282"/>
      <c r="Y51" s="282"/>
      <c r="Z51" s="282"/>
      <c r="AA51" s="282"/>
      <c r="AB51" s="284"/>
      <c r="AC51" s="262" t="str">
        <f>IF(AE51="","",COUNTIF($AE$1:AE51,AE51))</f>
        <v/>
      </c>
      <c r="AD51" s="261" t="str">
        <f>IF(J51='PLAN DE ESTUDIO'!$XFD$41,"",IF(AE51="","",AC51&amp;K51&amp;L51&amp;M51))</f>
        <v/>
      </c>
      <c r="AE51" s="261" t="str">
        <f>IF(J51='PLAN DE ESTUDIO'!$XFD$41,"",IF(AF51=1,K51&amp;L51&amp;M51,""))</f>
        <v/>
      </c>
      <c r="AF51" s="261">
        <f>COUNTIF($O$1:O51,$O51)</f>
        <v>50</v>
      </c>
      <c r="AG51" s="285" t="str">
        <f>IF(J51='PLAN DE ESTUDIO'!$XFD$41,"",IF(P51="TP","Teórico-Práctica",IF(P51="T","Teórico",IF(P51="P","Práctica",""))))</f>
        <v/>
      </c>
      <c r="AH51" s="234" t="str">
        <f t="shared" si="1"/>
        <v xml:space="preserve"> </v>
      </c>
    </row>
    <row r="52" spans="10:34" x14ac:dyDescent="0.3">
      <c r="J52" s="412"/>
      <c r="K52" s="281" t="str">
        <f>IF($B$3="","",IF($B$3="PREGRADO",DATA!Q53,""))</f>
        <v/>
      </c>
      <c r="L52" s="281" t="str">
        <f>IF($B$3="","",IF($B$3="PREGRADO",DATA!R53,""))</f>
        <v/>
      </c>
      <c r="M52" s="281" t="str">
        <f>IF($B$3="","",IF($B$3="PREGRADO",DATA!S53,""))</f>
        <v/>
      </c>
      <c r="N52" s="412"/>
      <c r="O52" s="281" t="str">
        <f>IF($B$3="","",IF($B$3="PREGRADO",DATA!T53,""))</f>
        <v/>
      </c>
      <c r="P52" s="281" t="str">
        <f>IF($B$3="","",IF($B$3="PREGRADO",DATA!U53,""))</f>
        <v/>
      </c>
      <c r="Q52" s="412"/>
      <c r="R52" s="281" t="str">
        <f>IF($B$3="","",IF($B$3="PREGRADO",DATA!V53,""))</f>
        <v/>
      </c>
      <c r="S52" s="281" t="str">
        <f>IF($B$3="","",IF($B$3="PREGRADO",DATA!W53,""))</f>
        <v/>
      </c>
      <c r="T52" s="283" t="str" cm="1">
        <f t="array" ref="T52">IF($B$9="","",_xlfn.IFS($B$9="PRESENCIAL",_xlfn.XLOOKUP($S52,DATA!$B$4:$B$8,DATA!$D$4:$D$8,"",0,),$B$9="VIRTUAL",_xlfn.XLOOKUP($S52,DATA!$G$4:$G$8,DATA!$I$4:$I$8,"",0),$B$9="DISTANCIA",_xlfn.XLOOKUP($S52,DATA!$L$4:$L$8,DATA!$N$4:$N$8,"",0)))</f>
        <v/>
      </c>
      <c r="U52" s="283" t="str" cm="1">
        <f t="array" ref="U52">IF($B$9="","",_xlfn.IFS($B$9="PRESENCIAL",_xlfn.XLOOKUP($S52,DATA!$B$4:$B$8,DATA!$E$4:$E$8,"",0,),$B$9="VIRTUAL",_xlfn.XLOOKUP($S52,DATA!$G$4:$G$8,DATA!$J$4:$J$8,"",0),$B$9="DISTANCIA",_xlfn.XLOOKUP($S52,DATA!$L$4:$L$8,DATA!$O$4:$O$8,"",0)))</f>
        <v/>
      </c>
      <c r="V52" s="261" t="str">
        <f t="shared" si="0"/>
        <v/>
      </c>
      <c r="W52" s="282"/>
      <c r="X52" s="282"/>
      <c r="Y52" s="282"/>
      <c r="Z52" s="282"/>
      <c r="AA52" s="282"/>
      <c r="AB52" s="284"/>
      <c r="AC52" s="262" t="str">
        <f>IF(AE52="","",COUNTIF($AE$1:AE52,AE52))</f>
        <v/>
      </c>
      <c r="AD52" s="261" t="str">
        <f>IF(J52='PLAN DE ESTUDIO'!$XFD$41,"",IF(AE52="","",AC52&amp;K52&amp;L52&amp;M52))</f>
        <v/>
      </c>
      <c r="AE52" s="261" t="str">
        <f>IF(J52='PLAN DE ESTUDIO'!$XFD$41,"",IF(AF52=1,K52&amp;L52&amp;M52,""))</f>
        <v/>
      </c>
      <c r="AF52" s="261">
        <f>COUNTIF($O$1:O52,$O52)</f>
        <v>51</v>
      </c>
      <c r="AG52" s="285" t="str">
        <f>IF(J52='PLAN DE ESTUDIO'!$XFD$41,"",IF(P52="TP","Teórico-Práctica",IF(P52="T","Teórico",IF(P52="P","Práctica",""))))</f>
        <v/>
      </c>
      <c r="AH52" s="234" t="str">
        <f t="shared" si="1"/>
        <v xml:space="preserve"> </v>
      </c>
    </row>
    <row r="53" spans="10:34" x14ac:dyDescent="0.3">
      <c r="J53" s="412"/>
      <c r="K53" s="281" t="str">
        <f>IF($B$3="","",IF($B$3="PREGRADO",DATA!Q54,""))</f>
        <v/>
      </c>
      <c r="L53" s="281" t="str">
        <f>IF($B$3="","",IF($B$3="PREGRADO",DATA!R54,""))</f>
        <v/>
      </c>
      <c r="M53" s="281" t="str">
        <f>IF($B$3="","",IF($B$3="PREGRADO",DATA!S54,""))</f>
        <v/>
      </c>
      <c r="N53" s="412"/>
      <c r="O53" s="281" t="str">
        <f>IF($B$3="","",IF($B$3="PREGRADO",DATA!T54,""))</f>
        <v/>
      </c>
      <c r="P53" s="281" t="str">
        <f>IF($B$3="","",IF($B$3="PREGRADO",DATA!U54,""))</f>
        <v/>
      </c>
      <c r="Q53" s="412"/>
      <c r="R53" s="281" t="str">
        <f>IF($B$3="","",IF($B$3="PREGRADO",DATA!V54,""))</f>
        <v/>
      </c>
      <c r="S53" s="281" t="str">
        <f>IF($B$3="","",IF($B$3="PREGRADO",DATA!W54,""))</f>
        <v/>
      </c>
      <c r="T53" s="283" t="str" cm="1">
        <f t="array" ref="T53">IF($B$9="","",_xlfn.IFS($B$9="PRESENCIAL",_xlfn.XLOOKUP($S53,DATA!$B$4:$B$8,DATA!$D$4:$D$8,"",0,),$B$9="VIRTUAL",_xlfn.XLOOKUP($S53,DATA!$G$4:$G$8,DATA!$I$4:$I$8,"",0),$B$9="DISTANCIA",_xlfn.XLOOKUP($S53,DATA!$L$4:$L$8,DATA!$N$4:$N$8,"",0)))</f>
        <v/>
      </c>
      <c r="U53" s="283" t="str" cm="1">
        <f t="array" ref="U53">IF($B$9="","",_xlfn.IFS($B$9="PRESENCIAL",_xlfn.XLOOKUP($S53,DATA!$B$4:$B$8,DATA!$E$4:$E$8,"",0,),$B$9="VIRTUAL",_xlfn.XLOOKUP($S53,DATA!$G$4:$G$8,DATA!$J$4:$J$8,"",0),$B$9="DISTANCIA",_xlfn.XLOOKUP($S53,DATA!$L$4:$L$8,DATA!$O$4:$O$8,"",0)))</f>
        <v/>
      </c>
      <c r="V53" s="261" t="str">
        <f t="shared" si="0"/>
        <v/>
      </c>
      <c r="W53" s="282"/>
      <c r="X53" s="282"/>
      <c r="Y53" s="282"/>
      <c r="Z53" s="282"/>
      <c r="AA53" s="282"/>
      <c r="AB53" s="284"/>
      <c r="AC53" s="262" t="str">
        <f>IF(AE53="","",COUNTIF($AE$1:AE53,AE53))</f>
        <v/>
      </c>
      <c r="AD53" s="261" t="str">
        <f>IF(J53='PLAN DE ESTUDIO'!$XFD$41,"",IF(AE53="","",AC53&amp;K53&amp;L53&amp;M53))</f>
        <v/>
      </c>
      <c r="AE53" s="261" t="str">
        <f>IF(J53='PLAN DE ESTUDIO'!$XFD$41,"",IF(AF53=1,K53&amp;L53&amp;M53,""))</f>
        <v/>
      </c>
      <c r="AF53" s="261">
        <f>COUNTIF($O$1:O53,$O53)</f>
        <v>52</v>
      </c>
      <c r="AG53" s="285" t="str">
        <f>IF(J53='PLAN DE ESTUDIO'!$XFD$41,"",IF(P53="TP","Teórico-Práctica",IF(P53="T","Teórico",IF(P53="P","Práctica",""))))</f>
        <v/>
      </c>
      <c r="AH53" s="234" t="str">
        <f t="shared" si="1"/>
        <v xml:space="preserve"> </v>
      </c>
    </row>
    <row r="54" spans="10:34" x14ac:dyDescent="0.3">
      <c r="J54" s="412"/>
      <c r="K54" s="281" t="str">
        <f>IF($B$3="","",IF($B$3="PREGRADO",DATA!Q55,""))</f>
        <v/>
      </c>
      <c r="L54" s="281" t="str">
        <f>IF($B$3="","",IF($B$3="PREGRADO",DATA!R55,""))</f>
        <v/>
      </c>
      <c r="M54" s="281" t="str">
        <f>IF($B$3="","",IF($B$3="PREGRADO",DATA!S55,""))</f>
        <v/>
      </c>
      <c r="N54" s="412"/>
      <c r="O54" s="281" t="str">
        <f>IF($B$3="","",IF($B$3="PREGRADO",DATA!T55,""))</f>
        <v/>
      </c>
      <c r="P54" s="281" t="str">
        <f>IF($B$3="","",IF($B$3="PREGRADO",DATA!U55,""))</f>
        <v/>
      </c>
      <c r="Q54" s="412"/>
      <c r="R54" s="281" t="str">
        <f>IF($B$3="","",IF($B$3="PREGRADO",DATA!V55,""))</f>
        <v/>
      </c>
      <c r="S54" s="281" t="str">
        <f>IF($B$3="","",IF($B$3="PREGRADO",DATA!W55,""))</f>
        <v/>
      </c>
      <c r="T54" s="283" t="str" cm="1">
        <f t="array" ref="T54">IF($B$9="","",_xlfn.IFS($B$9="PRESENCIAL",_xlfn.XLOOKUP($S54,DATA!$B$4:$B$8,DATA!$D$4:$D$8,"",0,),$B$9="VIRTUAL",_xlfn.XLOOKUP($S54,DATA!$G$4:$G$8,DATA!$I$4:$I$8,"",0),$B$9="DISTANCIA",_xlfn.XLOOKUP($S54,DATA!$L$4:$L$8,DATA!$N$4:$N$8,"",0)))</f>
        <v/>
      </c>
      <c r="U54" s="283" t="str" cm="1">
        <f t="array" ref="U54">IF($B$9="","",_xlfn.IFS($B$9="PRESENCIAL",_xlfn.XLOOKUP($S54,DATA!$B$4:$B$8,DATA!$E$4:$E$8,"",0,),$B$9="VIRTUAL",_xlfn.XLOOKUP($S54,DATA!$G$4:$G$8,DATA!$J$4:$J$8,"",0),$B$9="DISTANCIA",_xlfn.XLOOKUP($S54,DATA!$L$4:$L$8,DATA!$O$4:$O$8,"",0)))</f>
        <v/>
      </c>
      <c r="V54" s="261" t="str">
        <f t="shared" si="0"/>
        <v/>
      </c>
      <c r="W54" s="282"/>
      <c r="X54" s="282"/>
      <c r="Y54" s="282"/>
      <c r="Z54" s="282"/>
      <c r="AA54" s="282"/>
      <c r="AB54" s="284"/>
      <c r="AC54" s="262" t="str">
        <f>IF(AE54="","",COUNTIF($AE$1:AE54,AE54))</f>
        <v/>
      </c>
      <c r="AD54" s="261" t="str">
        <f>IF(J54='PLAN DE ESTUDIO'!$XFD$41,"",IF(AE54="","",AC54&amp;K54&amp;L54&amp;M54))</f>
        <v/>
      </c>
      <c r="AE54" s="261" t="str">
        <f>IF(J54='PLAN DE ESTUDIO'!$XFD$41,"",IF(AF54=1,K54&amp;L54&amp;M54,""))</f>
        <v/>
      </c>
      <c r="AF54" s="261">
        <f>COUNTIF($O$1:O54,$O54)</f>
        <v>53</v>
      </c>
      <c r="AG54" s="285" t="str">
        <f>IF(J54='PLAN DE ESTUDIO'!$XFD$41,"",IF(P54="TP","Teórico-Práctica",IF(P54="T","Teórico",IF(P54="P","Práctica",""))))</f>
        <v/>
      </c>
      <c r="AH54" s="234" t="str">
        <f t="shared" si="1"/>
        <v xml:space="preserve"> </v>
      </c>
    </row>
    <row r="55" spans="10:34" x14ac:dyDescent="0.3">
      <c r="J55" s="412"/>
      <c r="K55" s="281" t="str">
        <f>IF($B$3="","",IF($B$3="PREGRADO",DATA!Q56,""))</f>
        <v/>
      </c>
      <c r="L55" s="281" t="str">
        <f>IF($B$3="","",IF($B$3="PREGRADO",DATA!R56,""))</f>
        <v/>
      </c>
      <c r="M55" s="281" t="str">
        <f>IF($B$3="","",IF($B$3="PREGRADO",DATA!S56,""))</f>
        <v/>
      </c>
      <c r="N55" s="412"/>
      <c r="O55" s="281" t="str">
        <f>IF($B$3="","",IF($B$3="PREGRADO",DATA!T56,""))</f>
        <v/>
      </c>
      <c r="P55" s="281" t="str">
        <f>IF($B$3="","",IF($B$3="PREGRADO",DATA!U56,""))</f>
        <v/>
      </c>
      <c r="Q55" s="412"/>
      <c r="R55" s="281" t="str">
        <f>IF($B$3="","",IF($B$3="PREGRADO",DATA!V56,""))</f>
        <v/>
      </c>
      <c r="S55" s="281" t="str">
        <f>IF($B$3="","",IF($B$3="PREGRADO",DATA!W56,""))</f>
        <v/>
      </c>
      <c r="T55" s="283" t="str" cm="1">
        <f t="array" ref="T55">IF($B$9="","",_xlfn.IFS($B$9="PRESENCIAL",_xlfn.XLOOKUP($S55,DATA!$B$4:$B$8,DATA!$D$4:$D$8,"",0,),$B$9="VIRTUAL",_xlfn.XLOOKUP($S55,DATA!$G$4:$G$8,DATA!$I$4:$I$8,"",0),$B$9="DISTANCIA",_xlfn.XLOOKUP($S55,DATA!$L$4:$L$8,DATA!$N$4:$N$8,"",0)))</f>
        <v/>
      </c>
      <c r="U55" s="283" t="str" cm="1">
        <f t="array" ref="U55">IF($B$9="","",_xlfn.IFS($B$9="PRESENCIAL",_xlfn.XLOOKUP($S55,DATA!$B$4:$B$8,DATA!$E$4:$E$8,"",0,),$B$9="VIRTUAL",_xlfn.XLOOKUP($S55,DATA!$G$4:$G$8,DATA!$J$4:$J$8,"",0),$B$9="DISTANCIA",_xlfn.XLOOKUP($S55,DATA!$L$4:$L$8,DATA!$O$4:$O$8,"",0)))</f>
        <v/>
      </c>
      <c r="V55" s="261" t="str">
        <f t="shared" si="0"/>
        <v/>
      </c>
      <c r="W55" s="282"/>
      <c r="X55" s="282"/>
      <c r="Y55" s="282"/>
      <c r="Z55" s="282"/>
      <c r="AA55" s="282"/>
      <c r="AB55" s="284"/>
      <c r="AC55" s="262" t="str">
        <f>IF(AE55="","",COUNTIF($AE$1:AE55,AE55))</f>
        <v/>
      </c>
      <c r="AD55" s="261" t="str">
        <f>IF(J55='PLAN DE ESTUDIO'!$XFD$41,"",IF(AE55="","",AC55&amp;K55&amp;L55&amp;M55))</f>
        <v/>
      </c>
      <c r="AE55" s="261" t="str">
        <f>IF(J55='PLAN DE ESTUDIO'!$XFD$41,"",IF(AF55=1,K55&amp;L55&amp;M55,""))</f>
        <v/>
      </c>
      <c r="AF55" s="261">
        <f>COUNTIF($O$1:O55,$O55)</f>
        <v>54</v>
      </c>
      <c r="AG55" s="285" t="str">
        <f>IF(J55='PLAN DE ESTUDIO'!$XFD$41,"",IF(P55="TP","Teórico-Práctica",IF(P55="T","Teórico",IF(P55="P","Práctica",""))))</f>
        <v/>
      </c>
      <c r="AH55" s="234" t="str">
        <f t="shared" si="1"/>
        <v xml:space="preserve"> </v>
      </c>
    </row>
    <row r="56" spans="10:34" x14ac:dyDescent="0.3">
      <c r="J56" s="412"/>
      <c r="K56" s="281" t="str">
        <f>IF($B$3="","",IF($B$3="PREGRADO",DATA!Q57,""))</f>
        <v/>
      </c>
      <c r="L56" s="281" t="str">
        <f>IF($B$3="","",IF($B$3="PREGRADO",DATA!R57,""))</f>
        <v/>
      </c>
      <c r="M56" s="281" t="str">
        <f>IF($B$3="","",IF($B$3="PREGRADO",DATA!S57,""))</f>
        <v/>
      </c>
      <c r="N56" s="412"/>
      <c r="O56" s="281" t="str">
        <f>IF($B$3="","",IF($B$3="PREGRADO",DATA!T57,""))</f>
        <v/>
      </c>
      <c r="P56" s="281" t="str">
        <f>IF($B$3="","",IF($B$3="PREGRADO",DATA!U57,""))</f>
        <v/>
      </c>
      <c r="Q56" s="412"/>
      <c r="R56" s="281" t="str">
        <f>IF($B$3="","",IF($B$3="PREGRADO",DATA!V57,""))</f>
        <v/>
      </c>
      <c r="S56" s="281" t="str">
        <f>IF($B$3="","",IF($B$3="PREGRADO",DATA!W57,""))</f>
        <v/>
      </c>
      <c r="T56" s="283" t="str" cm="1">
        <f t="array" ref="T56">IF($B$9="","",_xlfn.IFS($B$9="PRESENCIAL",_xlfn.XLOOKUP($S56,DATA!$B$4:$B$8,DATA!$D$4:$D$8,"",0,),$B$9="VIRTUAL",_xlfn.XLOOKUP($S56,DATA!$G$4:$G$8,DATA!$I$4:$I$8,"",0),$B$9="DISTANCIA",_xlfn.XLOOKUP($S56,DATA!$L$4:$L$8,DATA!$N$4:$N$8,"",0)))</f>
        <v/>
      </c>
      <c r="U56" s="283" t="str" cm="1">
        <f t="array" ref="U56">IF($B$9="","",_xlfn.IFS($B$9="PRESENCIAL",_xlfn.XLOOKUP($S56,DATA!$B$4:$B$8,DATA!$E$4:$E$8,"",0,),$B$9="VIRTUAL",_xlfn.XLOOKUP($S56,DATA!$G$4:$G$8,DATA!$J$4:$J$8,"",0),$B$9="DISTANCIA",_xlfn.XLOOKUP($S56,DATA!$L$4:$L$8,DATA!$O$4:$O$8,"",0)))</f>
        <v/>
      </c>
      <c r="V56" s="261" t="str">
        <f t="shared" si="0"/>
        <v/>
      </c>
      <c r="W56" s="282"/>
      <c r="X56" s="282"/>
      <c r="Y56" s="282"/>
      <c r="Z56" s="282"/>
      <c r="AA56" s="282"/>
      <c r="AB56" s="284"/>
      <c r="AC56" s="262" t="str">
        <f>IF(AE56="","",COUNTIF($AE$1:AE56,AE56))</f>
        <v/>
      </c>
      <c r="AD56" s="261" t="str">
        <f>IF(J56='PLAN DE ESTUDIO'!$XFD$41,"",IF(AE56="","",AC56&amp;K56&amp;L56&amp;M56))</f>
        <v/>
      </c>
      <c r="AE56" s="261" t="str">
        <f>IF(J56='PLAN DE ESTUDIO'!$XFD$41,"",IF(AF56=1,K56&amp;L56&amp;M56,""))</f>
        <v/>
      </c>
      <c r="AF56" s="261">
        <f>COUNTIF($O$1:O56,$O56)</f>
        <v>55</v>
      </c>
      <c r="AG56" s="285" t="str">
        <f>IF(J56='PLAN DE ESTUDIO'!$XFD$41,"",IF(P56="TP","Teórico-Práctica",IF(P56="T","Teórico",IF(P56="P","Práctica",""))))</f>
        <v/>
      </c>
      <c r="AH56" s="234" t="str">
        <f t="shared" si="1"/>
        <v xml:space="preserve"> </v>
      </c>
    </row>
    <row r="57" spans="10:34" x14ac:dyDescent="0.3">
      <c r="J57" s="412"/>
      <c r="K57" s="281" t="str">
        <f>IF($B$3="","",IF($B$3="PREGRADO",DATA!Q58,""))</f>
        <v/>
      </c>
      <c r="L57" s="281" t="str">
        <f>IF($B$3="","",IF($B$3="PREGRADO",DATA!R58,""))</f>
        <v/>
      </c>
      <c r="M57" s="281" t="str">
        <f>IF($B$3="","",IF($B$3="PREGRADO",DATA!S58,""))</f>
        <v/>
      </c>
      <c r="N57" s="412"/>
      <c r="O57" s="281" t="str">
        <f>IF($B$3="","",IF($B$3="PREGRADO",DATA!T58,""))</f>
        <v/>
      </c>
      <c r="P57" s="281" t="str">
        <f>IF($B$3="","",IF($B$3="PREGRADO",DATA!U58,""))</f>
        <v/>
      </c>
      <c r="Q57" s="412"/>
      <c r="R57" s="281" t="str">
        <f>IF($B$3="","",IF($B$3="PREGRADO",DATA!V58,""))</f>
        <v/>
      </c>
      <c r="S57" s="281" t="str">
        <f>IF($B$3="","",IF($B$3="PREGRADO",DATA!W58,""))</f>
        <v/>
      </c>
      <c r="T57" s="283" t="str" cm="1">
        <f t="array" ref="T57">IF($B$9="","",_xlfn.IFS($B$9="PRESENCIAL",_xlfn.XLOOKUP($S57,DATA!$B$4:$B$8,DATA!$D$4:$D$8,"",0,),$B$9="VIRTUAL",_xlfn.XLOOKUP($S57,DATA!$G$4:$G$8,DATA!$I$4:$I$8,"",0),$B$9="DISTANCIA",_xlfn.XLOOKUP($S57,DATA!$L$4:$L$8,DATA!$N$4:$N$8,"",0)))</f>
        <v/>
      </c>
      <c r="U57" s="283" t="str" cm="1">
        <f t="array" ref="U57">IF($B$9="","",_xlfn.IFS($B$9="PRESENCIAL",_xlfn.XLOOKUP($S57,DATA!$B$4:$B$8,DATA!$E$4:$E$8,"",0,),$B$9="VIRTUAL",_xlfn.XLOOKUP($S57,DATA!$G$4:$G$8,DATA!$J$4:$J$8,"",0),$B$9="DISTANCIA",_xlfn.XLOOKUP($S57,DATA!$L$4:$L$8,DATA!$O$4:$O$8,"",0)))</f>
        <v/>
      </c>
      <c r="V57" s="261" t="str">
        <f t="shared" si="0"/>
        <v/>
      </c>
      <c r="W57" s="282"/>
      <c r="X57" s="282"/>
      <c r="Y57" s="282"/>
      <c r="Z57" s="282"/>
      <c r="AA57" s="282"/>
      <c r="AB57" s="284"/>
      <c r="AC57" s="262" t="str">
        <f>IF(AE57="","",COUNTIF($AE$1:AE57,AE57))</f>
        <v/>
      </c>
      <c r="AD57" s="261" t="str">
        <f>IF(J57='PLAN DE ESTUDIO'!$XFD$41,"",IF(AE57="","",AC57&amp;K57&amp;L57&amp;M57))</f>
        <v/>
      </c>
      <c r="AE57" s="261" t="str">
        <f>IF(J57='PLAN DE ESTUDIO'!$XFD$41,"",IF(AF57=1,K57&amp;L57&amp;M57,""))</f>
        <v/>
      </c>
      <c r="AF57" s="261">
        <f>COUNTIF($O$1:O57,$O57)</f>
        <v>56</v>
      </c>
      <c r="AG57" s="285" t="str">
        <f>IF(J57='PLAN DE ESTUDIO'!$XFD$41,"",IF(P57="TP","Teórico-Práctica",IF(P57="T","Teórico",IF(P57="P","Práctica",""))))</f>
        <v/>
      </c>
      <c r="AH57" s="234" t="str">
        <f t="shared" si="1"/>
        <v xml:space="preserve"> </v>
      </c>
    </row>
    <row r="58" spans="10:34" x14ac:dyDescent="0.3">
      <c r="J58" s="412"/>
      <c r="K58" s="281" t="str">
        <f>IF($B$3="","",IF($B$3="PREGRADO",DATA!Q59,""))</f>
        <v/>
      </c>
      <c r="L58" s="281" t="str">
        <f>IF($B$3="","",IF($B$3="PREGRADO",DATA!R59,""))</f>
        <v/>
      </c>
      <c r="M58" s="281" t="str">
        <f>IF($B$3="","",IF($B$3="PREGRADO",DATA!S59,""))</f>
        <v/>
      </c>
      <c r="N58" s="412"/>
      <c r="O58" s="281" t="str">
        <f>IF($B$3="","",IF($B$3="PREGRADO",DATA!T59,""))</f>
        <v/>
      </c>
      <c r="P58" s="281" t="str">
        <f>IF($B$3="","",IF($B$3="PREGRADO",DATA!U59,""))</f>
        <v/>
      </c>
      <c r="Q58" s="412"/>
      <c r="R58" s="281" t="str">
        <f>IF($B$3="","",IF($B$3="PREGRADO",DATA!V59,""))</f>
        <v/>
      </c>
      <c r="S58" s="281" t="str">
        <f>IF($B$3="","",IF($B$3="PREGRADO",DATA!W59,""))</f>
        <v/>
      </c>
      <c r="T58" s="283" t="str" cm="1">
        <f t="array" ref="T58">IF($B$9="","",_xlfn.IFS($B$9="PRESENCIAL",_xlfn.XLOOKUP($S58,DATA!$B$4:$B$8,DATA!$D$4:$D$8,"",0,),$B$9="VIRTUAL",_xlfn.XLOOKUP($S58,DATA!$G$4:$G$8,DATA!$I$4:$I$8,"",0),$B$9="DISTANCIA",_xlfn.XLOOKUP($S58,DATA!$L$4:$L$8,DATA!$N$4:$N$8,"",0)))</f>
        <v/>
      </c>
      <c r="U58" s="283" t="str" cm="1">
        <f t="array" ref="U58">IF($B$9="","",_xlfn.IFS($B$9="PRESENCIAL",_xlfn.XLOOKUP($S58,DATA!$B$4:$B$8,DATA!$E$4:$E$8,"",0,),$B$9="VIRTUAL",_xlfn.XLOOKUP($S58,DATA!$G$4:$G$8,DATA!$J$4:$J$8,"",0),$B$9="DISTANCIA",_xlfn.XLOOKUP($S58,DATA!$L$4:$L$8,DATA!$O$4:$O$8,"",0)))</f>
        <v/>
      </c>
      <c r="V58" s="261" t="str">
        <f t="shared" si="0"/>
        <v/>
      </c>
      <c r="W58" s="282"/>
      <c r="X58" s="282"/>
      <c r="Y58" s="282"/>
      <c r="Z58" s="282"/>
      <c r="AA58" s="282"/>
      <c r="AB58" s="284"/>
      <c r="AC58" s="262" t="str">
        <f>IF(AE58="","",COUNTIF($AE$1:AE58,AE58))</f>
        <v/>
      </c>
      <c r="AD58" s="261" t="str">
        <f>IF(J58='PLAN DE ESTUDIO'!$XFD$41,"",IF(AE58="","",AC58&amp;K58&amp;L58&amp;M58))</f>
        <v/>
      </c>
      <c r="AE58" s="261" t="str">
        <f>IF(J58='PLAN DE ESTUDIO'!$XFD$41,"",IF(AF58=1,K58&amp;L58&amp;M58,""))</f>
        <v/>
      </c>
      <c r="AF58" s="261">
        <f>COUNTIF($O$1:O58,$O58)</f>
        <v>57</v>
      </c>
      <c r="AG58" s="285" t="str">
        <f>IF(J58='PLAN DE ESTUDIO'!$XFD$41,"",IF(P58="TP","Teórico-Práctica",IF(P58="T","Teórico",IF(P58="P","Práctica",""))))</f>
        <v/>
      </c>
      <c r="AH58" s="234" t="str">
        <f t="shared" si="1"/>
        <v xml:space="preserve"> </v>
      </c>
    </row>
    <row r="59" spans="10:34" x14ac:dyDescent="0.3">
      <c r="J59" s="412"/>
      <c r="K59" s="281" t="str">
        <f>IF($B$3="","",IF($B$3="PREGRADO",DATA!Q60,""))</f>
        <v/>
      </c>
      <c r="L59" s="281" t="str">
        <f>IF($B$3="","",IF($B$3="PREGRADO",DATA!R60,""))</f>
        <v/>
      </c>
      <c r="M59" s="281" t="str">
        <f>IF($B$3="","",IF($B$3="PREGRADO",DATA!S60,""))</f>
        <v/>
      </c>
      <c r="N59" s="412"/>
      <c r="O59" s="281" t="str">
        <f>IF($B$3="","",IF($B$3="PREGRADO",DATA!T60,""))</f>
        <v/>
      </c>
      <c r="P59" s="281" t="str">
        <f>IF($B$3="","",IF($B$3="PREGRADO",DATA!U60,""))</f>
        <v/>
      </c>
      <c r="Q59" s="412"/>
      <c r="R59" s="281" t="str">
        <f>IF($B$3="","",IF($B$3="PREGRADO",DATA!V60,""))</f>
        <v/>
      </c>
      <c r="S59" s="281" t="str">
        <f>IF($B$3="","",IF($B$3="PREGRADO",DATA!W60,""))</f>
        <v/>
      </c>
      <c r="T59" s="283" t="str" cm="1">
        <f t="array" ref="T59">IF($B$9="","",_xlfn.IFS($B$9="PRESENCIAL",_xlfn.XLOOKUP($S59,DATA!$B$4:$B$8,DATA!$D$4:$D$8,"",0,),$B$9="VIRTUAL",_xlfn.XLOOKUP($S59,DATA!$G$4:$G$8,DATA!$I$4:$I$8,"",0),$B$9="DISTANCIA",_xlfn.XLOOKUP($S59,DATA!$L$4:$L$8,DATA!$N$4:$N$8,"",0)))</f>
        <v/>
      </c>
      <c r="U59" s="283" t="str" cm="1">
        <f t="array" ref="U59">IF($B$9="","",_xlfn.IFS($B$9="PRESENCIAL",_xlfn.XLOOKUP($S59,DATA!$B$4:$B$8,DATA!$E$4:$E$8,"",0,),$B$9="VIRTUAL",_xlfn.XLOOKUP($S59,DATA!$G$4:$G$8,DATA!$J$4:$J$8,"",0),$B$9="DISTANCIA",_xlfn.XLOOKUP($S59,DATA!$L$4:$L$8,DATA!$O$4:$O$8,"",0)))</f>
        <v/>
      </c>
      <c r="V59" s="261" t="str">
        <f t="shared" si="0"/>
        <v/>
      </c>
      <c r="W59" s="282"/>
      <c r="X59" s="282"/>
      <c r="Y59" s="282"/>
      <c r="Z59" s="282"/>
      <c r="AA59" s="282"/>
      <c r="AB59" s="284"/>
      <c r="AC59" s="262" t="str">
        <f>IF(AE59="","",COUNTIF($AE$1:AE59,AE59))</f>
        <v/>
      </c>
      <c r="AD59" s="261" t="str">
        <f>IF(J59='PLAN DE ESTUDIO'!$XFD$41,"",IF(AE59="","",AC59&amp;K59&amp;L59&amp;M59))</f>
        <v/>
      </c>
      <c r="AE59" s="261" t="str">
        <f>IF(J59='PLAN DE ESTUDIO'!$XFD$41,"",IF(AF59=1,K59&amp;L59&amp;M59,""))</f>
        <v/>
      </c>
      <c r="AF59" s="261">
        <f>COUNTIF($O$1:O59,$O59)</f>
        <v>58</v>
      </c>
      <c r="AG59" s="285" t="str">
        <f>IF(J59='PLAN DE ESTUDIO'!$XFD$41,"",IF(P59="TP","Teórico-Práctica",IF(P59="T","Teórico",IF(P59="P","Práctica",""))))</f>
        <v/>
      </c>
      <c r="AH59" s="234" t="str">
        <f t="shared" si="1"/>
        <v xml:space="preserve"> </v>
      </c>
    </row>
    <row r="60" spans="10:34" x14ac:dyDescent="0.3">
      <c r="J60" s="412"/>
      <c r="K60" s="281" t="str">
        <f>IF($B$3="","",IF($B$3="PREGRADO",DATA!Q61,""))</f>
        <v/>
      </c>
      <c r="L60" s="281" t="str">
        <f>IF($B$3="","",IF($B$3="PREGRADO",DATA!R61,""))</f>
        <v/>
      </c>
      <c r="M60" s="281" t="str">
        <f>IF($B$3="","",IF($B$3="PREGRADO",DATA!S61,""))</f>
        <v/>
      </c>
      <c r="N60" s="412"/>
      <c r="O60" s="281" t="str">
        <f>IF($B$3="","",IF($B$3="PREGRADO",DATA!T61,""))</f>
        <v/>
      </c>
      <c r="P60" s="281" t="str">
        <f>IF($B$3="","",IF($B$3="PREGRADO",DATA!U61,""))</f>
        <v/>
      </c>
      <c r="Q60" s="412"/>
      <c r="R60" s="281" t="str">
        <f>IF($B$3="","",IF($B$3="PREGRADO",DATA!V61,""))</f>
        <v/>
      </c>
      <c r="S60" s="281" t="str">
        <f>IF($B$3="","",IF($B$3="PREGRADO",DATA!W61,""))</f>
        <v/>
      </c>
      <c r="T60" s="283" t="str" cm="1">
        <f t="array" ref="T60">IF($B$9="","",_xlfn.IFS($B$9="PRESENCIAL",_xlfn.XLOOKUP($S60,DATA!$B$4:$B$8,DATA!$D$4:$D$8,"",0,),$B$9="VIRTUAL",_xlfn.XLOOKUP($S60,DATA!$G$4:$G$8,DATA!$I$4:$I$8,"",0),$B$9="DISTANCIA",_xlfn.XLOOKUP($S60,DATA!$L$4:$L$8,DATA!$N$4:$N$8,"",0)))</f>
        <v/>
      </c>
      <c r="U60" s="283" t="str" cm="1">
        <f t="array" ref="U60">IF($B$9="","",_xlfn.IFS($B$9="PRESENCIAL",_xlfn.XLOOKUP($S60,DATA!$B$4:$B$8,DATA!$E$4:$E$8,"",0,),$B$9="VIRTUAL",_xlfn.XLOOKUP($S60,DATA!$G$4:$G$8,DATA!$J$4:$J$8,"",0),$B$9="DISTANCIA",_xlfn.XLOOKUP($S60,DATA!$L$4:$L$8,DATA!$O$4:$O$8,"",0)))</f>
        <v/>
      </c>
      <c r="V60" s="261" t="str">
        <f t="shared" si="0"/>
        <v/>
      </c>
      <c r="W60" s="282"/>
      <c r="X60" s="282"/>
      <c r="Y60" s="282"/>
      <c r="Z60" s="282"/>
      <c r="AA60" s="282"/>
      <c r="AB60" s="284"/>
      <c r="AC60" s="262" t="str">
        <f>IF(AE60="","",COUNTIF($AE$1:AE60,AE60))</f>
        <v/>
      </c>
      <c r="AD60" s="261" t="str">
        <f>IF(J60='PLAN DE ESTUDIO'!$XFD$41,"",IF(AE60="","",AC60&amp;K60&amp;L60&amp;M60))</f>
        <v/>
      </c>
      <c r="AE60" s="261" t="str">
        <f>IF(J60='PLAN DE ESTUDIO'!$XFD$41,"",IF(AF60=1,K60&amp;L60&amp;M60,""))</f>
        <v/>
      </c>
      <c r="AF60" s="261">
        <f>COUNTIF($O$1:O60,$O60)</f>
        <v>59</v>
      </c>
      <c r="AG60" s="285" t="str">
        <f>IF(J60='PLAN DE ESTUDIO'!$XFD$41,"",IF(P60="TP","Teórico-Práctica",IF(P60="T","Teórico",IF(P60="P","Práctica",""))))</f>
        <v/>
      </c>
      <c r="AH60" s="234" t="str">
        <f t="shared" si="1"/>
        <v xml:space="preserve"> </v>
      </c>
    </row>
    <row r="61" spans="10:34" x14ac:dyDescent="0.3">
      <c r="J61" s="412"/>
      <c r="K61" s="281" t="str">
        <f>IF($B$3="","",IF($B$3="PREGRADO",DATA!Q62,""))</f>
        <v/>
      </c>
      <c r="L61" s="281" t="str">
        <f>IF($B$3="","",IF($B$3="PREGRADO",DATA!R62,""))</f>
        <v/>
      </c>
      <c r="M61" s="281" t="str">
        <f>IF($B$3="","",IF($B$3="PREGRADO",DATA!S62,""))</f>
        <v/>
      </c>
      <c r="N61" s="412"/>
      <c r="O61" s="281" t="str">
        <f>IF($B$3="","",IF($B$3="PREGRADO",DATA!T62,""))</f>
        <v/>
      </c>
      <c r="P61" s="281" t="str">
        <f>IF($B$3="","",IF($B$3="PREGRADO",DATA!U62,""))</f>
        <v/>
      </c>
      <c r="Q61" s="412"/>
      <c r="R61" s="281" t="str">
        <f>IF($B$3="","",IF($B$3="PREGRADO",DATA!V62,""))</f>
        <v/>
      </c>
      <c r="S61" s="281" t="str">
        <f>IF($B$3="","",IF($B$3="PREGRADO",DATA!W62,""))</f>
        <v/>
      </c>
      <c r="T61" s="283" t="str" cm="1">
        <f t="array" ref="T61">IF($B$9="","",_xlfn.IFS($B$9="PRESENCIAL",_xlfn.XLOOKUP($S61,DATA!$B$4:$B$8,DATA!$D$4:$D$8,"",0,),$B$9="VIRTUAL",_xlfn.XLOOKUP($S61,DATA!$G$4:$G$8,DATA!$I$4:$I$8,"",0),$B$9="DISTANCIA",_xlfn.XLOOKUP($S61,DATA!$L$4:$L$8,DATA!$N$4:$N$8,"",0)))</f>
        <v/>
      </c>
      <c r="U61" s="283" t="str" cm="1">
        <f t="array" ref="U61">IF($B$9="","",_xlfn.IFS($B$9="PRESENCIAL",_xlfn.XLOOKUP($S61,DATA!$B$4:$B$8,DATA!$E$4:$E$8,"",0,),$B$9="VIRTUAL",_xlfn.XLOOKUP($S61,DATA!$G$4:$G$8,DATA!$J$4:$J$8,"",0),$B$9="DISTANCIA",_xlfn.XLOOKUP($S61,DATA!$L$4:$L$8,DATA!$O$4:$O$8,"",0)))</f>
        <v/>
      </c>
      <c r="V61" s="261" t="str">
        <f t="shared" si="0"/>
        <v/>
      </c>
      <c r="W61" s="282"/>
      <c r="X61" s="282"/>
      <c r="Y61" s="282"/>
      <c r="Z61" s="282"/>
      <c r="AA61" s="282"/>
      <c r="AB61" s="284"/>
      <c r="AC61" s="262" t="str">
        <f>IF(AE61="","",COUNTIF($AE$1:AE61,AE61))</f>
        <v/>
      </c>
      <c r="AD61" s="261" t="str">
        <f>IF(J61='PLAN DE ESTUDIO'!$XFD$41,"",IF(AE61="","",AC61&amp;K61&amp;L61&amp;M61))</f>
        <v/>
      </c>
      <c r="AE61" s="261" t="str">
        <f>IF(J61='PLAN DE ESTUDIO'!$XFD$41,"",IF(AF61=1,K61&amp;L61&amp;M61,""))</f>
        <v/>
      </c>
      <c r="AF61" s="261">
        <f>COUNTIF($O$1:O61,$O61)</f>
        <v>60</v>
      </c>
      <c r="AG61" s="285" t="str">
        <f>IF(J61='PLAN DE ESTUDIO'!$XFD$41,"",IF(P61="TP","Teórico-Práctica",IF(P61="T","Teórico",IF(P61="P","Práctica",""))))</f>
        <v/>
      </c>
      <c r="AH61" s="234" t="str">
        <f t="shared" si="1"/>
        <v xml:space="preserve"> </v>
      </c>
    </row>
    <row r="62" spans="10:34" x14ac:dyDescent="0.3">
      <c r="J62" s="412"/>
      <c r="K62" s="281" t="str">
        <f>IF($B$3="","",IF($B$3="PREGRADO",DATA!Q63,""))</f>
        <v/>
      </c>
      <c r="L62" s="281" t="str">
        <f>IF($B$3="","",IF($B$3="PREGRADO",DATA!R63,""))</f>
        <v/>
      </c>
      <c r="M62" s="281" t="str">
        <f>IF($B$3="","",IF($B$3="PREGRADO",DATA!S63,""))</f>
        <v/>
      </c>
      <c r="N62" s="412"/>
      <c r="O62" s="281" t="str">
        <f>IF($B$3="","",IF($B$3="PREGRADO",DATA!T63,""))</f>
        <v/>
      </c>
      <c r="P62" s="281" t="str">
        <f>IF($B$3="","",IF($B$3="PREGRADO",DATA!U63,""))</f>
        <v/>
      </c>
      <c r="Q62" s="412"/>
      <c r="R62" s="281" t="str">
        <f>IF($B$3="","",IF($B$3="PREGRADO",DATA!V63,""))</f>
        <v/>
      </c>
      <c r="S62" s="281" t="str">
        <f>IF($B$3="","",IF($B$3="PREGRADO",DATA!W63,""))</f>
        <v/>
      </c>
      <c r="T62" s="283" t="str" cm="1">
        <f t="array" ref="T62">IF($B$9="","",_xlfn.IFS($B$9="PRESENCIAL",_xlfn.XLOOKUP($S62,DATA!$B$4:$B$8,DATA!$D$4:$D$8,"",0,),$B$9="VIRTUAL",_xlfn.XLOOKUP($S62,DATA!$G$4:$G$8,DATA!$I$4:$I$8,"",0),$B$9="DISTANCIA",_xlfn.XLOOKUP($S62,DATA!$L$4:$L$8,DATA!$N$4:$N$8,"",0)))</f>
        <v/>
      </c>
      <c r="U62" s="283" t="str" cm="1">
        <f t="array" ref="U62">IF($B$9="","",_xlfn.IFS($B$9="PRESENCIAL",_xlfn.XLOOKUP($S62,DATA!$B$4:$B$8,DATA!$E$4:$E$8,"",0,),$B$9="VIRTUAL",_xlfn.XLOOKUP($S62,DATA!$G$4:$G$8,DATA!$J$4:$J$8,"",0),$B$9="DISTANCIA",_xlfn.XLOOKUP($S62,DATA!$L$4:$L$8,DATA!$O$4:$O$8,"",0)))</f>
        <v/>
      </c>
      <c r="V62" s="261" t="str">
        <f t="shared" si="0"/>
        <v/>
      </c>
      <c r="W62" s="282"/>
      <c r="X62" s="282"/>
      <c r="Y62" s="282"/>
      <c r="Z62" s="282"/>
      <c r="AA62" s="282"/>
      <c r="AB62" s="284"/>
      <c r="AC62" s="262" t="str">
        <f>IF(AE62="","",COUNTIF($AE$1:AE62,AE62))</f>
        <v/>
      </c>
      <c r="AD62" s="261" t="str">
        <f>IF(J62='PLAN DE ESTUDIO'!$XFD$41,"",IF(AE62="","",AC62&amp;K62&amp;L62&amp;M62))</f>
        <v/>
      </c>
      <c r="AE62" s="261" t="str">
        <f>IF(J62='PLAN DE ESTUDIO'!$XFD$41,"",IF(AF62=1,K62&amp;L62&amp;M62,""))</f>
        <v/>
      </c>
      <c r="AF62" s="261">
        <f>COUNTIF($O$1:O62,$O62)</f>
        <v>61</v>
      </c>
      <c r="AG62" s="285" t="str">
        <f>IF(J62='PLAN DE ESTUDIO'!$XFD$41,"",IF(P62="TP","Teórico-Práctica",IF(P62="T","Teórico",IF(P62="P","Práctica",""))))</f>
        <v/>
      </c>
      <c r="AH62" s="234" t="str">
        <f t="shared" si="1"/>
        <v xml:space="preserve"> </v>
      </c>
    </row>
    <row r="63" spans="10:34" x14ac:dyDescent="0.3">
      <c r="J63" s="412"/>
      <c r="K63" s="281" t="str">
        <f>IF($B$3="","",IF($B$3="PREGRADO",DATA!Q64,""))</f>
        <v/>
      </c>
      <c r="L63" s="281" t="str">
        <f>IF($B$3="","",IF($B$3="PREGRADO",DATA!R64,""))</f>
        <v/>
      </c>
      <c r="M63" s="281" t="str">
        <f>IF($B$3="","",IF($B$3="PREGRADO",DATA!S64,""))</f>
        <v/>
      </c>
      <c r="N63" s="412"/>
      <c r="O63" s="281" t="str">
        <f>IF($B$3="","",IF($B$3="PREGRADO",DATA!T64,""))</f>
        <v/>
      </c>
      <c r="P63" s="281" t="str">
        <f>IF($B$3="","",IF($B$3="PREGRADO",DATA!U64,""))</f>
        <v/>
      </c>
      <c r="Q63" s="412"/>
      <c r="R63" s="281" t="str">
        <f>IF($B$3="","",IF($B$3="PREGRADO",DATA!V64,""))</f>
        <v/>
      </c>
      <c r="S63" s="281" t="str">
        <f>IF($B$3="","",IF($B$3="PREGRADO",DATA!W64,""))</f>
        <v/>
      </c>
      <c r="T63" s="283" t="str" cm="1">
        <f t="array" ref="T63">IF($B$9="","",_xlfn.IFS($B$9="PRESENCIAL",_xlfn.XLOOKUP($S63,DATA!$B$4:$B$8,DATA!$D$4:$D$8,"",0,),$B$9="VIRTUAL",_xlfn.XLOOKUP($S63,DATA!$G$4:$G$8,DATA!$I$4:$I$8,"",0),$B$9="DISTANCIA",_xlfn.XLOOKUP($S63,DATA!$L$4:$L$8,DATA!$N$4:$N$8,"",0)))</f>
        <v/>
      </c>
      <c r="U63" s="283" t="str" cm="1">
        <f t="array" ref="U63">IF($B$9="","",_xlfn.IFS($B$9="PRESENCIAL",_xlfn.XLOOKUP($S63,DATA!$B$4:$B$8,DATA!$E$4:$E$8,"",0,),$B$9="VIRTUAL",_xlfn.XLOOKUP($S63,DATA!$G$4:$G$8,DATA!$J$4:$J$8,"",0),$B$9="DISTANCIA",_xlfn.XLOOKUP($S63,DATA!$L$4:$L$8,DATA!$O$4:$O$8,"",0)))</f>
        <v/>
      </c>
      <c r="V63" s="261" t="str">
        <f t="shared" si="0"/>
        <v/>
      </c>
      <c r="W63" s="282"/>
      <c r="X63" s="282"/>
      <c r="Y63" s="282"/>
      <c r="Z63" s="282"/>
      <c r="AA63" s="282"/>
      <c r="AB63" s="284"/>
      <c r="AC63" s="262" t="str">
        <f>IF(AE63="","",COUNTIF($AE$1:AE63,AE63))</f>
        <v/>
      </c>
      <c r="AD63" s="261" t="str">
        <f>IF(J63='PLAN DE ESTUDIO'!$XFD$41,"",IF(AE63="","",AC63&amp;K63&amp;L63&amp;M63))</f>
        <v/>
      </c>
      <c r="AE63" s="261" t="str">
        <f>IF(J63='PLAN DE ESTUDIO'!$XFD$41,"",IF(AF63=1,K63&amp;L63&amp;M63,""))</f>
        <v/>
      </c>
      <c r="AF63" s="261">
        <f>COUNTIF($O$1:O63,$O63)</f>
        <v>62</v>
      </c>
      <c r="AG63" s="285" t="str">
        <f>IF(J63='PLAN DE ESTUDIO'!$XFD$41,"",IF(P63="TP","Teórico-Práctica",IF(P63="T","Teórico",IF(P63="P","Práctica",""))))</f>
        <v/>
      </c>
      <c r="AH63" s="234" t="str">
        <f t="shared" si="1"/>
        <v xml:space="preserve"> </v>
      </c>
    </row>
    <row r="64" spans="10:34" x14ac:dyDescent="0.3">
      <c r="J64" s="412"/>
      <c r="K64" s="281" t="str">
        <f>IF($B$3="","",IF($B$3="PREGRADO",DATA!Q65,""))</f>
        <v/>
      </c>
      <c r="L64" s="281" t="str">
        <f>IF($B$3="","",IF($B$3="PREGRADO",DATA!R65,""))</f>
        <v/>
      </c>
      <c r="M64" s="281" t="str">
        <f>IF($B$3="","",IF($B$3="PREGRADO",DATA!S65,""))</f>
        <v/>
      </c>
      <c r="N64" s="412"/>
      <c r="O64" s="281" t="str">
        <f>IF($B$3="","",IF($B$3="PREGRADO",DATA!T65,""))</f>
        <v/>
      </c>
      <c r="P64" s="281" t="str">
        <f>IF($B$3="","",IF($B$3="PREGRADO",DATA!U65,""))</f>
        <v/>
      </c>
      <c r="Q64" s="412"/>
      <c r="R64" s="281" t="str">
        <f>IF($B$3="","",IF($B$3="PREGRADO",DATA!V65,""))</f>
        <v/>
      </c>
      <c r="S64" s="281" t="str">
        <f>IF($B$3="","",IF($B$3="PREGRADO",DATA!W65,""))</f>
        <v/>
      </c>
      <c r="T64" s="283" t="str" cm="1">
        <f t="array" ref="T64">IF($B$9="","",_xlfn.IFS($B$9="PRESENCIAL",_xlfn.XLOOKUP($S64,DATA!$B$4:$B$8,DATA!$D$4:$D$8,"",0,),$B$9="VIRTUAL",_xlfn.XLOOKUP($S64,DATA!$G$4:$G$8,DATA!$I$4:$I$8,"",0),$B$9="DISTANCIA",_xlfn.XLOOKUP($S64,DATA!$L$4:$L$8,DATA!$N$4:$N$8,"",0)))</f>
        <v/>
      </c>
      <c r="U64" s="283" t="str" cm="1">
        <f t="array" ref="U64">IF($B$9="","",_xlfn.IFS($B$9="PRESENCIAL",_xlfn.XLOOKUP($S64,DATA!$B$4:$B$8,DATA!$E$4:$E$8,"",0,),$B$9="VIRTUAL",_xlfn.XLOOKUP($S64,DATA!$G$4:$G$8,DATA!$J$4:$J$8,"",0),$B$9="DISTANCIA",_xlfn.XLOOKUP($S64,DATA!$L$4:$L$8,DATA!$O$4:$O$8,"",0)))</f>
        <v/>
      </c>
      <c r="V64" s="261" t="str">
        <f t="shared" si="0"/>
        <v/>
      </c>
      <c r="W64" s="282"/>
      <c r="X64" s="282"/>
      <c r="Y64" s="282"/>
      <c r="Z64" s="282"/>
      <c r="AA64" s="282"/>
      <c r="AB64" s="284"/>
      <c r="AC64" s="262" t="str">
        <f>IF(AE64="","",COUNTIF($AE$1:AE64,AE64))</f>
        <v/>
      </c>
      <c r="AD64" s="261" t="str">
        <f>IF(J64='PLAN DE ESTUDIO'!$XFD$41,"",IF(AE64="","",AC64&amp;K64&amp;L64&amp;M64))</f>
        <v/>
      </c>
      <c r="AE64" s="261" t="str">
        <f>IF(J64='PLAN DE ESTUDIO'!$XFD$41,"",IF(AF64=1,K64&amp;L64&amp;M64,""))</f>
        <v/>
      </c>
      <c r="AF64" s="261">
        <f>COUNTIF($O$1:O64,$O64)</f>
        <v>63</v>
      </c>
      <c r="AG64" s="285" t="str">
        <f>IF(J64='PLAN DE ESTUDIO'!$XFD$41,"",IF(P64="TP","Teórico-Práctica",IF(P64="T","Teórico",IF(P64="P","Práctica",""))))</f>
        <v/>
      </c>
      <c r="AH64" s="234" t="str">
        <f t="shared" si="1"/>
        <v xml:space="preserve"> </v>
      </c>
    </row>
    <row r="65" spans="10:34" x14ac:dyDescent="0.3">
      <c r="J65" s="412"/>
      <c r="K65" s="281" t="str">
        <f>IF($B$3="","",IF($B$3="PREGRADO",DATA!Q66,""))</f>
        <v/>
      </c>
      <c r="L65" s="281" t="str">
        <f>IF($B$3="","",IF($B$3="PREGRADO",DATA!R66,""))</f>
        <v/>
      </c>
      <c r="M65" s="281" t="str">
        <f>IF($B$3="","",IF($B$3="PREGRADO",DATA!S66,""))</f>
        <v/>
      </c>
      <c r="N65" s="412"/>
      <c r="O65" s="281" t="str">
        <f>IF($B$3="","",IF($B$3="PREGRADO",DATA!T66,""))</f>
        <v/>
      </c>
      <c r="P65" s="281" t="str">
        <f>IF($B$3="","",IF($B$3="PREGRADO",DATA!U66,""))</f>
        <v/>
      </c>
      <c r="Q65" s="412"/>
      <c r="R65" s="281" t="str">
        <f>IF($B$3="","",IF($B$3="PREGRADO",DATA!V66,""))</f>
        <v/>
      </c>
      <c r="S65" s="281" t="str">
        <f>IF($B$3="","",IF($B$3="PREGRADO",DATA!W66,""))</f>
        <v/>
      </c>
      <c r="T65" s="283" t="str" cm="1">
        <f t="array" ref="T65">IF($B$9="","",_xlfn.IFS($B$9="PRESENCIAL",_xlfn.XLOOKUP($S65,DATA!$B$4:$B$8,DATA!$D$4:$D$8,"",0,),$B$9="VIRTUAL",_xlfn.XLOOKUP($S65,DATA!$G$4:$G$8,DATA!$I$4:$I$8,"",0),$B$9="DISTANCIA",_xlfn.XLOOKUP($S65,DATA!$L$4:$L$8,DATA!$N$4:$N$8,"",0)))</f>
        <v/>
      </c>
      <c r="U65" s="283" t="str" cm="1">
        <f t="array" ref="U65">IF($B$9="","",_xlfn.IFS($B$9="PRESENCIAL",_xlfn.XLOOKUP($S65,DATA!$B$4:$B$8,DATA!$E$4:$E$8,"",0,),$B$9="VIRTUAL",_xlfn.XLOOKUP($S65,DATA!$G$4:$G$8,DATA!$J$4:$J$8,"",0),$B$9="DISTANCIA",_xlfn.XLOOKUP($S65,DATA!$L$4:$L$8,DATA!$O$4:$O$8,"",0)))</f>
        <v/>
      </c>
      <c r="V65" s="261" t="str">
        <f t="shared" si="0"/>
        <v/>
      </c>
      <c r="W65" s="282"/>
      <c r="X65" s="282"/>
      <c r="Y65" s="282"/>
      <c r="Z65" s="282"/>
      <c r="AA65" s="282"/>
      <c r="AB65" s="284"/>
      <c r="AC65" s="262" t="str">
        <f>IF(AE65="","",COUNTIF($AE$1:AE65,AE65))</f>
        <v/>
      </c>
      <c r="AD65" s="261" t="str">
        <f>IF(J65='PLAN DE ESTUDIO'!$XFD$41,"",IF(AE65="","",AC65&amp;K65&amp;L65&amp;M65))</f>
        <v/>
      </c>
      <c r="AE65" s="261" t="str">
        <f>IF(J65='PLAN DE ESTUDIO'!$XFD$41,"",IF(AF65=1,K65&amp;L65&amp;M65,""))</f>
        <v/>
      </c>
      <c r="AF65" s="261">
        <f>COUNTIF($O$1:O65,$O65)</f>
        <v>64</v>
      </c>
      <c r="AG65" s="285" t="str">
        <f>IF(J65='PLAN DE ESTUDIO'!$XFD$41,"",IF(P65="TP","Teórico-Práctica",IF(P65="T","Teórico",IF(P65="P","Práctica",""))))</f>
        <v/>
      </c>
      <c r="AH65" s="234" t="str">
        <f t="shared" si="1"/>
        <v xml:space="preserve"> </v>
      </c>
    </row>
    <row r="66" spans="10:34" x14ac:dyDescent="0.3">
      <c r="J66" s="412"/>
      <c r="K66" s="281" t="str">
        <f>IF($B$3="","",IF($B$3="PREGRADO",DATA!Q67,""))</f>
        <v/>
      </c>
      <c r="L66" s="281" t="str">
        <f>IF($B$3="","",IF($B$3="PREGRADO",DATA!R67,""))</f>
        <v/>
      </c>
      <c r="M66" s="281" t="str">
        <f>IF($B$3="","",IF($B$3="PREGRADO",DATA!S67,""))</f>
        <v/>
      </c>
      <c r="N66" s="412"/>
      <c r="O66" s="281" t="str">
        <f>IF($B$3="","",IF($B$3="PREGRADO",DATA!T67,""))</f>
        <v/>
      </c>
      <c r="P66" s="281" t="str">
        <f>IF($B$3="","",IF($B$3="PREGRADO",DATA!U67,""))</f>
        <v/>
      </c>
      <c r="Q66" s="412"/>
      <c r="R66" s="281" t="str">
        <f>IF($B$3="","",IF($B$3="PREGRADO",DATA!V67,""))</f>
        <v/>
      </c>
      <c r="S66" s="281" t="str">
        <f>IF($B$3="","",IF($B$3="PREGRADO",DATA!W67,""))</f>
        <v/>
      </c>
      <c r="T66" s="283" t="str" cm="1">
        <f t="array" ref="T66">IF($B$9="","",_xlfn.IFS($B$9="PRESENCIAL",_xlfn.XLOOKUP($S66,DATA!$B$4:$B$8,DATA!$D$4:$D$8,"",0,),$B$9="VIRTUAL",_xlfn.XLOOKUP($S66,DATA!$G$4:$G$8,DATA!$I$4:$I$8,"",0),$B$9="DISTANCIA",_xlfn.XLOOKUP($S66,DATA!$L$4:$L$8,DATA!$N$4:$N$8,"",0)))</f>
        <v/>
      </c>
      <c r="U66" s="283" t="str" cm="1">
        <f t="array" ref="U66">IF($B$9="","",_xlfn.IFS($B$9="PRESENCIAL",_xlfn.XLOOKUP($S66,DATA!$B$4:$B$8,DATA!$E$4:$E$8,"",0,),$B$9="VIRTUAL",_xlfn.XLOOKUP($S66,DATA!$G$4:$G$8,DATA!$J$4:$J$8,"",0),$B$9="DISTANCIA",_xlfn.XLOOKUP($S66,DATA!$L$4:$L$8,DATA!$O$4:$O$8,"",0)))</f>
        <v/>
      </c>
      <c r="V66" s="261" t="str">
        <f t="shared" si="0"/>
        <v/>
      </c>
      <c r="W66" s="282"/>
      <c r="X66" s="282"/>
      <c r="Y66" s="282"/>
      <c r="Z66" s="282"/>
      <c r="AA66" s="282"/>
      <c r="AB66" s="284"/>
      <c r="AC66" s="262" t="str">
        <f>IF(AE66="","",COUNTIF($AE$1:AE66,AE66))</f>
        <v/>
      </c>
      <c r="AD66" s="261" t="str">
        <f>IF(J66='PLAN DE ESTUDIO'!$XFD$41,"",IF(AE66="","",AC66&amp;K66&amp;L66&amp;M66))</f>
        <v/>
      </c>
      <c r="AE66" s="261" t="str">
        <f>IF(J66='PLAN DE ESTUDIO'!$XFD$41,"",IF(AF66=1,K66&amp;L66&amp;M66,""))</f>
        <v/>
      </c>
      <c r="AF66" s="261">
        <f>COUNTIF($O$1:O66,$O66)</f>
        <v>65</v>
      </c>
      <c r="AG66" s="285" t="str">
        <f>IF(J66='PLAN DE ESTUDIO'!$XFD$41,"",IF(P66="TP","Teórico-Práctica",IF(P66="T","Teórico",IF(P66="P","Práctica",""))))</f>
        <v/>
      </c>
      <c r="AH66" s="234" t="str">
        <f t="shared" si="1"/>
        <v xml:space="preserve"> </v>
      </c>
    </row>
    <row r="67" spans="10:34" x14ac:dyDescent="0.3">
      <c r="J67" s="412"/>
      <c r="K67" s="281" t="str">
        <f>IF($B$3="","",IF($B$3="PREGRADO",DATA!Q68,""))</f>
        <v/>
      </c>
      <c r="L67" s="281" t="str">
        <f>IF($B$3="","",IF($B$3="PREGRADO",DATA!R68,""))</f>
        <v/>
      </c>
      <c r="M67" s="281" t="str">
        <f>IF($B$3="","",IF($B$3="PREGRADO",DATA!S68,""))</f>
        <v/>
      </c>
      <c r="N67" s="412"/>
      <c r="O67" s="281" t="str">
        <f>IF($B$3="","",IF($B$3="PREGRADO",DATA!T68,""))</f>
        <v/>
      </c>
      <c r="P67" s="281" t="str">
        <f>IF($B$3="","",IF($B$3="PREGRADO",DATA!U68,""))</f>
        <v/>
      </c>
      <c r="Q67" s="412"/>
      <c r="R67" s="281" t="str">
        <f>IF($B$3="","",IF($B$3="PREGRADO",DATA!V68,""))</f>
        <v/>
      </c>
      <c r="S67" s="281" t="str">
        <f>IF($B$3="","",IF($B$3="PREGRADO",DATA!W68,""))</f>
        <v/>
      </c>
      <c r="T67" s="283" t="str" cm="1">
        <f t="array" ref="T67">IF($B$9="","",_xlfn.IFS($B$9="PRESENCIAL",_xlfn.XLOOKUP($S67,DATA!$B$4:$B$8,DATA!$D$4:$D$8,"",0,),$B$9="VIRTUAL",_xlfn.XLOOKUP($S67,DATA!$G$4:$G$8,DATA!$I$4:$I$8,"",0),$B$9="DISTANCIA",_xlfn.XLOOKUP($S67,DATA!$L$4:$L$8,DATA!$N$4:$N$8,"",0)))</f>
        <v/>
      </c>
      <c r="U67" s="283" t="str" cm="1">
        <f t="array" ref="U67">IF($B$9="","",_xlfn.IFS($B$9="PRESENCIAL",_xlfn.XLOOKUP($S67,DATA!$B$4:$B$8,DATA!$E$4:$E$8,"",0,),$B$9="VIRTUAL",_xlfn.XLOOKUP($S67,DATA!$G$4:$G$8,DATA!$J$4:$J$8,"",0),$B$9="DISTANCIA",_xlfn.XLOOKUP($S67,DATA!$L$4:$L$8,DATA!$O$4:$O$8,"",0)))</f>
        <v/>
      </c>
      <c r="V67" s="261" t="str">
        <f t="shared" ref="V67:V130" si="2">IF($U67="","",T67+U67)</f>
        <v/>
      </c>
      <c r="W67" s="282"/>
      <c r="X67" s="282"/>
      <c r="Y67" s="282"/>
      <c r="Z67" s="282"/>
      <c r="AA67" s="282"/>
      <c r="AB67" s="284"/>
      <c r="AC67" s="262" t="str">
        <f>IF(AE67="","",COUNTIF($AE$1:AE67,AE67))</f>
        <v/>
      </c>
      <c r="AD67" s="261" t="str">
        <f>IF(J67='PLAN DE ESTUDIO'!$XFD$41,"",IF(AE67="","",AC67&amp;K67&amp;L67&amp;M67))</f>
        <v/>
      </c>
      <c r="AE67" s="261" t="str">
        <f>IF(J67='PLAN DE ESTUDIO'!$XFD$41,"",IF(AF67=1,K67&amp;L67&amp;M67,""))</f>
        <v/>
      </c>
      <c r="AF67" s="261">
        <f>COUNTIF($O$1:O67,$O67)</f>
        <v>66</v>
      </c>
      <c r="AG67" s="285" t="str">
        <f>IF(J67='PLAN DE ESTUDIO'!$XFD$41,"",IF(P67="TP","Teórico-Práctica",IF(P67="T","Teórico",IF(P67="P","Práctica",""))))</f>
        <v/>
      </c>
      <c r="AH67" s="234" t="str">
        <f t="shared" ref="AH67:AH130" si="3">IF(AC67&lt;&gt;1," ",S67)</f>
        <v xml:space="preserve"> </v>
      </c>
    </row>
    <row r="68" spans="10:34" x14ac:dyDescent="0.3">
      <c r="J68" s="412"/>
      <c r="K68" s="281" t="str">
        <f>IF($B$3="","",IF($B$3="PREGRADO",DATA!Q69,""))</f>
        <v/>
      </c>
      <c r="L68" s="281" t="str">
        <f>IF($B$3="","",IF($B$3="PREGRADO",DATA!R69,""))</f>
        <v/>
      </c>
      <c r="M68" s="281" t="str">
        <f>IF($B$3="","",IF($B$3="PREGRADO",DATA!S69,""))</f>
        <v/>
      </c>
      <c r="N68" s="412"/>
      <c r="O68" s="281" t="str">
        <f>IF($B$3="","",IF($B$3="PREGRADO",DATA!T69,""))</f>
        <v/>
      </c>
      <c r="P68" s="281" t="str">
        <f>IF($B$3="","",IF($B$3="PREGRADO",DATA!U69,""))</f>
        <v/>
      </c>
      <c r="Q68" s="412"/>
      <c r="R68" s="281" t="str">
        <f>IF($B$3="","",IF($B$3="PREGRADO",DATA!V69,""))</f>
        <v/>
      </c>
      <c r="S68" s="281" t="str">
        <f>IF($B$3="","",IF($B$3="PREGRADO",DATA!W69,""))</f>
        <v/>
      </c>
      <c r="T68" s="283" t="str" cm="1">
        <f t="array" ref="T68">IF($B$9="","",_xlfn.IFS($B$9="PRESENCIAL",_xlfn.XLOOKUP($S68,DATA!$B$4:$B$8,DATA!$D$4:$D$8,"",0,),$B$9="VIRTUAL",_xlfn.XLOOKUP($S68,DATA!$G$4:$G$8,DATA!$I$4:$I$8,"",0),$B$9="DISTANCIA",_xlfn.XLOOKUP($S68,DATA!$L$4:$L$8,DATA!$N$4:$N$8,"",0)))</f>
        <v/>
      </c>
      <c r="U68" s="283" t="str" cm="1">
        <f t="array" ref="U68">IF($B$9="","",_xlfn.IFS($B$9="PRESENCIAL",_xlfn.XLOOKUP($S68,DATA!$B$4:$B$8,DATA!$E$4:$E$8,"",0,),$B$9="VIRTUAL",_xlfn.XLOOKUP($S68,DATA!$G$4:$G$8,DATA!$J$4:$J$8,"",0),$B$9="DISTANCIA",_xlfn.XLOOKUP($S68,DATA!$L$4:$L$8,DATA!$O$4:$O$8,"",0)))</f>
        <v/>
      </c>
      <c r="V68" s="261" t="str">
        <f t="shared" si="2"/>
        <v/>
      </c>
      <c r="W68" s="282"/>
      <c r="X68" s="282"/>
      <c r="Y68" s="282"/>
      <c r="Z68" s="282"/>
      <c r="AA68" s="282"/>
      <c r="AB68" s="284"/>
      <c r="AC68" s="262" t="str">
        <f>IF(AE68="","",COUNTIF($AE$1:AE68,AE68))</f>
        <v/>
      </c>
      <c r="AD68" s="261" t="str">
        <f>IF(J68='PLAN DE ESTUDIO'!$XFD$41,"",IF(AE68="","",AC68&amp;K68&amp;L68&amp;M68))</f>
        <v/>
      </c>
      <c r="AE68" s="261" t="str">
        <f>IF(J68='PLAN DE ESTUDIO'!$XFD$41,"",IF(AF68=1,K68&amp;L68&amp;M68,""))</f>
        <v/>
      </c>
      <c r="AF68" s="261">
        <f>COUNTIF($O$1:O68,$O68)</f>
        <v>67</v>
      </c>
      <c r="AG68" s="285" t="str">
        <f>IF(J68='PLAN DE ESTUDIO'!$XFD$41,"",IF(P68="TP","Teórico-Práctica",IF(P68="T","Teórico",IF(P68="P","Práctica",""))))</f>
        <v/>
      </c>
      <c r="AH68" s="234" t="str">
        <f t="shared" si="3"/>
        <v xml:space="preserve"> </v>
      </c>
    </row>
    <row r="69" spans="10:34" x14ac:dyDescent="0.3">
      <c r="J69" s="412"/>
      <c r="K69" s="281" t="str">
        <f>IF($B$3="","",IF($B$3="PREGRADO",DATA!Q70,""))</f>
        <v/>
      </c>
      <c r="L69" s="281" t="str">
        <f>IF($B$3="","",IF($B$3="PREGRADO",DATA!R70,""))</f>
        <v/>
      </c>
      <c r="M69" s="281" t="str">
        <f>IF($B$3="","",IF($B$3="PREGRADO",DATA!S70,""))</f>
        <v/>
      </c>
      <c r="N69" s="412"/>
      <c r="O69" s="281" t="str">
        <f>IF($B$3="","",IF($B$3="PREGRADO",DATA!T70,""))</f>
        <v/>
      </c>
      <c r="P69" s="281" t="str">
        <f>IF($B$3="","",IF($B$3="PREGRADO",DATA!U70,""))</f>
        <v/>
      </c>
      <c r="Q69" s="412"/>
      <c r="R69" s="281" t="str">
        <f>IF($B$3="","",IF($B$3="PREGRADO",DATA!V70,""))</f>
        <v/>
      </c>
      <c r="S69" s="281" t="str">
        <f>IF($B$3="","",IF($B$3="PREGRADO",DATA!W70,""))</f>
        <v/>
      </c>
      <c r="T69" s="283" t="str" cm="1">
        <f t="array" ref="T69">IF($B$9="","",_xlfn.IFS($B$9="PRESENCIAL",_xlfn.XLOOKUP($S69,DATA!$B$4:$B$8,DATA!$D$4:$D$8,"",0,),$B$9="VIRTUAL",_xlfn.XLOOKUP($S69,DATA!$G$4:$G$8,DATA!$I$4:$I$8,"",0),$B$9="DISTANCIA",_xlfn.XLOOKUP($S69,DATA!$L$4:$L$8,DATA!$N$4:$N$8,"",0)))</f>
        <v/>
      </c>
      <c r="U69" s="283" t="str" cm="1">
        <f t="array" ref="U69">IF($B$9="","",_xlfn.IFS($B$9="PRESENCIAL",_xlfn.XLOOKUP($S69,DATA!$B$4:$B$8,DATA!$E$4:$E$8,"",0,),$B$9="VIRTUAL",_xlfn.XLOOKUP($S69,DATA!$G$4:$G$8,DATA!$J$4:$J$8,"",0),$B$9="DISTANCIA",_xlfn.XLOOKUP($S69,DATA!$L$4:$L$8,DATA!$O$4:$O$8,"",0)))</f>
        <v/>
      </c>
      <c r="V69" s="261" t="str">
        <f t="shared" si="2"/>
        <v/>
      </c>
      <c r="W69" s="282"/>
      <c r="X69" s="282"/>
      <c r="Y69" s="282"/>
      <c r="Z69" s="282"/>
      <c r="AA69" s="282"/>
      <c r="AB69" s="284"/>
      <c r="AC69" s="262" t="str">
        <f>IF(AE69="","",COUNTIF($AE$1:AE69,AE69))</f>
        <v/>
      </c>
      <c r="AD69" s="261" t="str">
        <f>IF(J69='PLAN DE ESTUDIO'!$XFD$41,"",IF(AE69="","",AC69&amp;K69&amp;L69&amp;M69))</f>
        <v/>
      </c>
      <c r="AE69" s="261" t="str">
        <f>IF(J69='PLAN DE ESTUDIO'!$XFD$41,"",IF(AF69=1,K69&amp;L69&amp;M69,""))</f>
        <v/>
      </c>
      <c r="AF69" s="261">
        <f>COUNTIF($O$1:O69,$O69)</f>
        <v>68</v>
      </c>
      <c r="AG69" s="285" t="str">
        <f>IF(J69='PLAN DE ESTUDIO'!$XFD$41,"",IF(P69="TP","Teórico-Práctica",IF(P69="T","Teórico",IF(P69="P","Práctica",""))))</f>
        <v/>
      </c>
      <c r="AH69" s="234" t="str">
        <f t="shared" si="3"/>
        <v xml:space="preserve"> </v>
      </c>
    </row>
    <row r="70" spans="10:34" x14ac:dyDescent="0.3">
      <c r="J70" s="412"/>
      <c r="K70" s="281" t="str">
        <f>IF($B$3="","",IF($B$3="PREGRADO",DATA!Q71,""))</f>
        <v/>
      </c>
      <c r="L70" s="281" t="str">
        <f>IF($B$3="","",IF($B$3="PREGRADO",DATA!R71,""))</f>
        <v/>
      </c>
      <c r="M70" s="281" t="str">
        <f>IF($B$3="","",IF($B$3="PREGRADO",DATA!S71,""))</f>
        <v/>
      </c>
      <c r="N70" s="412"/>
      <c r="O70" s="281" t="str">
        <f>IF($B$3="","",IF($B$3="PREGRADO",DATA!T71,""))</f>
        <v/>
      </c>
      <c r="P70" s="281" t="str">
        <f>IF($B$3="","",IF($B$3="PREGRADO",DATA!U71,""))</f>
        <v/>
      </c>
      <c r="Q70" s="412"/>
      <c r="R70" s="281" t="str">
        <f>IF($B$3="","",IF($B$3="PREGRADO",DATA!V71,""))</f>
        <v/>
      </c>
      <c r="S70" s="281" t="str">
        <f>IF($B$3="","",IF($B$3="PREGRADO",DATA!W71,""))</f>
        <v/>
      </c>
      <c r="T70" s="283" t="str" cm="1">
        <f t="array" ref="T70">IF($B$9="","",_xlfn.IFS($B$9="PRESENCIAL",_xlfn.XLOOKUP($S70,DATA!$B$4:$B$8,DATA!$D$4:$D$8,"",0,),$B$9="VIRTUAL",_xlfn.XLOOKUP($S70,DATA!$G$4:$G$8,DATA!$I$4:$I$8,"",0),$B$9="DISTANCIA",_xlfn.XLOOKUP($S70,DATA!$L$4:$L$8,DATA!$N$4:$N$8,"",0)))</f>
        <v/>
      </c>
      <c r="U70" s="283" t="str" cm="1">
        <f t="array" ref="U70">IF($B$9="","",_xlfn.IFS($B$9="PRESENCIAL",_xlfn.XLOOKUP($S70,DATA!$B$4:$B$8,DATA!$E$4:$E$8,"",0,),$B$9="VIRTUAL",_xlfn.XLOOKUP($S70,DATA!$G$4:$G$8,DATA!$J$4:$J$8,"",0),$B$9="DISTANCIA",_xlfn.XLOOKUP($S70,DATA!$L$4:$L$8,DATA!$O$4:$O$8,"",0)))</f>
        <v/>
      </c>
      <c r="V70" s="261" t="str">
        <f t="shared" si="2"/>
        <v/>
      </c>
      <c r="W70" s="282"/>
      <c r="X70" s="282"/>
      <c r="Y70" s="282"/>
      <c r="Z70" s="282"/>
      <c r="AA70" s="282"/>
      <c r="AB70" s="284"/>
      <c r="AC70" s="262" t="str">
        <f>IF(AE70="","",COUNTIF($AE$1:AE70,AE70))</f>
        <v/>
      </c>
      <c r="AD70" s="261" t="str">
        <f>IF(J70='PLAN DE ESTUDIO'!$XFD$41,"",IF(AE70="","",AC70&amp;K70&amp;L70&amp;M70))</f>
        <v/>
      </c>
      <c r="AE70" s="261" t="str">
        <f>IF(J70='PLAN DE ESTUDIO'!$XFD$41,"",IF(AF70=1,K70&amp;L70&amp;M70,""))</f>
        <v/>
      </c>
      <c r="AF70" s="261">
        <f>COUNTIF($O$1:O70,$O70)</f>
        <v>69</v>
      </c>
      <c r="AG70" s="285" t="str">
        <f>IF(J70='PLAN DE ESTUDIO'!$XFD$41,"",IF(P70="TP","Teórico-Práctica",IF(P70="T","Teórico",IF(P70="P","Práctica",""))))</f>
        <v/>
      </c>
      <c r="AH70" s="234" t="str">
        <f t="shared" si="3"/>
        <v xml:space="preserve"> </v>
      </c>
    </row>
    <row r="71" spans="10:34" x14ac:dyDescent="0.3">
      <c r="J71" s="412"/>
      <c r="K71" s="281" t="str">
        <f>IF($B$3="","",IF($B$3="PREGRADO",DATA!Q72,""))</f>
        <v/>
      </c>
      <c r="L71" s="281" t="str">
        <f>IF($B$3="","",IF($B$3="PREGRADO",DATA!R72,""))</f>
        <v/>
      </c>
      <c r="M71" s="281" t="str">
        <f>IF($B$3="","",IF($B$3="PREGRADO",DATA!S72,""))</f>
        <v/>
      </c>
      <c r="N71" s="412"/>
      <c r="O71" s="281" t="str">
        <f>IF($B$3="","",IF($B$3="PREGRADO",DATA!T72,""))</f>
        <v/>
      </c>
      <c r="P71" s="281" t="str">
        <f>IF($B$3="","",IF($B$3="PREGRADO",DATA!U72,""))</f>
        <v/>
      </c>
      <c r="Q71" s="412"/>
      <c r="R71" s="281" t="str">
        <f>IF($B$3="","",IF($B$3="PREGRADO",DATA!V72,""))</f>
        <v/>
      </c>
      <c r="S71" s="281" t="str">
        <f>IF($B$3="","",IF($B$3="PREGRADO",DATA!W72,""))</f>
        <v/>
      </c>
      <c r="T71" s="283" t="str" cm="1">
        <f t="array" ref="T71">IF($B$9="","",_xlfn.IFS($B$9="PRESENCIAL",_xlfn.XLOOKUP($S71,DATA!$B$4:$B$8,DATA!$D$4:$D$8,"",0,),$B$9="VIRTUAL",_xlfn.XLOOKUP($S71,DATA!$G$4:$G$8,DATA!$I$4:$I$8,"",0),$B$9="DISTANCIA",_xlfn.XLOOKUP($S71,DATA!$L$4:$L$8,DATA!$N$4:$N$8,"",0)))</f>
        <v/>
      </c>
      <c r="U71" s="283" t="str" cm="1">
        <f t="array" ref="U71">IF($B$9="","",_xlfn.IFS($B$9="PRESENCIAL",_xlfn.XLOOKUP($S71,DATA!$B$4:$B$8,DATA!$E$4:$E$8,"",0,),$B$9="VIRTUAL",_xlfn.XLOOKUP($S71,DATA!$G$4:$G$8,DATA!$J$4:$J$8,"",0),$B$9="DISTANCIA",_xlfn.XLOOKUP($S71,DATA!$L$4:$L$8,DATA!$O$4:$O$8,"",0)))</f>
        <v/>
      </c>
      <c r="V71" s="261" t="str">
        <f t="shared" si="2"/>
        <v/>
      </c>
      <c r="W71" s="282"/>
      <c r="X71" s="282"/>
      <c r="Y71" s="282"/>
      <c r="Z71" s="282"/>
      <c r="AA71" s="282"/>
      <c r="AB71" s="284"/>
      <c r="AC71" s="262" t="str">
        <f>IF(AE71="","",COUNTIF($AE$1:AE71,AE71))</f>
        <v/>
      </c>
      <c r="AD71" s="261" t="str">
        <f>IF(J71='PLAN DE ESTUDIO'!$XFD$41,"",IF(AE71="","",AC71&amp;K71&amp;L71&amp;M71))</f>
        <v/>
      </c>
      <c r="AE71" s="261" t="str">
        <f>IF(J71='PLAN DE ESTUDIO'!$XFD$41,"",IF(AF71=1,K71&amp;L71&amp;M71,""))</f>
        <v/>
      </c>
      <c r="AF71" s="261">
        <f>COUNTIF($O$1:O71,$O71)</f>
        <v>70</v>
      </c>
      <c r="AG71" s="285" t="str">
        <f>IF(J71='PLAN DE ESTUDIO'!$XFD$41,"",IF(P71="TP","Teórico-Práctica",IF(P71="T","Teórico",IF(P71="P","Práctica",""))))</f>
        <v/>
      </c>
      <c r="AH71" s="234" t="str">
        <f t="shared" si="3"/>
        <v xml:space="preserve"> </v>
      </c>
    </row>
    <row r="72" spans="10:34" x14ac:dyDescent="0.3">
      <c r="J72" s="412"/>
      <c r="K72" s="281" t="str">
        <f>IF($B$3="","",IF($B$3="PREGRADO",DATA!Q73,DATA!AB28))</f>
        <v/>
      </c>
      <c r="L72" s="281" t="str">
        <f>IF($B$3="","",IF($B$3="PREGRADO",DATA!R73,DATA!AC28))</f>
        <v/>
      </c>
      <c r="M72" s="281" t="str">
        <f>IF($B$3="","",IF($B$3="PREGRADO",DATA!S73,DATA!AD28))</f>
        <v/>
      </c>
      <c r="N72" s="412"/>
      <c r="O72" s="281" t="str">
        <f>IF($B$3="","",IF($B$3="PREGRADO",DATA!T73,DATA!AE28))</f>
        <v/>
      </c>
      <c r="P72" s="281" t="str">
        <f>IF($B$3="","",IF($B$3="PREGRADO",DATA!U73,DATA!AF28))</f>
        <v/>
      </c>
      <c r="Q72" s="412"/>
      <c r="R72" s="425"/>
      <c r="S72" s="281" t="str">
        <f>IF($B$3="","",IF($B$3="PREGRADO",DATA!W73,DATA!AH28))</f>
        <v/>
      </c>
      <c r="T72" s="283" t="str" cm="1">
        <f t="array" ref="T72">IF($B$9="","",_xlfn.IFS($B$9="PRESENCIAL",_xlfn.XLOOKUP($S72,DATA!$B$4:$B$8,DATA!$D$4:$D$8,"",0,),$B$9="VIRTUAL",_xlfn.XLOOKUP($S72,DATA!$G$4:$G$8,DATA!$I$4:$I$8,"",0),$B$9="DISTANCIA",_xlfn.XLOOKUP($S72,DATA!$L$4:$L$8,DATA!$N$4:$N$8,"",0)))</f>
        <v/>
      </c>
      <c r="U72" s="283" t="str" cm="1">
        <f t="array" ref="U72">IF($B$9="","",_xlfn.IFS($B$9="PRESENCIAL",_xlfn.XLOOKUP($S72,DATA!$B$4:$B$8,DATA!$E$4:$E$8,"",0,),$B$9="VIRTUAL",_xlfn.XLOOKUP($S72,DATA!$G$4:$G$8,DATA!$J$4:$J$8,"",0),$B$9="DISTANCIA",_xlfn.XLOOKUP($S72,DATA!$L$4:$L$8,DATA!$O$4:$O$8,"",0)))</f>
        <v/>
      </c>
      <c r="V72" s="261" t="str">
        <f t="shared" si="2"/>
        <v/>
      </c>
      <c r="W72" s="282"/>
      <c r="X72" s="282"/>
      <c r="Y72" s="282"/>
      <c r="Z72" s="282"/>
      <c r="AA72" s="282"/>
      <c r="AB72" s="284"/>
      <c r="AC72" s="262" t="str">
        <f>IF(AE72="","",COUNTIF($AE$1:AE72,AE72))</f>
        <v/>
      </c>
      <c r="AD72" s="261" t="str">
        <f>IF(J72='PLAN DE ESTUDIO'!$XFD$41,"",IF(AE72="","",AC72&amp;K72&amp;L72&amp;M72))</f>
        <v/>
      </c>
      <c r="AE72" s="261" t="str">
        <f>IF(J72='PLAN DE ESTUDIO'!$XFD$41,"",IF(AF72=1,K72&amp;L72&amp;M72,""))</f>
        <v/>
      </c>
      <c r="AF72" s="261">
        <f>COUNTIF($O$1:O72,$O72)</f>
        <v>71</v>
      </c>
      <c r="AG72" s="285" t="str">
        <f>IF(J72='PLAN DE ESTUDIO'!$XFD$41,"",IF(P72="TP","Teórico-Práctica",IF(P72="T","Teórico",IF(P72="P","Práctica",""))))</f>
        <v/>
      </c>
      <c r="AH72" s="234" t="str">
        <f t="shared" si="3"/>
        <v xml:space="preserve"> </v>
      </c>
    </row>
    <row r="73" spans="10:34" x14ac:dyDescent="0.3">
      <c r="J73" s="412"/>
      <c r="K73" s="281" t="str">
        <f>IF($B$3="","",IF($B$3="PREGRADO",DATA!Q74,DATA!AB29))</f>
        <v/>
      </c>
      <c r="L73" s="281" t="str">
        <f>IF($B$3="","",IF($B$3="PREGRADO",DATA!R74,DATA!AC29))</f>
        <v/>
      </c>
      <c r="M73" s="281" t="str">
        <f>IF($B$3="","",IF($B$3="PREGRADO",DATA!S74,DATA!AD29))</f>
        <v/>
      </c>
      <c r="N73" s="412"/>
      <c r="O73" s="281" t="str">
        <f>IF($B$3="","",IF($B$3="PREGRADO",DATA!T74,DATA!AE29))</f>
        <v/>
      </c>
      <c r="P73" s="281" t="str">
        <f>IF($B$3="","",IF($B$3="PREGRADO",DATA!U74,DATA!AF29))</f>
        <v/>
      </c>
      <c r="Q73" s="412"/>
      <c r="R73" s="425"/>
      <c r="S73" s="281" t="str">
        <f>IF($B$3="","",IF($B$3="PREGRADO",DATA!W74,DATA!AH29))</f>
        <v/>
      </c>
      <c r="T73" s="283" t="str" cm="1">
        <f t="array" ref="T73">IF($B$9="","",_xlfn.IFS($B$9="PRESENCIAL",_xlfn.XLOOKUP($S73,DATA!$B$4:$B$8,DATA!$D$4:$D$8,"",0,),$B$9="VIRTUAL",_xlfn.XLOOKUP($S73,DATA!$G$4:$G$8,DATA!$I$4:$I$8,"",0),$B$9="DISTANCIA",_xlfn.XLOOKUP($S73,DATA!$L$4:$L$8,DATA!$N$4:$N$8,"",0)))</f>
        <v/>
      </c>
      <c r="U73" s="283" t="str" cm="1">
        <f t="array" ref="U73">IF($B$9="","",_xlfn.IFS($B$9="PRESENCIAL",_xlfn.XLOOKUP($S73,DATA!$B$4:$B$8,DATA!$E$4:$E$8,"",0,),$B$9="VIRTUAL",_xlfn.XLOOKUP($S73,DATA!$G$4:$G$8,DATA!$J$4:$J$8,"",0),$B$9="DISTANCIA",_xlfn.XLOOKUP($S73,DATA!$L$4:$L$8,DATA!$O$4:$O$8,"",0)))</f>
        <v/>
      </c>
      <c r="V73" s="261" t="str">
        <f t="shared" si="2"/>
        <v/>
      </c>
      <c r="W73" s="282"/>
      <c r="X73" s="282"/>
      <c r="Y73" s="282"/>
      <c r="Z73" s="282"/>
      <c r="AA73" s="282"/>
      <c r="AB73" s="284"/>
      <c r="AC73" s="262" t="str">
        <f>IF(AE73="","",COUNTIF($AE$1:AE73,AE73))</f>
        <v/>
      </c>
      <c r="AD73" s="261" t="str">
        <f>IF(J73='PLAN DE ESTUDIO'!$XFD$41,"",IF(AE73="","",AC73&amp;K73&amp;L73&amp;M73))</f>
        <v/>
      </c>
      <c r="AE73" s="261" t="str">
        <f>IF(J73='PLAN DE ESTUDIO'!$XFD$41,"",IF(AF73=1,K73&amp;L73&amp;M73,""))</f>
        <v/>
      </c>
      <c r="AF73" s="261">
        <f>COUNTIF($O$1:O73,$O73)</f>
        <v>72</v>
      </c>
      <c r="AG73" s="285" t="str">
        <f>IF(J73='PLAN DE ESTUDIO'!$XFD$41,"",IF(P73="TP","Teórico-Práctica",IF(P73="T","Teórico",IF(P73="P","Práctica",""))))</f>
        <v/>
      </c>
      <c r="AH73" s="234" t="str">
        <f t="shared" si="3"/>
        <v xml:space="preserve"> </v>
      </c>
    </row>
    <row r="74" spans="10:34" x14ac:dyDescent="0.3">
      <c r="J74" s="412"/>
      <c r="K74" s="281" t="str">
        <f>IF($B$3="","",IF($B$3="PREGRADO",DATA!Q75,DATA!AB30))</f>
        <v/>
      </c>
      <c r="L74" s="281" t="str">
        <f>IF($B$3="","",IF($B$3="PREGRADO",DATA!R75,DATA!AC30))</f>
        <v/>
      </c>
      <c r="M74" s="281" t="str">
        <f>IF($B$3="","",IF($B$3="PREGRADO",DATA!S75,DATA!AD30))</f>
        <v/>
      </c>
      <c r="N74" s="412"/>
      <c r="O74" s="281" t="str">
        <f>IF($B$3="","",IF($B$3="PREGRADO",DATA!T75,DATA!AE30))</f>
        <v/>
      </c>
      <c r="P74" s="281" t="str">
        <f>IF($B$3="","",IF($B$3="PREGRADO",DATA!U75,DATA!AF30))</f>
        <v/>
      </c>
      <c r="Q74" s="412"/>
      <c r="R74" s="425"/>
      <c r="S74" s="281" t="str">
        <f>IF($B$3="","",IF($B$3="PREGRADO",DATA!W75,DATA!AH30))</f>
        <v/>
      </c>
      <c r="T74" s="283" t="str" cm="1">
        <f t="array" ref="T74">IF($B$9="","",_xlfn.IFS($B$9="PRESENCIAL",_xlfn.XLOOKUP($S74,DATA!$B$4:$B$8,DATA!$D$4:$D$8,"",0,),$B$9="VIRTUAL",_xlfn.XLOOKUP($S74,DATA!$G$4:$G$8,DATA!$I$4:$I$8,"",0),$B$9="DISTANCIA",_xlfn.XLOOKUP($S74,DATA!$L$4:$L$8,DATA!$N$4:$N$8,"",0)))</f>
        <v/>
      </c>
      <c r="U74" s="283" t="str" cm="1">
        <f t="array" ref="U74">IF($B$9="","",_xlfn.IFS($B$9="PRESENCIAL",_xlfn.XLOOKUP($S74,DATA!$B$4:$B$8,DATA!$E$4:$E$8,"",0,),$B$9="VIRTUAL",_xlfn.XLOOKUP($S74,DATA!$G$4:$G$8,DATA!$J$4:$J$8,"",0),$B$9="DISTANCIA",_xlfn.XLOOKUP($S74,DATA!$L$4:$L$8,DATA!$O$4:$O$8,"",0)))</f>
        <v/>
      </c>
      <c r="V74" s="261" t="str">
        <f t="shared" si="2"/>
        <v/>
      </c>
      <c r="W74" s="282"/>
      <c r="X74" s="282"/>
      <c r="Y74" s="282"/>
      <c r="Z74" s="282"/>
      <c r="AA74" s="282"/>
      <c r="AB74" s="284"/>
      <c r="AC74" s="262" t="str">
        <f>IF(AE74="","",COUNTIF($AE$1:AE74,AE74))</f>
        <v/>
      </c>
      <c r="AD74" s="261" t="str">
        <f>IF(J74='PLAN DE ESTUDIO'!$XFD$41,"",IF(AE74="","",AC74&amp;K74&amp;L74&amp;M74))</f>
        <v/>
      </c>
      <c r="AE74" s="261" t="str">
        <f>IF(J74='PLAN DE ESTUDIO'!$XFD$41,"",IF(AF74=1,K74&amp;L74&amp;M74,""))</f>
        <v/>
      </c>
      <c r="AF74" s="261">
        <f>COUNTIF($O$1:O74,$O74)</f>
        <v>73</v>
      </c>
      <c r="AG74" s="285" t="str">
        <f>IF(J74='PLAN DE ESTUDIO'!$XFD$41,"",IF(P74="TP","Teórico-Práctica",IF(P74="T","Teórico",IF(P74="P","Práctica",""))))</f>
        <v/>
      </c>
      <c r="AH74" s="234" t="str">
        <f t="shared" si="3"/>
        <v xml:space="preserve"> </v>
      </c>
    </row>
    <row r="75" spans="10:34" x14ac:dyDescent="0.3">
      <c r="J75" s="412"/>
      <c r="K75" s="281" t="str">
        <f>IF($B$3="","",IF($B$3="PREGRADO",DATA!Q76,DATA!AB31))</f>
        <v/>
      </c>
      <c r="L75" s="281" t="str">
        <f>IF($B$3="","",IF($B$3="PREGRADO",DATA!R76,DATA!AC31))</f>
        <v/>
      </c>
      <c r="M75" s="281" t="str">
        <f>IF($B$3="","",IF($B$3="PREGRADO",DATA!S76,DATA!AD31))</f>
        <v/>
      </c>
      <c r="N75" s="412"/>
      <c r="O75" s="281" t="str">
        <f>IF($B$3="","",IF($B$3="PREGRADO",DATA!T76,DATA!AE31))</f>
        <v/>
      </c>
      <c r="P75" s="281" t="str">
        <f>IF($B$3="","",IF($B$3="PREGRADO",DATA!U76,DATA!AF31))</f>
        <v/>
      </c>
      <c r="Q75" s="412"/>
      <c r="R75" s="425"/>
      <c r="S75" s="281" t="str">
        <f>IF($B$3="","",IF($B$3="PREGRADO",DATA!W76,DATA!AH31))</f>
        <v/>
      </c>
      <c r="T75" s="283" t="str" cm="1">
        <f t="array" ref="T75">IF($B$9="","",_xlfn.IFS($B$9="PRESENCIAL",_xlfn.XLOOKUP($S75,DATA!$B$4:$B$8,DATA!$D$4:$D$8,"",0,),$B$9="VIRTUAL",_xlfn.XLOOKUP($S75,DATA!$G$4:$G$8,DATA!$I$4:$I$8,"",0),$B$9="DISTANCIA",_xlfn.XLOOKUP($S75,DATA!$L$4:$L$8,DATA!$N$4:$N$8,"",0)))</f>
        <v/>
      </c>
      <c r="U75" s="283" t="str" cm="1">
        <f t="array" ref="U75">IF($B$9="","",_xlfn.IFS($B$9="PRESENCIAL",_xlfn.XLOOKUP($S75,DATA!$B$4:$B$8,DATA!$E$4:$E$8,"",0,),$B$9="VIRTUAL",_xlfn.XLOOKUP($S75,DATA!$G$4:$G$8,DATA!$J$4:$J$8,"",0),$B$9="DISTANCIA",_xlfn.XLOOKUP($S75,DATA!$L$4:$L$8,DATA!$O$4:$O$8,"",0)))</f>
        <v/>
      </c>
      <c r="V75" s="261" t="str">
        <f t="shared" si="2"/>
        <v/>
      </c>
      <c r="W75" s="282"/>
      <c r="X75" s="282"/>
      <c r="Y75" s="282"/>
      <c r="Z75" s="282"/>
      <c r="AA75" s="282"/>
      <c r="AB75" s="284"/>
      <c r="AC75" s="262" t="str">
        <f>IF(AE75="","",COUNTIF($AE$1:AE75,AE75))</f>
        <v/>
      </c>
      <c r="AD75" s="261" t="str">
        <f>IF(J75='PLAN DE ESTUDIO'!$XFD$41,"",IF(AE75="","",AC75&amp;K75&amp;L75&amp;M75))</f>
        <v/>
      </c>
      <c r="AE75" s="261" t="str">
        <f>IF(J75='PLAN DE ESTUDIO'!$XFD$41,"",IF(AF75=1,K75&amp;L75&amp;M75,""))</f>
        <v/>
      </c>
      <c r="AF75" s="261">
        <f>COUNTIF($O$1:O75,$O75)</f>
        <v>74</v>
      </c>
      <c r="AG75" s="285" t="str">
        <f>IF(J75='PLAN DE ESTUDIO'!$XFD$41,"",IF(P75="TP","Teórico-Práctica",IF(P75="T","Teórico",IF(P75="P","Práctica",""))))</f>
        <v/>
      </c>
      <c r="AH75" s="234" t="str">
        <f t="shared" si="3"/>
        <v xml:space="preserve"> </v>
      </c>
    </row>
    <row r="76" spans="10:34" x14ac:dyDescent="0.3">
      <c r="J76" s="412"/>
      <c r="K76" s="281" t="str">
        <f>IF($B$3="","",IF($B$3="PREGRADO",DATA!Q77,DATA!AB32))</f>
        <v/>
      </c>
      <c r="L76" s="281" t="str">
        <f>IF($B$3="","",IF($B$3="PREGRADO",DATA!R77,DATA!AC32))</f>
        <v/>
      </c>
      <c r="M76" s="281" t="str">
        <f>IF($B$3="","",IF($B$3="PREGRADO",DATA!S77,DATA!AD32))</f>
        <v/>
      </c>
      <c r="N76" s="412"/>
      <c r="O76" s="281" t="str">
        <f>IF($B$3="","",IF($B$3="PREGRADO",DATA!T77,DATA!AE32))</f>
        <v/>
      </c>
      <c r="P76" s="281" t="str">
        <f>IF($B$3="","",IF($B$3="PREGRADO",DATA!U77,DATA!AF32))</f>
        <v/>
      </c>
      <c r="Q76" s="412"/>
      <c r="R76" s="425"/>
      <c r="S76" s="281" t="str">
        <f>IF($B$3="","",IF($B$3="PREGRADO",DATA!W77,DATA!AH32))</f>
        <v/>
      </c>
      <c r="T76" s="283" t="str" cm="1">
        <f t="array" ref="T76">IF($B$9="","",_xlfn.IFS($B$9="PRESENCIAL",_xlfn.XLOOKUP($S76,DATA!$B$4:$B$8,DATA!$D$4:$D$8,"",0,),$B$9="VIRTUAL",_xlfn.XLOOKUP($S76,DATA!$G$4:$G$8,DATA!$I$4:$I$8,"",0),$B$9="DISTANCIA",_xlfn.XLOOKUP($S76,DATA!$L$4:$L$8,DATA!$N$4:$N$8,"",0)))</f>
        <v/>
      </c>
      <c r="U76" s="283" t="str" cm="1">
        <f t="array" ref="U76">IF($B$9="","",_xlfn.IFS($B$9="PRESENCIAL",_xlfn.XLOOKUP($S76,DATA!$B$4:$B$8,DATA!$E$4:$E$8,"",0,),$B$9="VIRTUAL",_xlfn.XLOOKUP($S76,DATA!$G$4:$G$8,DATA!$J$4:$J$8,"",0),$B$9="DISTANCIA",_xlfn.XLOOKUP($S76,DATA!$L$4:$L$8,DATA!$O$4:$O$8,"",0)))</f>
        <v/>
      </c>
      <c r="V76" s="261" t="str">
        <f t="shared" si="2"/>
        <v/>
      </c>
      <c r="W76" s="282"/>
      <c r="X76" s="282"/>
      <c r="Y76" s="282"/>
      <c r="Z76" s="282"/>
      <c r="AA76" s="282"/>
      <c r="AB76" s="284"/>
      <c r="AC76" s="262" t="str">
        <f>IF(AE76="","",COUNTIF($AE$1:AE76,AE76))</f>
        <v/>
      </c>
      <c r="AD76" s="261" t="str">
        <f>IF(J76='PLAN DE ESTUDIO'!$XFD$41,"",IF(AE76="","",AC76&amp;K76&amp;L76&amp;M76))</f>
        <v/>
      </c>
      <c r="AE76" s="261" t="str">
        <f>IF(J76='PLAN DE ESTUDIO'!$XFD$41,"",IF(AF76=1,K76&amp;L76&amp;M76,""))</f>
        <v/>
      </c>
      <c r="AF76" s="261">
        <f>COUNTIF($O$1:O76,$O76)</f>
        <v>75</v>
      </c>
      <c r="AG76" s="285" t="str">
        <f>IF(J76='PLAN DE ESTUDIO'!$XFD$41,"",IF(P76="TP","Teórico-Práctica",IF(P76="T","Teórico",IF(P76="P","Práctica",""))))</f>
        <v/>
      </c>
      <c r="AH76" s="234" t="str">
        <f t="shared" si="3"/>
        <v xml:space="preserve"> </v>
      </c>
    </row>
    <row r="77" spans="10:34" x14ac:dyDescent="0.3">
      <c r="J77" s="412"/>
      <c r="K77" s="281" t="str">
        <f>IF($B$3="","",IF($B$3="PREGRADO",DATA!Q78,DATA!AB33))</f>
        <v/>
      </c>
      <c r="L77" s="281" t="str">
        <f>IF($B$3="","",IF($B$3="PREGRADO",DATA!R78,DATA!AC33))</f>
        <v/>
      </c>
      <c r="M77" s="281" t="str">
        <f>IF($B$3="","",IF($B$3="PREGRADO",DATA!S78,DATA!AD33))</f>
        <v/>
      </c>
      <c r="N77" s="412"/>
      <c r="O77" s="281" t="str">
        <f>IF($B$3="","",IF($B$3="PREGRADO",DATA!T78,DATA!AE33))</f>
        <v/>
      </c>
      <c r="P77" s="281" t="str">
        <f>IF($B$3="","",IF($B$3="PREGRADO",DATA!U78,DATA!AF33))</f>
        <v/>
      </c>
      <c r="Q77" s="412"/>
      <c r="R77" s="425"/>
      <c r="S77" s="281" t="str">
        <f>IF($B$3="","",IF($B$3="PREGRADO",DATA!W78,DATA!AH33))</f>
        <v/>
      </c>
      <c r="T77" s="283" t="str" cm="1">
        <f t="array" ref="T77">IF($B$9="","",_xlfn.IFS($B$9="PRESENCIAL",_xlfn.XLOOKUP($S77,DATA!$B$4:$B$8,DATA!$D$4:$D$8,"",0,),$B$9="VIRTUAL",_xlfn.XLOOKUP($S77,DATA!$G$4:$G$8,DATA!$I$4:$I$8,"",0),$B$9="DISTANCIA",_xlfn.XLOOKUP($S77,DATA!$L$4:$L$8,DATA!$N$4:$N$8,"",0)))</f>
        <v/>
      </c>
      <c r="U77" s="283" t="str" cm="1">
        <f t="array" ref="U77">IF($B$9="","",_xlfn.IFS($B$9="PRESENCIAL",_xlfn.XLOOKUP($S77,DATA!$B$4:$B$8,DATA!$E$4:$E$8,"",0,),$B$9="VIRTUAL",_xlfn.XLOOKUP($S77,DATA!$G$4:$G$8,DATA!$J$4:$J$8,"",0),$B$9="DISTANCIA",_xlfn.XLOOKUP($S77,DATA!$L$4:$L$8,DATA!$O$4:$O$8,"",0)))</f>
        <v/>
      </c>
      <c r="V77" s="261" t="str">
        <f t="shared" si="2"/>
        <v/>
      </c>
      <c r="W77" s="282"/>
      <c r="X77" s="282"/>
      <c r="Y77" s="282"/>
      <c r="Z77" s="282"/>
      <c r="AA77" s="282"/>
      <c r="AB77" s="284"/>
      <c r="AC77" s="262" t="str">
        <f>IF(AE77="","",COUNTIF($AE$1:AE77,AE77))</f>
        <v/>
      </c>
      <c r="AD77" s="261" t="str">
        <f>IF(J77='PLAN DE ESTUDIO'!$XFD$41,"",IF(AE77="","",AC77&amp;K77&amp;L77&amp;M77))</f>
        <v/>
      </c>
      <c r="AE77" s="261" t="str">
        <f>IF(J77='PLAN DE ESTUDIO'!$XFD$41,"",IF(AF77=1,K77&amp;L77&amp;M77,""))</f>
        <v/>
      </c>
      <c r="AF77" s="261">
        <f>COUNTIF($O$1:O77,$O77)</f>
        <v>76</v>
      </c>
      <c r="AG77" s="285" t="str">
        <f>IF(J77='PLAN DE ESTUDIO'!$XFD$41,"",IF(P77="TP","Teórico-Práctica",IF(P77="T","Teórico",IF(P77="P","Práctica",""))))</f>
        <v/>
      </c>
      <c r="AH77" s="234" t="str">
        <f t="shared" si="3"/>
        <v xml:space="preserve"> </v>
      </c>
    </row>
    <row r="78" spans="10:34" x14ac:dyDescent="0.3">
      <c r="J78" s="412"/>
      <c r="K78" s="281" t="str">
        <f>IF($B$3="","",IF($B$3="PREGRADO",DATA!Q79,DATA!AB34))</f>
        <v/>
      </c>
      <c r="L78" s="281" t="str">
        <f>IF($B$3="","",IF($B$3="PREGRADO",DATA!R79,DATA!AC34))</f>
        <v/>
      </c>
      <c r="M78" s="281" t="str">
        <f>IF($B$3="","",IF($B$3="PREGRADO",DATA!S79,DATA!AD34))</f>
        <v/>
      </c>
      <c r="N78" s="412"/>
      <c r="O78" s="281" t="str">
        <f>IF($B$3="","",IF($B$3="PREGRADO",DATA!T79,DATA!AE34))</f>
        <v/>
      </c>
      <c r="P78" s="281" t="str">
        <f>IF($B$3="","",IF($B$3="PREGRADO",DATA!U79,DATA!AF34))</f>
        <v/>
      </c>
      <c r="Q78" s="412"/>
      <c r="R78" s="425"/>
      <c r="S78" s="281" t="str">
        <f>IF($B$3="","",IF($B$3="PREGRADO",DATA!W79,DATA!AH34))</f>
        <v/>
      </c>
      <c r="T78" s="283" t="str" cm="1">
        <f t="array" ref="T78">IF($B$9="","",_xlfn.IFS($B$9="PRESENCIAL",_xlfn.XLOOKUP($S78,DATA!$B$4:$B$8,DATA!$D$4:$D$8,"",0,),$B$9="VIRTUAL",_xlfn.XLOOKUP($S78,DATA!$G$4:$G$8,DATA!$I$4:$I$8,"",0),$B$9="DISTANCIA",_xlfn.XLOOKUP($S78,DATA!$L$4:$L$8,DATA!$N$4:$N$8,"",0)))</f>
        <v/>
      </c>
      <c r="U78" s="283" t="str" cm="1">
        <f t="array" ref="U78">IF($B$9="","",_xlfn.IFS($B$9="PRESENCIAL",_xlfn.XLOOKUP($S78,DATA!$B$4:$B$8,DATA!$E$4:$E$8,"",0,),$B$9="VIRTUAL",_xlfn.XLOOKUP($S78,DATA!$G$4:$G$8,DATA!$J$4:$J$8,"",0),$B$9="DISTANCIA",_xlfn.XLOOKUP($S78,DATA!$L$4:$L$8,DATA!$O$4:$O$8,"",0)))</f>
        <v/>
      </c>
      <c r="V78" s="261" t="str">
        <f t="shared" si="2"/>
        <v/>
      </c>
      <c r="W78" s="282"/>
      <c r="X78" s="282"/>
      <c r="Y78" s="282"/>
      <c r="Z78" s="282"/>
      <c r="AA78" s="282"/>
      <c r="AB78" s="284"/>
      <c r="AC78" s="262" t="str">
        <f>IF(AE78="","",COUNTIF($AE$1:AE78,AE78))</f>
        <v/>
      </c>
      <c r="AD78" s="261" t="str">
        <f>IF(J78='PLAN DE ESTUDIO'!$XFD$41,"",IF(AE78="","",AC78&amp;K78&amp;L78&amp;M78))</f>
        <v/>
      </c>
      <c r="AE78" s="261" t="str">
        <f>IF(J78='PLAN DE ESTUDIO'!$XFD$41,"",IF(AF78=1,K78&amp;L78&amp;M78,""))</f>
        <v/>
      </c>
      <c r="AF78" s="261">
        <f>COUNTIF($O$1:O78,$O78)</f>
        <v>77</v>
      </c>
      <c r="AG78" s="285" t="str">
        <f>IF(J78='PLAN DE ESTUDIO'!$XFD$41,"",IF(P78="TP","Teórico-Práctica",IF(P78="T","Teórico",IF(P78="P","Práctica",""))))</f>
        <v/>
      </c>
      <c r="AH78" s="234" t="str">
        <f t="shared" si="3"/>
        <v xml:space="preserve"> </v>
      </c>
    </row>
    <row r="79" spans="10:34" x14ac:dyDescent="0.3">
      <c r="J79" s="412"/>
      <c r="K79" s="281" t="str">
        <f>IF($B$3="","",IF($B$3="PREGRADO",DATA!Q80,DATA!AB35))</f>
        <v/>
      </c>
      <c r="L79" s="281" t="str">
        <f>IF($B$3="","",IF($B$3="PREGRADO",DATA!R80,DATA!AC35))</f>
        <v/>
      </c>
      <c r="M79" s="281" t="str">
        <f>IF($B$3="","",IF($B$3="PREGRADO",DATA!S80,DATA!AD35))</f>
        <v/>
      </c>
      <c r="N79" s="412"/>
      <c r="O79" s="281" t="str">
        <f>IF($B$3="","",IF($B$3="PREGRADO",DATA!T80,DATA!AE35))</f>
        <v/>
      </c>
      <c r="P79" s="281" t="str">
        <f>IF($B$3="","",IF($B$3="PREGRADO",DATA!U80,DATA!AF35))</f>
        <v/>
      </c>
      <c r="Q79" s="412"/>
      <c r="R79" s="425"/>
      <c r="S79" s="281" t="str">
        <f>IF($B$3="","",IF($B$3="PREGRADO",DATA!W80,DATA!AH35))</f>
        <v/>
      </c>
      <c r="T79" s="283" t="str" cm="1">
        <f t="array" ref="T79">IF($B$9="","",_xlfn.IFS($B$9="PRESENCIAL",_xlfn.XLOOKUP($S79,DATA!$B$4:$B$8,DATA!$D$4:$D$8,"",0,),$B$9="VIRTUAL",_xlfn.XLOOKUP($S79,DATA!$G$4:$G$8,DATA!$I$4:$I$8,"",0),$B$9="DISTANCIA",_xlfn.XLOOKUP($S79,DATA!$L$4:$L$8,DATA!$N$4:$N$8,"",0)))</f>
        <v/>
      </c>
      <c r="U79" s="283" t="str" cm="1">
        <f t="array" ref="U79">IF($B$9="","",_xlfn.IFS($B$9="PRESENCIAL",_xlfn.XLOOKUP($S79,DATA!$B$4:$B$8,DATA!$E$4:$E$8,"",0,),$B$9="VIRTUAL",_xlfn.XLOOKUP($S79,DATA!$G$4:$G$8,DATA!$J$4:$J$8,"",0),$B$9="DISTANCIA",_xlfn.XLOOKUP($S79,DATA!$L$4:$L$8,DATA!$O$4:$O$8,"",0)))</f>
        <v/>
      </c>
      <c r="V79" s="261" t="str">
        <f t="shared" si="2"/>
        <v/>
      </c>
      <c r="W79" s="282"/>
      <c r="X79" s="282"/>
      <c r="Y79" s="282"/>
      <c r="Z79" s="282"/>
      <c r="AA79" s="282"/>
      <c r="AB79" s="284"/>
      <c r="AC79" s="262" t="str">
        <f>IF(AE79="","",COUNTIF($AE$1:AE79,AE79))</f>
        <v/>
      </c>
      <c r="AD79" s="261" t="str">
        <f>IF(J79='PLAN DE ESTUDIO'!$XFD$41,"",IF(AE79="","",AC79&amp;K79&amp;L79&amp;M79))</f>
        <v/>
      </c>
      <c r="AE79" s="261" t="str">
        <f>IF(J79='PLAN DE ESTUDIO'!$XFD$41,"",IF(AF79=1,K79&amp;L79&amp;M79,""))</f>
        <v/>
      </c>
      <c r="AF79" s="261">
        <f>COUNTIF($O$1:O79,$O79)</f>
        <v>78</v>
      </c>
      <c r="AG79" s="285" t="str">
        <f>IF(J79='PLAN DE ESTUDIO'!$XFD$41,"",IF(P79="TP","Teórico-Práctica",IF(P79="T","Teórico",IF(P79="P","Práctica",""))))</f>
        <v/>
      </c>
      <c r="AH79" s="234" t="str">
        <f t="shared" si="3"/>
        <v xml:space="preserve"> </v>
      </c>
    </row>
    <row r="80" spans="10:34" x14ac:dyDescent="0.3">
      <c r="J80" s="412"/>
      <c r="K80" s="281" t="str">
        <f>IF($B$3="","",IF($B$3="PREGRADO",DATA!Q81,DATA!AB36))</f>
        <v/>
      </c>
      <c r="L80" s="281" t="str">
        <f>IF($B$3="","",IF($B$3="PREGRADO",DATA!R81,DATA!AC36))</f>
        <v/>
      </c>
      <c r="M80" s="281" t="str">
        <f>IF($B$3="","",IF($B$3="PREGRADO",DATA!S81,DATA!AD36))</f>
        <v/>
      </c>
      <c r="N80" s="412"/>
      <c r="O80" s="281" t="str">
        <f>IF($B$3="","",IF($B$3="PREGRADO",DATA!T81,DATA!AE36))</f>
        <v/>
      </c>
      <c r="P80" s="281" t="str">
        <f>IF($B$3="","",IF($B$3="PREGRADO",DATA!U81,DATA!AF36))</f>
        <v/>
      </c>
      <c r="Q80" s="412"/>
      <c r="R80" s="425"/>
      <c r="S80" s="281" t="str">
        <f>IF($B$3="","",IF($B$3="PREGRADO",DATA!W81,DATA!AH36))</f>
        <v/>
      </c>
      <c r="T80" s="283" t="str" cm="1">
        <f t="array" ref="T80">IF($B$9="","",_xlfn.IFS($B$9="PRESENCIAL",_xlfn.XLOOKUP($S80,DATA!$B$4:$B$8,DATA!$D$4:$D$8,"",0,),$B$9="VIRTUAL",_xlfn.XLOOKUP($S80,DATA!$G$4:$G$8,DATA!$I$4:$I$8,"",0),$B$9="DISTANCIA",_xlfn.XLOOKUP($S80,DATA!$L$4:$L$8,DATA!$N$4:$N$8,"",0)))</f>
        <v/>
      </c>
      <c r="U80" s="283" t="str" cm="1">
        <f t="array" ref="U80">IF($B$9="","",_xlfn.IFS($B$9="PRESENCIAL",_xlfn.XLOOKUP($S80,DATA!$B$4:$B$8,DATA!$E$4:$E$8,"",0,),$B$9="VIRTUAL",_xlfn.XLOOKUP($S80,DATA!$G$4:$G$8,DATA!$J$4:$J$8,"",0),$B$9="DISTANCIA",_xlfn.XLOOKUP($S80,DATA!$L$4:$L$8,DATA!$O$4:$O$8,"",0)))</f>
        <v/>
      </c>
      <c r="V80" s="261" t="str">
        <f t="shared" si="2"/>
        <v/>
      </c>
      <c r="W80" s="282"/>
      <c r="X80" s="282"/>
      <c r="Y80" s="282"/>
      <c r="Z80" s="282"/>
      <c r="AA80" s="282"/>
      <c r="AB80" s="284"/>
      <c r="AC80" s="262" t="str">
        <f>IF(AE80="","",COUNTIF($AE$1:AE80,AE80))</f>
        <v/>
      </c>
      <c r="AD80" s="261" t="str">
        <f>IF(J80='PLAN DE ESTUDIO'!$XFD$41,"",IF(AE80="","",AC80&amp;K80&amp;L80&amp;M80))</f>
        <v/>
      </c>
      <c r="AE80" s="261" t="str">
        <f>IF(J80='PLAN DE ESTUDIO'!$XFD$41,"",IF(AF80=1,K80&amp;L80&amp;M80,""))</f>
        <v/>
      </c>
      <c r="AF80" s="261">
        <f>COUNTIF($O$1:O80,$O80)</f>
        <v>79</v>
      </c>
      <c r="AG80" s="285" t="str">
        <f>IF(J80='PLAN DE ESTUDIO'!$XFD$41,"",IF(P80="TP","Teórico-Práctica",IF(P80="T","Teórico",IF(P80="P","Práctica",""))))</f>
        <v/>
      </c>
      <c r="AH80" s="234" t="str">
        <f t="shared" si="3"/>
        <v xml:space="preserve"> </v>
      </c>
    </row>
    <row r="81" spans="10:34" x14ac:dyDescent="0.3">
      <c r="J81" s="412"/>
      <c r="K81" s="281" t="str">
        <f>IF($B$3="","",IF($B$3="PREGRADO",DATA!Q82,DATA!AB37))</f>
        <v/>
      </c>
      <c r="L81" s="281" t="str">
        <f>IF($B$3="","",IF($B$3="PREGRADO",DATA!R82,DATA!AC37))</f>
        <v/>
      </c>
      <c r="M81" s="281" t="str">
        <f>IF($B$3="","",IF($B$3="PREGRADO",DATA!S82,DATA!AD37))</f>
        <v/>
      </c>
      <c r="N81" s="412"/>
      <c r="O81" s="281" t="str">
        <f>IF($B$3="","",IF($B$3="PREGRADO",DATA!T82,DATA!AE37))</f>
        <v/>
      </c>
      <c r="P81" s="281" t="str">
        <f>IF($B$3="","",IF($B$3="PREGRADO",DATA!U82,DATA!AF37))</f>
        <v/>
      </c>
      <c r="Q81" s="412"/>
      <c r="R81" s="425"/>
      <c r="S81" s="281" t="str">
        <f>IF($B$3="","",IF($B$3="PREGRADO",DATA!W82,DATA!AH37))</f>
        <v/>
      </c>
      <c r="T81" s="283" t="str" cm="1">
        <f t="array" ref="T81">IF($B$9="","",_xlfn.IFS($B$9="PRESENCIAL",_xlfn.XLOOKUP($S81,DATA!$B$4:$B$8,DATA!$D$4:$D$8,"",0,),$B$9="VIRTUAL",_xlfn.XLOOKUP($S81,DATA!$G$4:$G$8,DATA!$I$4:$I$8,"",0),$B$9="DISTANCIA",_xlfn.XLOOKUP($S81,DATA!$L$4:$L$8,DATA!$N$4:$N$8,"",0)))</f>
        <v/>
      </c>
      <c r="U81" s="283" t="str" cm="1">
        <f t="array" ref="U81">IF($B$9="","",_xlfn.IFS($B$9="PRESENCIAL",_xlfn.XLOOKUP($S81,DATA!$B$4:$B$8,DATA!$E$4:$E$8,"",0,),$B$9="VIRTUAL",_xlfn.XLOOKUP($S81,DATA!$G$4:$G$8,DATA!$J$4:$J$8,"",0),$B$9="DISTANCIA",_xlfn.XLOOKUP($S81,DATA!$L$4:$L$8,DATA!$O$4:$O$8,"",0)))</f>
        <v/>
      </c>
      <c r="V81" s="261" t="str">
        <f t="shared" si="2"/>
        <v/>
      </c>
      <c r="W81" s="282"/>
      <c r="X81" s="282"/>
      <c r="Y81" s="282"/>
      <c r="Z81" s="282"/>
      <c r="AA81" s="282"/>
      <c r="AB81" s="284"/>
      <c r="AC81" s="262" t="str">
        <f>IF(AE81="","",COUNTIF($AE$1:AE81,AE81))</f>
        <v/>
      </c>
      <c r="AD81" s="261" t="str">
        <f>IF(J81='PLAN DE ESTUDIO'!$XFD$41,"",IF(AE81="","",AC81&amp;K81&amp;L81&amp;M81))</f>
        <v/>
      </c>
      <c r="AE81" s="261" t="str">
        <f>IF(J81='PLAN DE ESTUDIO'!$XFD$41,"",IF(AF81=1,K81&amp;L81&amp;M81,""))</f>
        <v/>
      </c>
      <c r="AF81" s="261">
        <f>COUNTIF($O$1:O81,$O81)</f>
        <v>80</v>
      </c>
      <c r="AG81" s="285" t="str">
        <f>IF(J81='PLAN DE ESTUDIO'!$XFD$41,"",IF(P81="TP","Teórico-Práctica",IF(P81="T","Teórico",IF(P81="P","Práctica",""))))</f>
        <v/>
      </c>
      <c r="AH81" s="234" t="str">
        <f t="shared" si="3"/>
        <v xml:space="preserve"> </v>
      </c>
    </row>
    <row r="82" spans="10:34" x14ac:dyDescent="0.3">
      <c r="J82" s="412"/>
      <c r="K82" s="281" t="str">
        <f>IF($B$3="","",IF($B$3="PREGRADO",DATA!Q83,DATA!AB38))</f>
        <v/>
      </c>
      <c r="L82" s="281" t="str">
        <f>IF($B$3="","",IF($B$3="PREGRADO",DATA!R83,DATA!AC38))</f>
        <v/>
      </c>
      <c r="M82" s="281" t="str">
        <f>IF($B$3="","",IF($B$3="PREGRADO",DATA!S83,DATA!AD38))</f>
        <v/>
      </c>
      <c r="N82" s="412"/>
      <c r="O82" s="281" t="str">
        <f>IF($B$3="","",IF($B$3="PREGRADO",DATA!T83,DATA!AE38))</f>
        <v/>
      </c>
      <c r="P82" s="281" t="str">
        <f>IF($B$3="","",IF($B$3="PREGRADO",DATA!U83,DATA!AF38))</f>
        <v/>
      </c>
      <c r="Q82" s="412"/>
      <c r="R82" s="425"/>
      <c r="S82" s="281" t="str">
        <f>IF($B$3="","",IF($B$3="PREGRADO",DATA!W83,DATA!AH38))</f>
        <v/>
      </c>
      <c r="T82" s="283" t="str" cm="1">
        <f t="array" ref="T82">IF($B$9="","",_xlfn.IFS($B$9="PRESENCIAL",_xlfn.XLOOKUP($S82,DATA!$B$4:$B$8,DATA!$D$4:$D$8,"",0,),$B$9="VIRTUAL",_xlfn.XLOOKUP($S82,DATA!$G$4:$G$8,DATA!$I$4:$I$8,"",0),$B$9="DISTANCIA",_xlfn.XLOOKUP($S82,DATA!$L$4:$L$8,DATA!$N$4:$N$8,"",0)))</f>
        <v/>
      </c>
      <c r="U82" s="283" t="str" cm="1">
        <f t="array" ref="U82">IF($B$9="","",_xlfn.IFS($B$9="PRESENCIAL",_xlfn.XLOOKUP($S82,DATA!$B$4:$B$8,DATA!$E$4:$E$8,"",0,),$B$9="VIRTUAL",_xlfn.XLOOKUP($S82,DATA!$G$4:$G$8,DATA!$J$4:$J$8,"",0),$B$9="DISTANCIA",_xlfn.XLOOKUP($S82,DATA!$L$4:$L$8,DATA!$O$4:$O$8,"",0)))</f>
        <v/>
      </c>
      <c r="V82" s="261" t="str">
        <f t="shared" si="2"/>
        <v/>
      </c>
      <c r="W82" s="282"/>
      <c r="X82" s="282"/>
      <c r="Y82" s="282"/>
      <c r="Z82" s="282"/>
      <c r="AA82" s="282"/>
      <c r="AB82" s="284"/>
      <c r="AC82" s="262" t="str">
        <f>IF(AE82="","",COUNTIF($AE$1:AE82,AE82))</f>
        <v/>
      </c>
      <c r="AD82" s="261" t="str">
        <f>IF(J82='PLAN DE ESTUDIO'!$XFD$41,"",IF(AE82="","",AC82&amp;K82&amp;L82&amp;M82))</f>
        <v/>
      </c>
      <c r="AE82" s="261" t="str">
        <f>IF(J82='PLAN DE ESTUDIO'!$XFD$41,"",IF(AF82=1,K82&amp;L82&amp;M82,""))</f>
        <v/>
      </c>
      <c r="AF82" s="261">
        <f>COUNTIF($O$1:O82,$O82)</f>
        <v>81</v>
      </c>
      <c r="AG82" s="285" t="str">
        <f>IF(J82='PLAN DE ESTUDIO'!$XFD$41,"",IF(P82="TP","Teórico-Práctica",IF(P82="T","Teórico",IF(P82="P","Práctica",""))))</f>
        <v/>
      </c>
      <c r="AH82" s="234" t="str">
        <f t="shared" si="3"/>
        <v xml:space="preserve"> </v>
      </c>
    </row>
    <row r="83" spans="10:34" x14ac:dyDescent="0.3">
      <c r="J83" s="412"/>
      <c r="K83" s="281" t="str">
        <f>IF($B$3="","",IF($B$3="PREGRADO",DATA!Q84,DATA!AB39))</f>
        <v/>
      </c>
      <c r="L83" s="281" t="str">
        <f>IF($B$3="","",IF($B$3="PREGRADO",DATA!R84,DATA!AC39))</f>
        <v/>
      </c>
      <c r="M83" s="281" t="str">
        <f>IF($B$3="","",IF($B$3="PREGRADO",DATA!S84,DATA!AD39))</f>
        <v/>
      </c>
      <c r="N83" s="412"/>
      <c r="O83" s="281" t="str">
        <f>IF($B$3="","",IF($B$3="PREGRADO",DATA!T84,DATA!AE39))</f>
        <v/>
      </c>
      <c r="P83" s="281" t="str">
        <f>IF($B$3="","",IF($B$3="PREGRADO",DATA!U84,DATA!AF39))</f>
        <v/>
      </c>
      <c r="Q83" s="412"/>
      <c r="R83" s="425"/>
      <c r="S83" s="281" t="str">
        <f>IF($B$3="","",IF($B$3="PREGRADO",DATA!W84,DATA!AH39))</f>
        <v/>
      </c>
      <c r="T83" s="283" t="str" cm="1">
        <f t="array" ref="T83">IF($B$9="","",_xlfn.IFS($B$9="PRESENCIAL",_xlfn.XLOOKUP($S83,DATA!$B$4:$B$8,DATA!$D$4:$D$8,"",0,),$B$9="VIRTUAL",_xlfn.XLOOKUP($S83,DATA!$G$4:$G$8,DATA!$I$4:$I$8,"",0),$B$9="DISTANCIA",_xlfn.XLOOKUP($S83,DATA!$L$4:$L$8,DATA!$N$4:$N$8,"",0)))</f>
        <v/>
      </c>
      <c r="U83" s="283" t="str" cm="1">
        <f t="array" ref="U83">IF($B$9="","",_xlfn.IFS($B$9="PRESENCIAL",_xlfn.XLOOKUP($S83,DATA!$B$4:$B$8,DATA!$E$4:$E$8,"",0,),$B$9="VIRTUAL",_xlfn.XLOOKUP($S83,DATA!$G$4:$G$8,DATA!$J$4:$J$8,"",0),$B$9="DISTANCIA",_xlfn.XLOOKUP($S83,DATA!$L$4:$L$8,DATA!$O$4:$O$8,"",0)))</f>
        <v/>
      </c>
      <c r="V83" s="261" t="str">
        <f t="shared" si="2"/>
        <v/>
      </c>
      <c r="W83" s="282"/>
      <c r="X83" s="282"/>
      <c r="Y83" s="282"/>
      <c r="Z83" s="282"/>
      <c r="AA83" s="282"/>
      <c r="AB83" s="284"/>
      <c r="AC83" s="262" t="str">
        <f>IF(AE83="","",COUNTIF($AE$1:AE83,AE83))</f>
        <v/>
      </c>
      <c r="AD83" s="261" t="str">
        <f>IF(J83='PLAN DE ESTUDIO'!$XFD$41,"",IF(AE83="","",AC83&amp;K83&amp;L83&amp;M83))</f>
        <v/>
      </c>
      <c r="AE83" s="261" t="str">
        <f>IF(J83='PLAN DE ESTUDIO'!$XFD$41,"",IF(AF83=1,K83&amp;L83&amp;M83,""))</f>
        <v/>
      </c>
      <c r="AF83" s="261">
        <f>COUNTIF($O$1:O83,$O83)</f>
        <v>82</v>
      </c>
      <c r="AG83" s="285" t="str">
        <f>IF(J83='PLAN DE ESTUDIO'!$XFD$41,"",IF(P83="TP","Teórico-Práctica",IF(P83="T","Teórico",IF(P83="P","Práctica",""))))</f>
        <v/>
      </c>
      <c r="AH83" s="234" t="str">
        <f t="shared" si="3"/>
        <v xml:space="preserve"> </v>
      </c>
    </row>
    <row r="84" spans="10:34" x14ac:dyDescent="0.3">
      <c r="J84" s="412"/>
      <c r="K84" s="281" t="str">
        <f>IF($B$3="","",IF($B$3="PREGRADO",DATA!Q85,DATA!AB40))</f>
        <v/>
      </c>
      <c r="L84" s="281" t="str">
        <f>IF($B$3="","",IF($B$3="PREGRADO",DATA!R85,DATA!AC40))</f>
        <v/>
      </c>
      <c r="M84" s="281" t="str">
        <f>IF($B$3="","",IF($B$3="PREGRADO",DATA!S85,DATA!AD40))</f>
        <v/>
      </c>
      <c r="N84" s="412"/>
      <c r="O84" s="281" t="str">
        <f>IF($B$3="","",IF($B$3="PREGRADO",DATA!T85,DATA!AE40))</f>
        <v/>
      </c>
      <c r="P84" s="281" t="str">
        <f>IF($B$3="","",IF($B$3="PREGRADO",DATA!U85,DATA!AF40))</f>
        <v/>
      </c>
      <c r="Q84" s="412"/>
      <c r="R84" s="425"/>
      <c r="S84" s="281" t="str">
        <f>IF($B$3="","",IF($B$3="PREGRADO",DATA!W85,DATA!AH40))</f>
        <v/>
      </c>
      <c r="T84" s="283" t="str" cm="1">
        <f t="array" ref="T84">IF($B$9="","",_xlfn.IFS($B$9="PRESENCIAL",_xlfn.XLOOKUP($S84,DATA!$B$4:$B$8,DATA!$D$4:$D$8,"",0,),$B$9="VIRTUAL",_xlfn.XLOOKUP($S84,DATA!$G$4:$G$8,DATA!$I$4:$I$8,"",0),$B$9="DISTANCIA",_xlfn.XLOOKUP($S84,DATA!$L$4:$L$8,DATA!$N$4:$N$8,"",0)))</f>
        <v/>
      </c>
      <c r="U84" s="283" t="str" cm="1">
        <f t="array" ref="U84">IF($B$9="","",_xlfn.IFS($B$9="PRESENCIAL",_xlfn.XLOOKUP($S84,DATA!$B$4:$B$8,DATA!$E$4:$E$8,"",0,),$B$9="VIRTUAL",_xlfn.XLOOKUP($S84,DATA!$G$4:$G$8,DATA!$J$4:$J$8,"",0),$B$9="DISTANCIA",_xlfn.XLOOKUP($S84,DATA!$L$4:$L$8,DATA!$O$4:$O$8,"",0)))</f>
        <v/>
      </c>
      <c r="V84" s="261" t="str">
        <f t="shared" si="2"/>
        <v/>
      </c>
      <c r="W84" s="282"/>
      <c r="X84" s="282"/>
      <c r="Y84" s="282"/>
      <c r="Z84" s="282"/>
      <c r="AA84" s="282"/>
      <c r="AB84" s="284"/>
      <c r="AC84" s="262" t="str">
        <f>IF(AE84="","",COUNTIF($AE$1:AE84,AE84))</f>
        <v/>
      </c>
      <c r="AD84" s="261" t="str">
        <f>IF(J84='PLAN DE ESTUDIO'!$XFD$41,"",IF(AE84="","",AC84&amp;K84&amp;L84&amp;M84))</f>
        <v/>
      </c>
      <c r="AE84" s="261" t="str">
        <f>IF(J84='PLAN DE ESTUDIO'!$XFD$41,"",IF(AF84=1,K84&amp;L84&amp;M84,""))</f>
        <v/>
      </c>
      <c r="AF84" s="261">
        <f>COUNTIF($O$1:O84,$O84)</f>
        <v>83</v>
      </c>
      <c r="AG84" s="285" t="str">
        <f>IF(J84='PLAN DE ESTUDIO'!$XFD$41,"",IF(P84="TP","Teórico-Práctica",IF(P84="T","Teórico",IF(P84="P","Práctica",""))))</f>
        <v/>
      </c>
      <c r="AH84" s="234" t="str">
        <f t="shared" si="3"/>
        <v xml:space="preserve"> </v>
      </c>
    </row>
    <row r="85" spans="10:34" x14ac:dyDescent="0.3">
      <c r="J85" s="412"/>
      <c r="K85" s="281" t="str">
        <f>IF($B$3="","",IF($B$3="PREGRADO",DATA!Q86,DATA!AB41))</f>
        <v/>
      </c>
      <c r="L85" s="281" t="str">
        <f>IF($B$3="","",IF($B$3="PREGRADO",DATA!R86,DATA!AC41))</f>
        <v/>
      </c>
      <c r="M85" s="281" t="str">
        <f>IF($B$3="","",IF($B$3="PREGRADO",DATA!S86,DATA!AD41))</f>
        <v/>
      </c>
      <c r="N85" s="412"/>
      <c r="O85" s="281" t="str">
        <f>IF($B$3="","",IF($B$3="PREGRADO",DATA!T86,DATA!AE41))</f>
        <v/>
      </c>
      <c r="P85" s="281" t="str">
        <f>IF($B$3="","",IF($B$3="PREGRADO",DATA!U86,DATA!AF41))</f>
        <v/>
      </c>
      <c r="Q85" s="412"/>
      <c r="R85" s="425"/>
      <c r="S85" s="281" t="str">
        <f>IF($B$3="","",IF($B$3="PREGRADO",DATA!W86,DATA!AH41))</f>
        <v/>
      </c>
      <c r="T85" s="283" t="str" cm="1">
        <f t="array" ref="T85">IF($B$9="","",_xlfn.IFS($B$9="PRESENCIAL",_xlfn.XLOOKUP($S85,DATA!$B$4:$B$8,DATA!$D$4:$D$8,"",0,),$B$9="VIRTUAL",_xlfn.XLOOKUP($S85,DATA!$G$4:$G$8,DATA!$I$4:$I$8,"",0),$B$9="DISTANCIA",_xlfn.XLOOKUP($S85,DATA!$L$4:$L$8,DATA!$N$4:$N$8,"",0)))</f>
        <v/>
      </c>
      <c r="U85" s="283" t="str" cm="1">
        <f t="array" ref="U85">IF($B$9="","",_xlfn.IFS($B$9="PRESENCIAL",_xlfn.XLOOKUP($S85,DATA!$B$4:$B$8,DATA!$E$4:$E$8,"",0,),$B$9="VIRTUAL",_xlfn.XLOOKUP($S85,DATA!$G$4:$G$8,DATA!$J$4:$J$8,"",0),$B$9="DISTANCIA",_xlfn.XLOOKUP($S85,DATA!$L$4:$L$8,DATA!$O$4:$O$8,"",0)))</f>
        <v/>
      </c>
      <c r="V85" s="261" t="str">
        <f t="shared" si="2"/>
        <v/>
      </c>
      <c r="W85" s="282"/>
      <c r="X85" s="282"/>
      <c r="Y85" s="282"/>
      <c r="Z85" s="282"/>
      <c r="AA85" s="282"/>
      <c r="AB85" s="284"/>
      <c r="AC85" s="262" t="str">
        <f>IF(AE85="","",COUNTIF($AE$1:AE85,AE85))</f>
        <v/>
      </c>
      <c r="AD85" s="261" t="str">
        <f>IF(J85='PLAN DE ESTUDIO'!$XFD$41,"",IF(AE85="","",AC85&amp;K85&amp;L85&amp;M85))</f>
        <v/>
      </c>
      <c r="AE85" s="261" t="str">
        <f>IF(J85='PLAN DE ESTUDIO'!$XFD$41,"",IF(AF85=1,K85&amp;L85&amp;M85,""))</f>
        <v/>
      </c>
      <c r="AF85" s="261">
        <f>COUNTIF($O$1:O85,$O85)</f>
        <v>84</v>
      </c>
      <c r="AG85" s="285" t="str">
        <f>IF(J85='PLAN DE ESTUDIO'!$XFD$41,"",IF(P85="TP","Teórico-Práctica",IF(P85="T","Teórico",IF(P85="P","Práctica",""))))</f>
        <v/>
      </c>
      <c r="AH85" s="234" t="str">
        <f t="shared" si="3"/>
        <v xml:space="preserve"> </v>
      </c>
    </row>
    <row r="86" spans="10:34" x14ac:dyDescent="0.3">
      <c r="J86" s="412"/>
      <c r="K86" s="281" t="str">
        <f>IF($B$3="","",IF($B$3="PREGRADO",DATA!Q87,DATA!AB42))</f>
        <v/>
      </c>
      <c r="L86" s="281" t="str">
        <f>IF($B$3="","",IF($B$3="PREGRADO",DATA!R87,DATA!AC42))</f>
        <v/>
      </c>
      <c r="M86" s="281" t="str">
        <f>IF($B$3="","",IF($B$3="PREGRADO",DATA!S87,DATA!AD42))</f>
        <v/>
      </c>
      <c r="N86" s="412"/>
      <c r="O86" s="281" t="str">
        <f>IF($B$3="","",IF($B$3="PREGRADO",DATA!T87,DATA!AE42))</f>
        <v/>
      </c>
      <c r="P86" s="281" t="str">
        <f>IF($B$3="","",IF($B$3="PREGRADO",DATA!U87,DATA!AF42))</f>
        <v/>
      </c>
      <c r="Q86" s="412"/>
      <c r="R86" s="425"/>
      <c r="S86" s="281" t="str">
        <f>IF($B$3="","",IF($B$3="PREGRADO",DATA!W87,DATA!AH42))</f>
        <v/>
      </c>
      <c r="T86" s="283" t="str" cm="1">
        <f t="array" ref="T86">IF($B$9="","",_xlfn.IFS($B$9="PRESENCIAL",_xlfn.XLOOKUP($S86,DATA!$B$4:$B$8,DATA!$D$4:$D$8,"",0,),$B$9="VIRTUAL",_xlfn.XLOOKUP($S86,DATA!$G$4:$G$8,DATA!$I$4:$I$8,"",0),$B$9="DISTANCIA",_xlfn.XLOOKUP($S86,DATA!$L$4:$L$8,DATA!$N$4:$N$8,"",0)))</f>
        <v/>
      </c>
      <c r="U86" s="283" t="str" cm="1">
        <f t="array" ref="U86">IF($B$9="","",_xlfn.IFS($B$9="PRESENCIAL",_xlfn.XLOOKUP($S86,DATA!$B$4:$B$8,DATA!$E$4:$E$8,"",0,),$B$9="VIRTUAL",_xlfn.XLOOKUP($S86,DATA!$G$4:$G$8,DATA!$J$4:$J$8,"",0),$B$9="DISTANCIA",_xlfn.XLOOKUP($S86,DATA!$L$4:$L$8,DATA!$O$4:$O$8,"",0)))</f>
        <v/>
      </c>
      <c r="V86" s="261" t="str">
        <f t="shared" si="2"/>
        <v/>
      </c>
      <c r="W86" s="282"/>
      <c r="X86" s="282"/>
      <c r="Y86" s="282"/>
      <c r="Z86" s="282"/>
      <c r="AA86" s="282"/>
      <c r="AB86" s="284"/>
      <c r="AC86" s="262" t="str">
        <f>IF(AE86="","",COUNTIF($AE$1:AE86,AE86))</f>
        <v/>
      </c>
      <c r="AD86" s="261" t="str">
        <f>IF(J86='PLAN DE ESTUDIO'!$XFD$41,"",IF(AE86="","",AC86&amp;K86&amp;L86&amp;M86))</f>
        <v/>
      </c>
      <c r="AE86" s="261" t="str">
        <f>IF(J86='PLAN DE ESTUDIO'!$XFD$41,"",IF(AF86=1,K86&amp;L86&amp;M86,""))</f>
        <v/>
      </c>
      <c r="AF86" s="261">
        <f>COUNTIF($O$1:O86,$O86)</f>
        <v>85</v>
      </c>
      <c r="AG86" s="285" t="str">
        <f>IF(J86='PLAN DE ESTUDIO'!$XFD$41,"",IF(P86="TP","Teórico-Práctica",IF(P86="T","Teórico",IF(P86="P","Práctica",""))))</f>
        <v/>
      </c>
      <c r="AH86" s="234" t="str">
        <f t="shared" si="3"/>
        <v xml:space="preserve"> </v>
      </c>
    </row>
    <row r="87" spans="10:34" x14ac:dyDescent="0.3">
      <c r="J87" s="412"/>
      <c r="K87" s="281" t="str">
        <f>IF($B$3="","",IF($B$3="PREGRADO",DATA!Q88,""))</f>
        <v/>
      </c>
      <c r="L87" s="281" t="str">
        <f>IF($B$3="","",IF($B$3="PREGRADO",DATA!R88,""))</f>
        <v/>
      </c>
      <c r="M87" s="281" t="str">
        <f>IF($B$3="","",IF($B$3="PREGRADO",DATA!S88,""))</f>
        <v/>
      </c>
      <c r="N87" s="412"/>
      <c r="O87" s="281" t="str">
        <f>IF($B$3="","",IF($B$3="PREGRADO",DATA!T88,""))</f>
        <v/>
      </c>
      <c r="P87" s="281" t="str">
        <f>IF($B$3="","",IF($B$3="PREGRADO",DATA!U88,""))</f>
        <v/>
      </c>
      <c r="Q87" s="412"/>
      <c r="R87" s="425"/>
      <c r="S87" s="281" t="str">
        <f>IF($B$3="","",IF($B$3="PREGRADO",DATA!W88,""))</f>
        <v/>
      </c>
      <c r="T87" s="283" t="str" cm="1">
        <f t="array" ref="T87">IF($B$9="","",_xlfn.IFS($B$9="PRESENCIAL",_xlfn.XLOOKUP($S87,DATA!$B$4:$B$8,DATA!$D$4:$D$8,"",0,),$B$9="VIRTUAL",_xlfn.XLOOKUP($S87,DATA!$G$4:$G$8,DATA!$I$4:$I$8,"",0),$B$9="DISTANCIA",_xlfn.XLOOKUP($S87,DATA!$L$4:$L$8,DATA!$N$4:$N$8,"",0)))</f>
        <v/>
      </c>
      <c r="U87" s="283" t="str" cm="1">
        <f t="array" ref="U87">IF($B$9="","",_xlfn.IFS($B$9="PRESENCIAL",_xlfn.XLOOKUP($S87,DATA!$B$4:$B$8,DATA!$E$4:$E$8,"",0,),$B$9="VIRTUAL",_xlfn.XLOOKUP($S87,DATA!$G$4:$G$8,DATA!$J$4:$J$8,"",0),$B$9="DISTANCIA",_xlfn.XLOOKUP($S87,DATA!$L$4:$L$8,DATA!$O$4:$O$8,"",0)))</f>
        <v/>
      </c>
      <c r="V87" s="261" t="str">
        <f t="shared" si="2"/>
        <v/>
      </c>
      <c r="W87" s="282"/>
      <c r="X87" s="282"/>
      <c r="Y87" s="282"/>
      <c r="Z87" s="282"/>
      <c r="AA87" s="282"/>
      <c r="AB87" s="284"/>
      <c r="AC87" s="262" t="str">
        <f>IF(AE87="","",COUNTIF($AE$1:AE87,AE87))</f>
        <v/>
      </c>
      <c r="AD87" s="261" t="str">
        <f>IF(J87='PLAN DE ESTUDIO'!$XFD$41,"",IF(AE87="","",AC87&amp;K87&amp;L87&amp;M87))</f>
        <v/>
      </c>
      <c r="AE87" s="261" t="str">
        <f>IF(J87='PLAN DE ESTUDIO'!$XFD$41,"",IF(AF87=1,K87&amp;L87&amp;M87,""))</f>
        <v/>
      </c>
      <c r="AF87" s="261">
        <f>COUNTIF($O$1:O87,$O87)</f>
        <v>86</v>
      </c>
      <c r="AG87" s="285" t="str">
        <f>IF(J87='PLAN DE ESTUDIO'!$XFD$41,"",IF(P87="TP","Teórico-Práctica",IF(P87="T","Teórico",IF(P87="P","Práctica",""))))</f>
        <v/>
      </c>
      <c r="AH87" s="234" t="str">
        <f t="shared" si="3"/>
        <v xml:space="preserve"> </v>
      </c>
    </row>
    <row r="88" spans="10:34" x14ac:dyDescent="0.3">
      <c r="J88" s="412"/>
      <c r="K88" s="281" t="str">
        <f>IF($B$3="","",IF($B$3="PREGRADO",DATA!Q89,""))</f>
        <v/>
      </c>
      <c r="L88" s="281" t="str">
        <f>IF($B$3="","",IF($B$3="PREGRADO",DATA!R89,""))</f>
        <v/>
      </c>
      <c r="M88" s="281" t="str">
        <f>IF($B$3="","",IF($B$3="PREGRADO",DATA!S89,""))</f>
        <v/>
      </c>
      <c r="N88" s="412"/>
      <c r="O88" s="281" t="str">
        <f>IF($B$3="","",IF($B$3="PREGRADO",DATA!T89,""))</f>
        <v/>
      </c>
      <c r="P88" s="281" t="str">
        <f>IF($B$3="","",IF($B$3="PREGRADO",DATA!U89,""))</f>
        <v/>
      </c>
      <c r="Q88" s="412"/>
      <c r="R88" s="425"/>
      <c r="S88" s="281" t="str">
        <f>IF($B$3="","",IF($B$3="PREGRADO",DATA!W89,""))</f>
        <v/>
      </c>
      <c r="T88" s="283" t="str" cm="1">
        <f t="array" ref="T88">IF($B$9="","",_xlfn.IFS($B$9="PRESENCIAL",_xlfn.XLOOKUP($S88,DATA!$B$4:$B$8,DATA!$D$4:$D$8,"",0,),$B$9="VIRTUAL",_xlfn.XLOOKUP($S88,DATA!$G$4:$G$8,DATA!$I$4:$I$8,"",0),$B$9="DISTANCIA",_xlfn.XLOOKUP($S88,DATA!$L$4:$L$8,DATA!$N$4:$N$8,"",0)))</f>
        <v/>
      </c>
      <c r="U88" s="283" t="str" cm="1">
        <f t="array" ref="U88">IF($B$9="","",_xlfn.IFS($B$9="PRESENCIAL",_xlfn.XLOOKUP($S88,DATA!$B$4:$B$8,DATA!$E$4:$E$8,"",0,),$B$9="VIRTUAL",_xlfn.XLOOKUP($S88,DATA!$G$4:$G$8,DATA!$J$4:$J$8,"",0),$B$9="DISTANCIA",_xlfn.XLOOKUP($S88,DATA!$L$4:$L$8,DATA!$O$4:$O$8,"",0)))</f>
        <v/>
      </c>
      <c r="V88" s="261" t="str">
        <f t="shared" si="2"/>
        <v/>
      </c>
      <c r="W88" s="282"/>
      <c r="X88" s="282"/>
      <c r="Y88" s="282"/>
      <c r="Z88" s="282"/>
      <c r="AA88" s="282"/>
      <c r="AB88" s="284"/>
      <c r="AC88" s="262" t="str">
        <f>IF(AE88="","",COUNTIF($AE$1:AE88,AE88))</f>
        <v/>
      </c>
      <c r="AD88" s="261" t="str">
        <f>IF(J88='PLAN DE ESTUDIO'!$XFD$41,"",IF(AE88="","",AC88&amp;K88&amp;L88&amp;M88))</f>
        <v/>
      </c>
      <c r="AE88" s="261" t="str">
        <f>IF(J88='PLAN DE ESTUDIO'!$XFD$41,"",IF(AF88=1,K88&amp;L88&amp;M88,""))</f>
        <v/>
      </c>
      <c r="AF88" s="261">
        <f>COUNTIF($O$1:O88,$O88)</f>
        <v>87</v>
      </c>
      <c r="AG88" s="285" t="str">
        <f>IF(J88='PLAN DE ESTUDIO'!$XFD$41,"",IF(P88="TP","Teórico-Práctica",IF(P88="T","Teórico",IF(P88="P","Práctica",""))))</f>
        <v/>
      </c>
      <c r="AH88" s="234" t="str">
        <f t="shared" si="3"/>
        <v xml:space="preserve"> </v>
      </c>
    </row>
    <row r="89" spans="10:34" x14ac:dyDescent="0.3">
      <c r="J89" s="412"/>
      <c r="K89" s="281" t="str">
        <f>IF($B$3="","",IF($B$3="PREGRADO",DATA!Q90,""))</f>
        <v/>
      </c>
      <c r="L89" s="281" t="str">
        <f>IF($B$3="","",IF($B$3="PREGRADO",DATA!R90,""))</f>
        <v/>
      </c>
      <c r="M89" s="281" t="str">
        <f>IF($B$3="","",IF($B$3="PREGRADO",DATA!S90,""))</f>
        <v/>
      </c>
      <c r="N89" s="412"/>
      <c r="O89" s="281" t="str">
        <f>IF($B$3="","",IF($B$3="PREGRADO",DATA!T90,""))</f>
        <v/>
      </c>
      <c r="P89" s="281" t="str">
        <f>IF($B$3="","",IF($B$3="PREGRADO",DATA!U90,""))</f>
        <v/>
      </c>
      <c r="Q89" s="412"/>
      <c r="R89" s="425"/>
      <c r="S89" s="281" t="str">
        <f>IF($B$3="","",IF($B$3="PREGRADO",DATA!W90,""))</f>
        <v/>
      </c>
      <c r="T89" s="283" t="str" cm="1">
        <f t="array" ref="T89">IF($B$9="","",_xlfn.IFS($B$9="PRESENCIAL",_xlfn.XLOOKUP($S89,DATA!$B$4:$B$8,DATA!$D$4:$D$8,"",0,),$B$9="VIRTUAL",_xlfn.XLOOKUP($S89,DATA!$G$4:$G$8,DATA!$I$4:$I$8,"",0),$B$9="DISTANCIA",_xlfn.XLOOKUP($S89,DATA!$L$4:$L$8,DATA!$N$4:$N$8,"",0)))</f>
        <v/>
      </c>
      <c r="U89" s="283" t="str" cm="1">
        <f t="array" ref="U89">IF($B$9="","",_xlfn.IFS($B$9="PRESENCIAL",_xlfn.XLOOKUP($S89,DATA!$B$4:$B$8,DATA!$E$4:$E$8,"",0,),$B$9="VIRTUAL",_xlfn.XLOOKUP($S89,DATA!$G$4:$G$8,DATA!$J$4:$J$8,"",0),$B$9="DISTANCIA",_xlfn.XLOOKUP($S89,DATA!$L$4:$L$8,DATA!$O$4:$O$8,"",0)))</f>
        <v/>
      </c>
      <c r="V89" s="261" t="str">
        <f t="shared" si="2"/>
        <v/>
      </c>
      <c r="W89" s="282"/>
      <c r="X89" s="282"/>
      <c r="Y89" s="282"/>
      <c r="Z89" s="282"/>
      <c r="AA89" s="282"/>
      <c r="AB89" s="284"/>
      <c r="AC89" s="262" t="str">
        <f>IF(AE89="","",COUNTIF($AE$1:AE89,AE89))</f>
        <v/>
      </c>
      <c r="AD89" s="261" t="str">
        <f>IF(J89='PLAN DE ESTUDIO'!$XFD$41,"",IF(AE89="","",AC89&amp;K89&amp;L89&amp;M89))</f>
        <v/>
      </c>
      <c r="AE89" s="261" t="str">
        <f>IF(J89='PLAN DE ESTUDIO'!$XFD$41,"",IF(AF89=1,K89&amp;L89&amp;M89,""))</f>
        <v/>
      </c>
      <c r="AF89" s="261">
        <f>COUNTIF($O$1:O89,$O89)</f>
        <v>88</v>
      </c>
      <c r="AG89" s="285" t="str">
        <f>IF(J89='PLAN DE ESTUDIO'!$XFD$41,"",IF(P89="TP","Teórico-Práctica",IF(P89="T","Teórico",IF(P89="P","Práctica",""))))</f>
        <v/>
      </c>
      <c r="AH89" s="234" t="str">
        <f t="shared" si="3"/>
        <v xml:space="preserve"> </v>
      </c>
    </row>
    <row r="90" spans="10:34" x14ac:dyDescent="0.3">
      <c r="J90" s="412"/>
      <c r="K90" s="281" t="str">
        <f>IF($B$3="","",IF($B$3="PREGRADO",DATA!Q91,""))</f>
        <v/>
      </c>
      <c r="L90" s="281" t="str">
        <f>IF($B$3="","",IF($B$3="PREGRADO",DATA!R91,""))</f>
        <v/>
      </c>
      <c r="M90" s="281" t="str">
        <f>IF($B$3="","",IF($B$3="PREGRADO",DATA!S91,""))</f>
        <v/>
      </c>
      <c r="N90" s="412"/>
      <c r="O90" s="281" t="str">
        <f>IF($B$3="","",IF($B$3="PREGRADO",DATA!T91,""))</f>
        <v/>
      </c>
      <c r="P90" s="281" t="str">
        <f>IF($B$3="","",IF($B$3="PREGRADO",DATA!U91,""))</f>
        <v/>
      </c>
      <c r="Q90" s="412"/>
      <c r="R90" s="425"/>
      <c r="S90" s="281" t="str">
        <f>IF($B$3="","",IF($B$3="PREGRADO",DATA!W91,""))</f>
        <v/>
      </c>
      <c r="T90" s="283" t="str" cm="1">
        <f t="array" ref="T90">IF($B$9="","",_xlfn.IFS($B$9="PRESENCIAL",_xlfn.XLOOKUP($S90,DATA!$B$4:$B$8,DATA!$D$4:$D$8,"",0,),$B$9="VIRTUAL",_xlfn.XLOOKUP($S90,DATA!$G$4:$G$8,DATA!$I$4:$I$8,"",0),$B$9="DISTANCIA",_xlfn.XLOOKUP($S90,DATA!$L$4:$L$8,DATA!$N$4:$N$8,"",0)))</f>
        <v/>
      </c>
      <c r="U90" s="283" t="str" cm="1">
        <f t="array" ref="U90">IF($B$9="","",_xlfn.IFS($B$9="PRESENCIAL",_xlfn.XLOOKUP($S90,DATA!$B$4:$B$8,DATA!$E$4:$E$8,"",0,),$B$9="VIRTUAL",_xlfn.XLOOKUP($S90,DATA!$G$4:$G$8,DATA!$J$4:$J$8,"",0),$B$9="DISTANCIA",_xlfn.XLOOKUP($S90,DATA!$L$4:$L$8,DATA!$O$4:$O$8,"",0)))</f>
        <v/>
      </c>
      <c r="V90" s="261" t="str">
        <f t="shared" si="2"/>
        <v/>
      </c>
      <c r="W90" s="282"/>
      <c r="X90" s="282"/>
      <c r="Y90" s="282"/>
      <c r="Z90" s="282"/>
      <c r="AA90" s="282"/>
      <c r="AB90" s="284"/>
      <c r="AC90" s="262" t="str">
        <f>IF(AE90="","",COUNTIF($AE$1:AE90,AE90))</f>
        <v/>
      </c>
      <c r="AD90" s="261" t="str">
        <f>IF(J90='PLAN DE ESTUDIO'!$XFD$41,"",IF(AE90="","",AC90&amp;K90&amp;L90&amp;M90))</f>
        <v/>
      </c>
      <c r="AE90" s="261" t="str">
        <f>IF(J90='PLAN DE ESTUDIO'!$XFD$41,"",IF(AF90=1,K90&amp;L90&amp;M90,""))</f>
        <v/>
      </c>
      <c r="AF90" s="261">
        <f>COUNTIF($O$1:O90,$O90)</f>
        <v>89</v>
      </c>
      <c r="AG90" s="285" t="str">
        <f>IF(J90='PLAN DE ESTUDIO'!$XFD$41,"",IF(P90="TP","Teórico-Práctica",IF(P90="T","Teórico",IF(P90="P","Práctica",""))))</f>
        <v/>
      </c>
      <c r="AH90" s="234" t="str">
        <f t="shared" si="3"/>
        <v xml:space="preserve"> </v>
      </c>
    </row>
    <row r="91" spans="10:34" x14ac:dyDescent="0.3">
      <c r="J91" s="412"/>
      <c r="K91" s="281" t="str">
        <f>IF($B$3="","",IF($B$3="PREGRADO",DATA!Q92,""))</f>
        <v/>
      </c>
      <c r="L91" s="281" t="str">
        <f>IF($B$3="","",IF($B$3="PREGRADO",DATA!R92,""))</f>
        <v/>
      </c>
      <c r="M91" s="281" t="str">
        <f>IF($B$3="","",IF($B$3="PREGRADO",DATA!S92,""))</f>
        <v/>
      </c>
      <c r="N91" s="412"/>
      <c r="O91" s="281" t="str">
        <f>IF($B$3="","",IF($B$3="PREGRADO",DATA!T92,""))</f>
        <v/>
      </c>
      <c r="P91" s="281" t="str">
        <f>IF($B$3="","",IF($B$3="PREGRADO",DATA!U92,""))</f>
        <v/>
      </c>
      <c r="Q91" s="412"/>
      <c r="R91" s="425"/>
      <c r="S91" s="281" t="str">
        <f>IF($B$3="","",IF($B$3="PREGRADO",DATA!W92,""))</f>
        <v/>
      </c>
      <c r="T91" s="283" t="str" cm="1">
        <f t="array" ref="T91">IF($B$9="","",_xlfn.IFS($B$9="PRESENCIAL",_xlfn.XLOOKUP($S91,DATA!$B$4:$B$8,DATA!$D$4:$D$8,"",0,),$B$9="VIRTUAL",_xlfn.XLOOKUP($S91,DATA!$G$4:$G$8,DATA!$I$4:$I$8,"",0),$B$9="DISTANCIA",_xlfn.XLOOKUP($S91,DATA!$L$4:$L$8,DATA!$N$4:$N$8,"",0)))</f>
        <v/>
      </c>
      <c r="U91" s="283" t="str" cm="1">
        <f t="array" ref="U91">IF($B$9="","",_xlfn.IFS($B$9="PRESENCIAL",_xlfn.XLOOKUP($S91,DATA!$B$4:$B$8,DATA!$E$4:$E$8,"",0,),$B$9="VIRTUAL",_xlfn.XLOOKUP($S91,DATA!$G$4:$G$8,DATA!$J$4:$J$8,"",0),$B$9="DISTANCIA",_xlfn.XLOOKUP($S91,DATA!$L$4:$L$8,DATA!$O$4:$O$8,"",0)))</f>
        <v/>
      </c>
      <c r="V91" s="261" t="str">
        <f t="shared" si="2"/>
        <v/>
      </c>
      <c r="W91" s="282"/>
      <c r="X91" s="282"/>
      <c r="Y91" s="282"/>
      <c r="Z91" s="282"/>
      <c r="AA91" s="282"/>
      <c r="AB91" s="284"/>
      <c r="AC91" s="262" t="str">
        <f>IF(AE91="","",COUNTIF($AE$1:AE91,AE91))</f>
        <v/>
      </c>
      <c r="AD91" s="261" t="str">
        <f>IF(J91='PLAN DE ESTUDIO'!$XFD$41,"",IF(AE91="","",AC91&amp;K91&amp;L91&amp;M91))</f>
        <v/>
      </c>
      <c r="AE91" s="261" t="str">
        <f>IF(J91='PLAN DE ESTUDIO'!$XFD$41,"",IF(AF91=1,K91&amp;L91&amp;M91,""))</f>
        <v/>
      </c>
      <c r="AF91" s="261">
        <f>COUNTIF($O$1:O91,$O91)</f>
        <v>90</v>
      </c>
      <c r="AG91" s="285" t="str">
        <f>IF(J91='PLAN DE ESTUDIO'!$XFD$41,"",IF(P91="TP","Teórico-Práctica",IF(P91="T","Teórico",IF(P91="P","Práctica",""))))</f>
        <v/>
      </c>
      <c r="AH91" s="234" t="str">
        <f t="shared" si="3"/>
        <v xml:space="preserve"> </v>
      </c>
    </row>
    <row r="92" spans="10:34" x14ac:dyDescent="0.3">
      <c r="J92" s="412"/>
      <c r="K92" s="281" t="str">
        <f>IF($B$3="","",IF($B$3="PREGRADO",DATA!Q93,""))</f>
        <v/>
      </c>
      <c r="L92" s="281" t="str">
        <f>IF($B$3="","",IF($B$3="PREGRADO",DATA!R93,""))</f>
        <v/>
      </c>
      <c r="M92" s="281" t="str">
        <f>IF($B$3="","",IF($B$3="PREGRADO",DATA!S93,""))</f>
        <v/>
      </c>
      <c r="N92" s="412"/>
      <c r="O92" s="281" t="str">
        <f>IF($B$3="","",IF($B$3="PREGRADO",DATA!T93,""))</f>
        <v/>
      </c>
      <c r="P92" s="281" t="str">
        <f>IF($B$3="","",IF($B$3="PREGRADO",DATA!U93,""))</f>
        <v/>
      </c>
      <c r="Q92" s="412"/>
      <c r="R92" s="425"/>
      <c r="S92" s="281" t="str">
        <f>IF($B$3="","",IF($B$3="PREGRADO",DATA!W93,""))</f>
        <v/>
      </c>
      <c r="T92" s="283" t="str" cm="1">
        <f t="array" ref="T92">IF($B$9="","",_xlfn.IFS($B$9="PRESENCIAL",_xlfn.XLOOKUP($S92,DATA!$B$4:$B$8,DATA!$D$4:$D$8,"",0,),$B$9="VIRTUAL",_xlfn.XLOOKUP($S92,DATA!$G$4:$G$8,DATA!$I$4:$I$8,"",0),$B$9="DISTANCIA",_xlfn.XLOOKUP($S92,DATA!$L$4:$L$8,DATA!$N$4:$N$8,"",0)))</f>
        <v/>
      </c>
      <c r="U92" s="283" t="str" cm="1">
        <f t="array" ref="U92">IF($B$9="","",_xlfn.IFS($B$9="PRESENCIAL",_xlfn.XLOOKUP($S92,DATA!$B$4:$B$8,DATA!$E$4:$E$8,"",0,),$B$9="VIRTUAL",_xlfn.XLOOKUP($S92,DATA!$G$4:$G$8,DATA!$J$4:$J$8,"",0),$B$9="DISTANCIA",_xlfn.XLOOKUP($S92,DATA!$L$4:$L$8,DATA!$O$4:$O$8,"",0)))</f>
        <v/>
      </c>
      <c r="V92" s="261" t="str">
        <f t="shared" si="2"/>
        <v/>
      </c>
      <c r="W92" s="282"/>
      <c r="X92" s="282"/>
      <c r="Y92" s="282"/>
      <c r="Z92" s="282"/>
      <c r="AA92" s="282"/>
      <c r="AB92" s="284"/>
      <c r="AC92" s="262" t="str">
        <f>IF(AE92="","",COUNTIF($AE$1:AE92,AE92))</f>
        <v/>
      </c>
      <c r="AD92" s="261" t="str">
        <f>IF(J92='PLAN DE ESTUDIO'!$XFD$41,"",IF(AE92="","",AC92&amp;K92&amp;L92&amp;M92))</f>
        <v/>
      </c>
      <c r="AE92" s="261" t="str">
        <f>IF(J92='PLAN DE ESTUDIO'!$XFD$41,"",IF(AF92=1,K92&amp;L92&amp;M92,""))</f>
        <v/>
      </c>
      <c r="AF92" s="261">
        <f>COUNTIF($O$1:O92,$O92)</f>
        <v>91</v>
      </c>
      <c r="AG92" s="285" t="str">
        <f>IF(J92='PLAN DE ESTUDIO'!$XFD$41,"",IF(P92="TP","Teórico-Práctica",IF(P92="T","Teórico",IF(P92="P","Práctica",""))))</f>
        <v/>
      </c>
      <c r="AH92" s="234" t="str">
        <f t="shared" si="3"/>
        <v xml:space="preserve"> </v>
      </c>
    </row>
    <row r="93" spans="10:34" x14ac:dyDescent="0.3">
      <c r="J93" s="412"/>
      <c r="K93" s="281" t="str">
        <f>IF($B$3="","",IF($B$3="PREGRADO",DATA!Q94,""))</f>
        <v/>
      </c>
      <c r="L93" s="281" t="str">
        <f>IF($B$3="","",IF($B$3="PREGRADO",DATA!R94,""))</f>
        <v/>
      </c>
      <c r="M93" s="281" t="str">
        <f>IF($B$3="","",IF($B$3="PREGRADO",DATA!S94,""))</f>
        <v/>
      </c>
      <c r="N93" s="412"/>
      <c r="O93" s="281" t="str">
        <f>IF($B$3="","",IF($B$3="PREGRADO",DATA!T94,""))</f>
        <v/>
      </c>
      <c r="P93" s="281" t="str">
        <f>IF($B$3="","",IF($B$3="PREGRADO",DATA!U94,""))</f>
        <v/>
      </c>
      <c r="Q93" s="412"/>
      <c r="R93" s="425"/>
      <c r="S93" s="281" t="str">
        <f>IF($B$3="","",IF($B$3="PREGRADO",DATA!W94,""))</f>
        <v/>
      </c>
      <c r="T93" s="283" t="str" cm="1">
        <f t="array" ref="T93">IF($B$9="","",_xlfn.IFS($B$9="PRESENCIAL",_xlfn.XLOOKUP($S93,DATA!$B$4:$B$8,DATA!$D$4:$D$8,"",0,),$B$9="VIRTUAL",_xlfn.XLOOKUP($S93,DATA!$G$4:$G$8,DATA!$I$4:$I$8,"",0),$B$9="DISTANCIA",_xlfn.XLOOKUP($S93,DATA!$L$4:$L$8,DATA!$N$4:$N$8,"",0)))</f>
        <v/>
      </c>
      <c r="U93" s="283" t="str" cm="1">
        <f t="array" ref="U93">IF($B$9="","",_xlfn.IFS($B$9="PRESENCIAL",_xlfn.XLOOKUP($S93,DATA!$B$4:$B$8,DATA!$E$4:$E$8,"",0,),$B$9="VIRTUAL",_xlfn.XLOOKUP($S93,DATA!$G$4:$G$8,DATA!$J$4:$J$8,"",0),$B$9="DISTANCIA",_xlfn.XLOOKUP($S93,DATA!$L$4:$L$8,DATA!$O$4:$O$8,"",0)))</f>
        <v/>
      </c>
      <c r="V93" s="261" t="str">
        <f t="shared" si="2"/>
        <v/>
      </c>
      <c r="W93" s="282"/>
      <c r="X93" s="282"/>
      <c r="Y93" s="282"/>
      <c r="Z93" s="282"/>
      <c r="AA93" s="282"/>
      <c r="AB93" s="284"/>
      <c r="AC93" s="262" t="str">
        <f>IF(AE93="","",COUNTIF($AE$1:AE93,AE93))</f>
        <v/>
      </c>
      <c r="AD93" s="261" t="str">
        <f>IF(J93='PLAN DE ESTUDIO'!$XFD$41,"",IF(AE93="","",AC93&amp;K93&amp;L93&amp;M93))</f>
        <v/>
      </c>
      <c r="AE93" s="261" t="str">
        <f>IF(J93='PLAN DE ESTUDIO'!$XFD$41,"",IF(AF93=1,K93&amp;L93&amp;M93,""))</f>
        <v/>
      </c>
      <c r="AF93" s="261">
        <f>COUNTIF($O$1:O93,$O93)</f>
        <v>92</v>
      </c>
      <c r="AG93" s="285" t="str">
        <f>IF(J93='PLAN DE ESTUDIO'!$XFD$41,"",IF(P93="TP","Teórico-Práctica",IF(P93="T","Teórico",IF(P93="P","Práctica",""))))</f>
        <v/>
      </c>
      <c r="AH93" s="234" t="str">
        <f t="shared" si="3"/>
        <v xml:space="preserve"> </v>
      </c>
    </row>
    <row r="94" spans="10:34" x14ac:dyDescent="0.3">
      <c r="J94" s="412"/>
      <c r="K94" s="281" t="str">
        <f>IF($B$3="","",IF($B$3="PREGRADO",DATA!Q95,""))</f>
        <v/>
      </c>
      <c r="L94" s="281" t="str">
        <f>IF($B$3="","",IF($B$3="PREGRADO",DATA!R95,""))</f>
        <v/>
      </c>
      <c r="M94" s="281" t="str">
        <f>IF($B$3="","",IF($B$3="PREGRADO",DATA!S95,""))</f>
        <v/>
      </c>
      <c r="N94" s="412"/>
      <c r="O94" s="281" t="str">
        <f>IF($B$3="","",IF($B$3="PREGRADO",DATA!T95,""))</f>
        <v/>
      </c>
      <c r="P94" s="281" t="str">
        <f>IF($B$3="","",IF($B$3="PREGRADO",DATA!U95,""))</f>
        <v/>
      </c>
      <c r="Q94" s="412"/>
      <c r="R94" s="425"/>
      <c r="S94" s="281" t="str">
        <f>IF($B$3="","",IF($B$3="PREGRADO",DATA!W95,""))</f>
        <v/>
      </c>
      <c r="T94" s="283" t="str" cm="1">
        <f t="array" ref="T94">IF($B$9="","",_xlfn.IFS($B$9="PRESENCIAL",_xlfn.XLOOKUP($S94,DATA!$B$4:$B$8,DATA!$D$4:$D$8,"",0,),$B$9="VIRTUAL",_xlfn.XLOOKUP($S94,DATA!$G$4:$G$8,DATA!$I$4:$I$8,"",0),$B$9="DISTANCIA",_xlfn.XLOOKUP($S94,DATA!$L$4:$L$8,DATA!$N$4:$N$8,"",0)))</f>
        <v/>
      </c>
      <c r="U94" s="283" t="str" cm="1">
        <f t="array" ref="U94">IF($B$9="","",_xlfn.IFS($B$9="PRESENCIAL",_xlfn.XLOOKUP($S94,DATA!$B$4:$B$8,DATA!$E$4:$E$8,"",0,),$B$9="VIRTUAL",_xlfn.XLOOKUP($S94,DATA!$G$4:$G$8,DATA!$J$4:$J$8,"",0),$B$9="DISTANCIA",_xlfn.XLOOKUP($S94,DATA!$L$4:$L$8,DATA!$O$4:$O$8,"",0)))</f>
        <v/>
      </c>
      <c r="V94" s="261" t="str">
        <f t="shared" si="2"/>
        <v/>
      </c>
      <c r="W94" s="282"/>
      <c r="X94" s="282"/>
      <c r="Y94" s="282"/>
      <c r="Z94" s="282"/>
      <c r="AA94" s="282"/>
      <c r="AB94" s="284"/>
      <c r="AC94" s="262" t="str">
        <f>IF(AE94="","",COUNTIF($AE$1:AE94,AE94))</f>
        <v/>
      </c>
      <c r="AD94" s="261" t="str">
        <f>IF(J94='PLAN DE ESTUDIO'!$XFD$41,"",IF(AE94="","",AC94&amp;K94&amp;L94&amp;M94))</f>
        <v/>
      </c>
      <c r="AE94" s="261" t="str">
        <f>IF(J94='PLAN DE ESTUDIO'!$XFD$41,"",IF(AF94=1,K94&amp;L94&amp;M94,""))</f>
        <v/>
      </c>
      <c r="AF94" s="261">
        <f>COUNTIF($O$1:O94,$O94)</f>
        <v>93</v>
      </c>
      <c r="AG94" s="285" t="str">
        <f>IF(J94='PLAN DE ESTUDIO'!$XFD$41,"",IF(P94="TP","Teórico-Práctica",IF(P94="T","Teórico",IF(P94="P","Práctica",""))))</f>
        <v/>
      </c>
      <c r="AH94" s="234" t="str">
        <f t="shared" si="3"/>
        <v xml:space="preserve"> </v>
      </c>
    </row>
    <row r="95" spans="10:34" x14ac:dyDescent="0.3">
      <c r="J95" s="412"/>
      <c r="K95" s="281" t="str">
        <f>IF($B$3="","",IF($B$3="PREGRADO",DATA!Q96,""))</f>
        <v/>
      </c>
      <c r="L95" s="281" t="str">
        <f>IF($B$3="","",IF($B$3="PREGRADO",DATA!R96,""))</f>
        <v/>
      </c>
      <c r="M95" s="281" t="str">
        <f>IF($B$3="","",IF($B$3="PREGRADO",DATA!S96,""))</f>
        <v/>
      </c>
      <c r="N95" s="412"/>
      <c r="O95" s="281" t="str">
        <f>IF($B$3="","",IF($B$3="PREGRADO",DATA!T96,""))</f>
        <v/>
      </c>
      <c r="P95" s="281" t="str">
        <f>IF($B$3="","",IF($B$3="PREGRADO",DATA!U96,""))</f>
        <v/>
      </c>
      <c r="Q95" s="412"/>
      <c r="R95" s="425"/>
      <c r="S95" s="281" t="str">
        <f>IF($B$3="","",IF($B$3="PREGRADO",DATA!W96,""))</f>
        <v/>
      </c>
      <c r="T95" s="283" t="str" cm="1">
        <f t="array" ref="T95">IF($B$9="","",_xlfn.IFS($B$9="PRESENCIAL",_xlfn.XLOOKUP($S95,DATA!$B$4:$B$8,DATA!$D$4:$D$8,"",0,),$B$9="VIRTUAL",_xlfn.XLOOKUP($S95,DATA!$G$4:$G$8,DATA!$I$4:$I$8,"",0),$B$9="DISTANCIA",_xlfn.XLOOKUP($S95,DATA!$L$4:$L$8,DATA!$N$4:$N$8,"",0)))</f>
        <v/>
      </c>
      <c r="U95" s="283" t="str" cm="1">
        <f t="array" ref="U95">IF($B$9="","",_xlfn.IFS($B$9="PRESENCIAL",_xlfn.XLOOKUP($S95,DATA!$B$4:$B$8,DATA!$E$4:$E$8,"",0,),$B$9="VIRTUAL",_xlfn.XLOOKUP($S95,DATA!$G$4:$G$8,DATA!$J$4:$J$8,"",0),$B$9="DISTANCIA",_xlfn.XLOOKUP($S95,DATA!$L$4:$L$8,DATA!$O$4:$O$8,"",0)))</f>
        <v/>
      </c>
      <c r="V95" s="261" t="str">
        <f t="shared" si="2"/>
        <v/>
      </c>
      <c r="W95" s="282"/>
      <c r="X95" s="282"/>
      <c r="Y95" s="282"/>
      <c r="Z95" s="282"/>
      <c r="AA95" s="282"/>
      <c r="AB95" s="284"/>
      <c r="AC95" s="262" t="str">
        <f>IF(AE95="","",COUNTIF($AE$1:AE95,AE95))</f>
        <v/>
      </c>
      <c r="AD95" s="261" t="str">
        <f>IF(J95='PLAN DE ESTUDIO'!$XFD$41,"",IF(AE95="","",AC95&amp;K95&amp;L95&amp;M95))</f>
        <v/>
      </c>
      <c r="AE95" s="261" t="str">
        <f>IF(J95='PLAN DE ESTUDIO'!$XFD$41,"",IF(AF95=1,K95&amp;L95&amp;M95,""))</f>
        <v/>
      </c>
      <c r="AF95" s="261">
        <f>COUNTIF($O$1:O95,$O95)</f>
        <v>94</v>
      </c>
      <c r="AG95" s="285" t="str">
        <f>IF(J95='PLAN DE ESTUDIO'!$XFD$41,"",IF(P95="TP","Teórico-Práctica",IF(P95="T","Teórico",IF(P95="P","Práctica",""))))</f>
        <v/>
      </c>
      <c r="AH95" s="234" t="str">
        <f t="shared" si="3"/>
        <v xml:space="preserve"> </v>
      </c>
    </row>
    <row r="96" spans="10:34" x14ac:dyDescent="0.3">
      <c r="J96" s="412"/>
      <c r="K96" s="281" t="str">
        <f>IF($B$3="","",IF($B$3="PREGRADO",DATA!Q97,""))</f>
        <v/>
      </c>
      <c r="L96" s="281" t="str">
        <f>IF($B$3="","",IF($B$3="PREGRADO",DATA!R97,""))</f>
        <v/>
      </c>
      <c r="M96" s="281" t="str">
        <f>IF($B$3="","",IF($B$3="PREGRADO",DATA!S97,""))</f>
        <v/>
      </c>
      <c r="N96" s="412"/>
      <c r="O96" s="281" t="str">
        <f>IF($B$3="","",IF($B$3="PREGRADO",DATA!T97,""))</f>
        <v/>
      </c>
      <c r="P96" s="281" t="str">
        <f>IF($B$3="","",IF($B$3="PREGRADO",DATA!U97,""))</f>
        <v/>
      </c>
      <c r="Q96" s="412"/>
      <c r="R96" s="425"/>
      <c r="S96" s="281" t="str">
        <f>IF($B$3="","",IF($B$3="PREGRADO",DATA!W97,""))</f>
        <v/>
      </c>
      <c r="T96" s="283" t="str" cm="1">
        <f t="array" ref="T96">IF($B$9="","",_xlfn.IFS($B$9="PRESENCIAL",_xlfn.XLOOKUP($S96,DATA!$B$4:$B$8,DATA!$D$4:$D$8,"",0,),$B$9="VIRTUAL",_xlfn.XLOOKUP($S96,DATA!$G$4:$G$8,DATA!$I$4:$I$8,"",0),$B$9="DISTANCIA",_xlfn.XLOOKUP($S96,DATA!$L$4:$L$8,DATA!$N$4:$N$8,"",0)))</f>
        <v/>
      </c>
      <c r="U96" s="283" t="str" cm="1">
        <f t="array" ref="U96">IF($B$9="","",_xlfn.IFS($B$9="PRESENCIAL",_xlfn.XLOOKUP($S96,DATA!$B$4:$B$8,DATA!$E$4:$E$8,"",0,),$B$9="VIRTUAL",_xlfn.XLOOKUP($S96,DATA!$G$4:$G$8,DATA!$J$4:$J$8,"",0),$B$9="DISTANCIA",_xlfn.XLOOKUP($S96,DATA!$L$4:$L$8,DATA!$O$4:$O$8,"",0)))</f>
        <v/>
      </c>
      <c r="V96" s="261" t="str">
        <f t="shared" si="2"/>
        <v/>
      </c>
      <c r="W96" s="282"/>
      <c r="X96" s="282"/>
      <c r="Y96" s="282"/>
      <c r="Z96" s="282"/>
      <c r="AA96" s="282"/>
      <c r="AB96" s="284"/>
      <c r="AC96" s="262" t="str">
        <f>IF(AE96="","",COUNTIF($AE$1:AE96,AE96))</f>
        <v/>
      </c>
      <c r="AD96" s="261" t="str">
        <f>IF(J96='PLAN DE ESTUDIO'!$XFD$41,"",IF(AE96="","",AC96&amp;K96&amp;L96&amp;M96))</f>
        <v/>
      </c>
      <c r="AE96" s="261" t="str">
        <f>IF(J96='PLAN DE ESTUDIO'!$XFD$41,"",IF(AF96=1,K96&amp;L96&amp;M96,""))</f>
        <v/>
      </c>
      <c r="AF96" s="261">
        <f>COUNTIF($O$1:O96,$O96)</f>
        <v>95</v>
      </c>
      <c r="AG96" s="285" t="str">
        <f>IF(J96='PLAN DE ESTUDIO'!$XFD$41,"",IF(P96="TP","Teórico-Práctica",IF(P96="T","Teórico",IF(P96="P","Práctica",""))))</f>
        <v/>
      </c>
      <c r="AH96" s="234" t="str">
        <f t="shared" si="3"/>
        <v xml:space="preserve"> </v>
      </c>
    </row>
    <row r="97" spans="10:34" x14ac:dyDescent="0.3">
      <c r="J97" s="412"/>
      <c r="K97" s="281" t="str">
        <f>IF($B$3="","",IF($B$3="PREGRADO",DATA!Q98,""))</f>
        <v/>
      </c>
      <c r="L97" s="281" t="str">
        <f>IF($B$3="","",IF($B$3="PREGRADO",DATA!R98,""))</f>
        <v/>
      </c>
      <c r="M97" s="281" t="str">
        <f>IF($B$3="","",IF($B$3="PREGRADO",DATA!S98,""))</f>
        <v/>
      </c>
      <c r="N97" s="412"/>
      <c r="O97" s="281" t="str">
        <f>IF($B$3="","",IF($B$3="PREGRADO",DATA!T98,""))</f>
        <v/>
      </c>
      <c r="P97" s="281" t="str">
        <f>IF($B$3="","",IF($B$3="PREGRADO",DATA!U98,""))</f>
        <v/>
      </c>
      <c r="Q97" s="412"/>
      <c r="R97" s="425"/>
      <c r="S97" s="281" t="str">
        <f>IF($B$3="","",IF($B$3="PREGRADO",DATA!W98,""))</f>
        <v/>
      </c>
      <c r="T97" s="283" t="str" cm="1">
        <f t="array" ref="T97">IF($B$9="","",_xlfn.IFS($B$9="PRESENCIAL",_xlfn.XLOOKUP($S97,DATA!$B$4:$B$8,DATA!$D$4:$D$8,"",0,),$B$9="VIRTUAL",_xlfn.XLOOKUP($S97,DATA!$G$4:$G$8,DATA!$I$4:$I$8,"",0),$B$9="DISTANCIA",_xlfn.XLOOKUP($S97,DATA!$L$4:$L$8,DATA!$N$4:$N$8,"",0)))</f>
        <v/>
      </c>
      <c r="U97" s="283" t="str" cm="1">
        <f t="array" ref="U97">IF($B$9="","",_xlfn.IFS($B$9="PRESENCIAL",_xlfn.XLOOKUP($S97,DATA!$B$4:$B$8,DATA!$E$4:$E$8,"",0,),$B$9="VIRTUAL",_xlfn.XLOOKUP($S97,DATA!$G$4:$G$8,DATA!$J$4:$J$8,"",0),$B$9="DISTANCIA",_xlfn.XLOOKUP($S97,DATA!$L$4:$L$8,DATA!$O$4:$O$8,"",0)))</f>
        <v/>
      </c>
      <c r="V97" s="261" t="str">
        <f t="shared" si="2"/>
        <v/>
      </c>
      <c r="W97" s="282"/>
      <c r="X97" s="282"/>
      <c r="Y97" s="282"/>
      <c r="Z97" s="282"/>
      <c r="AA97" s="282"/>
      <c r="AB97" s="284"/>
      <c r="AC97" s="262" t="str">
        <f>IF(AE97="","",COUNTIF($AE$1:AE97,AE97))</f>
        <v/>
      </c>
      <c r="AD97" s="261" t="str">
        <f>IF(J97='PLAN DE ESTUDIO'!$XFD$41,"",IF(AE97="","",AC97&amp;K97&amp;L97&amp;M97))</f>
        <v/>
      </c>
      <c r="AE97" s="261" t="str">
        <f>IF(J97='PLAN DE ESTUDIO'!$XFD$41,"",IF(AF97=1,K97&amp;L97&amp;M97,""))</f>
        <v/>
      </c>
      <c r="AF97" s="261">
        <f>COUNTIF($O$1:O97,$O97)</f>
        <v>96</v>
      </c>
      <c r="AG97" s="285" t="str">
        <f>IF(J97='PLAN DE ESTUDIO'!$XFD$41,"",IF(P97="TP","Teórico-Práctica",IF(P97="T","Teórico",IF(P97="P","Práctica",""))))</f>
        <v/>
      </c>
      <c r="AH97" s="234" t="str">
        <f t="shared" si="3"/>
        <v xml:space="preserve"> </v>
      </c>
    </row>
    <row r="98" spans="10:34" x14ac:dyDescent="0.3">
      <c r="J98" s="412"/>
      <c r="K98" s="281" t="str">
        <f>IF($B$3="","",IF($B$3="PREGRADO",DATA!Q99,""))</f>
        <v/>
      </c>
      <c r="L98" s="281" t="str">
        <f>IF($B$3="","",IF($B$3="PREGRADO",DATA!R99,""))</f>
        <v/>
      </c>
      <c r="M98" s="281" t="str">
        <f>IF($B$3="","",IF($B$3="PREGRADO",DATA!S99,""))</f>
        <v/>
      </c>
      <c r="N98" s="412"/>
      <c r="O98" s="281" t="str">
        <f>IF($B$3="","",IF($B$3="PREGRADO",DATA!T99,""))</f>
        <v/>
      </c>
      <c r="P98" s="281" t="str">
        <f>IF($B$3="","",IF($B$3="PREGRADO",DATA!U99,""))</f>
        <v/>
      </c>
      <c r="Q98" s="412"/>
      <c r="R98" s="425"/>
      <c r="S98" s="281" t="str">
        <f>IF($B$3="","",IF($B$3="PREGRADO",DATA!W99,""))</f>
        <v/>
      </c>
      <c r="T98" s="283" t="str" cm="1">
        <f t="array" ref="T98">IF($B$9="","",_xlfn.IFS($B$9="PRESENCIAL",_xlfn.XLOOKUP($S98,DATA!$B$4:$B$8,DATA!$D$4:$D$8,"",0,),$B$9="VIRTUAL",_xlfn.XLOOKUP($S98,DATA!$G$4:$G$8,DATA!$I$4:$I$8,"",0),$B$9="DISTANCIA",_xlfn.XLOOKUP($S98,DATA!$L$4:$L$8,DATA!$N$4:$N$8,"",0)))</f>
        <v/>
      </c>
      <c r="U98" s="283" t="str" cm="1">
        <f t="array" ref="U98">IF($B$9="","",_xlfn.IFS($B$9="PRESENCIAL",_xlfn.XLOOKUP($S98,DATA!$B$4:$B$8,DATA!$E$4:$E$8,"",0,),$B$9="VIRTUAL",_xlfn.XLOOKUP($S98,DATA!$G$4:$G$8,DATA!$J$4:$J$8,"",0),$B$9="DISTANCIA",_xlfn.XLOOKUP($S98,DATA!$L$4:$L$8,DATA!$O$4:$O$8,"",0)))</f>
        <v/>
      </c>
      <c r="V98" s="261" t="str">
        <f t="shared" si="2"/>
        <v/>
      </c>
      <c r="W98" s="282"/>
      <c r="X98" s="282"/>
      <c r="Y98" s="282"/>
      <c r="Z98" s="282"/>
      <c r="AA98" s="282"/>
      <c r="AB98" s="284"/>
      <c r="AC98" s="262" t="str">
        <f>IF(AE98="","",COUNTIF($AE$1:AE98,AE98))</f>
        <v/>
      </c>
      <c r="AD98" s="261" t="str">
        <f>IF(J98='PLAN DE ESTUDIO'!$XFD$41,"",IF(AE98="","",AC98&amp;K98&amp;L98&amp;M98))</f>
        <v/>
      </c>
      <c r="AE98" s="261" t="str">
        <f>IF(J98='PLAN DE ESTUDIO'!$XFD$41,"",IF(AF98=1,K98&amp;L98&amp;M98,""))</f>
        <v/>
      </c>
      <c r="AF98" s="261">
        <f>COUNTIF($O$1:O98,$O98)</f>
        <v>97</v>
      </c>
      <c r="AG98" s="285" t="str">
        <f>IF(J98='PLAN DE ESTUDIO'!$XFD$41,"",IF(P98="TP","Teórico-Práctica",IF(P98="T","Teórico",IF(P98="P","Práctica",""))))</f>
        <v/>
      </c>
      <c r="AH98" s="234" t="str">
        <f t="shared" si="3"/>
        <v xml:space="preserve"> </v>
      </c>
    </row>
    <row r="99" spans="10:34" x14ac:dyDescent="0.3">
      <c r="J99" s="412"/>
      <c r="K99" s="281" t="str">
        <f>IF($B$3="","",IF($B$3="PREGRADO",DATA!Q100,""))</f>
        <v/>
      </c>
      <c r="L99" s="281" t="str">
        <f>IF($B$3="","",IF($B$3="PREGRADO",DATA!R100,""))</f>
        <v/>
      </c>
      <c r="M99" s="281" t="str">
        <f>IF($B$3="","",IF($B$3="PREGRADO",DATA!S100,""))</f>
        <v/>
      </c>
      <c r="N99" s="412"/>
      <c r="O99" s="281" t="str">
        <f>IF($B$3="","",IF($B$3="PREGRADO",DATA!T100,""))</f>
        <v/>
      </c>
      <c r="P99" s="281" t="str">
        <f>IF($B$3="","",IF($B$3="PREGRADO",DATA!U100,""))</f>
        <v/>
      </c>
      <c r="Q99" s="412"/>
      <c r="R99" s="425"/>
      <c r="S99" s="281" t="str">
        <f>IF($B$3="","",IF($B$3="PREGRADO",DATA!W100,""))</f>
        <v/>
      </c>
      <c r="T99" s="283" t="str" cm="1">
        <f t="array" ref="T99">IF($B$9="","",_xlfn.IFS($B$9="PRESENCIAL",_xlfn.XLOOKUP($S99,DATA!$B$4:$B$8,DATA!$D$4:$D$8,"",0,),$B$9="VIRTUAL",_xlfn.XLOOKUP($S99,DATA!$G$4:$G$8,DATA!$I$4:$I$8,"",0),$B$9="DISTANCIA",_xlfn.XLOOKUP($S99,DATA!$L$4:$L$8,DATA!$N$4:$N$8,"",0)))</f>
        <v/>
      </c>
      <c r="U99" s="283" t="str" cm="1">
        <f t="array" ref="U99">IF($B$9="","",_xlfn.IFS($B$9="PRESENCIAL",_xlfn.XLOOKUP($S99,DATA!$B$4:$B$8,DATA!$E$4:$E$8,"",0,),$B$9="VIRTUAL",_xlfn.XLOOKUP($S99,DATA!$G$4:$G$8,DATA!$J$4:$J$8,"",0),$B$9="DISTANCIA",_xlfn.XLOOKUP($S99,DATA!$L$4:$L$8,DATA!$O$4:$O$8,"",0)))</f>
        <v/>
      </c>
      <c r="V99" s="261" t="str">
        <f t="shared" si="2"/>
        <v/>
      </c>
      <c r="W99" s="282"/>
      <c r="X99" s="282"/>
      <c r="Y99" s="282"/>
      <c r="Z99" s="282"/>
      <c r="AA99" s="282"/>
      <c r="AB99" s="284"/>
      <c r="AC99" s="262" t="str">
        <f>IF(AE99="","",COUNTIF($AE$1:AE99,AE99))</f>
        <v/>
      </c>
      <c r="AD99" s="261" t="str">
        <f>IF(J99='PLAN DE ESTUDIO'!$XFD$41,"",IF(AE99="","",AC99&amp;K99&amp;L99&amp;M99))</f>
        <v/>
      </c>
      <c r="AE99" s="261" t="str">
        <f>IF(J99='PLAN DE ESTUDIO'!$XFD$41,"",IF(AF99=1,K99&amp;L99&amp;M99,""))</f>
        <v/>
      </c>
      <c r="AF99" s="261">
        <f>COUNTIF($O$1:O99,$O99)</f>
        <v>98</v>
      </c>
      <c r="AG99" s="285" t="str">
        <f>IF(J99='PLAN DE ESTUDIO'!$XFD$41,"",IF(P99="TP","Teórico-Práctica",IF(P99="T","Teórico",IF(P99="P","Práctica",""))))</f>
        <v/>
      </c>
      <c r="AH99" s="234" t="str">
        <f t="shared" si="3"/>
        <v xml:space="preserve"> </v>
      </c>
    </row>
    <row r="100" spans="10:34" x14ac:dyDescent="0.3">
      <c r="J100" s="412"/>
      <c r="K100" s="281" t="str">
        <f>IF($B$3="","",IF($B$3="PREGRADO",DATA!Q101,""))</f>
        <v/>
      </c>
      <c r="L100" s="281" t="str">
        <f>IF($B$3="","",IF($B$3="PREGRADO",DATA!R101,""))</f>
        <v/>
      </c>
      <c r="M100" s="281" t="str">
        <f>IF($B$3="","",IF($B$3="PREGRADO",DATA!S101,""))</f>
        <v/>
      </c>
      <c r="N100" s="412"/>
      <c r="O100" s="281" t="str">
        <f>IF($B$3="","",IF($B$3="PREGRADO",DATA!T101,""))</f>
        <v/>
      </c>
      <c r="P100" s="281" t="str">
        <f>IF($B$3="","",IF($B$3="PREGRADO",DATA!U101,""))</f>
        <v/>
      </c>
      <c r="Q100" s="412"/>
      <c r="R100" s="425"/>
      <c r="S100" s="281" t="str">
        <f>IF($B$3="","",IF($B$3="PREGRADO",DATA!W101,""))</f>
        <v/>
      </c>
      <c r="T100" s="283" t="str" cm="1">
        <f t="array" ref="T100">IF($B$9="","",_xlfn.IFS($B$9="PRESENCIAL",_xlfn.XLOOKUP($S100,DATA!$B$4:$B$8,DATA!$D$4:$D$8,"",0,),$B$9="VIRTUAL",_xlfn.XLOOKUP($S100,DATA!$G$4:$G$8,DATA!$I$4:$I$8,"",0),$B$9="DISTANCIA",_xlfn.XLOOKUP($S100,DATA!$L$4:$L$8,DATA!$N$4:$N$8,"",0)))</f>
        <v/>
      </c>
      <c r="U100" s="283" t="str" cm="1">
        <f t="array" ref="U100">IF($B$9="","",_xlfn.IFS($B$9="PRESENCIAL",_xlfn.XLOOKUP($S100,DATA!$B$4:$B$8,DATA!$E$4:$E$8,"",0,),$B$9="VIRTUAL",_xlfn.XLOOKUP($S100,DATA!$G$4:$G$8,DATA!$J$4:$J$8,"",0),$B$9="DISTANCIA",_xlfn.XLOOKUP($S100,DATA!$L$4:$L$8,DATA!$O$4:$O$8,"",0)))</f>
        <v/>
      </c>
      <c r="V100" s="261" t="str">
        <f t="shared" si="2"/>
        <v/>
      </c>
      <c r="W100" s="282"/>
      <c r="X100" s="282"/>
      <c r="Y100" s="282"/>
      <c r="Z100" s="282"/>
      <c r="AA100" s="282"/>
      <c r="AB100" s="284"/>
      <c r="AC100" s="262" t="str">
        <f>IF(AE100="","",COUNTIF($AE$1:AE100,AE100))</f>
        <v/>
      </c>
      <c r="AD100" s="261" t="str">
        <f>IF(J100='PLAN DE ESTUDIO'!$XFD$41,"",IF(AE100="","",AC100&amp;K100&amp;L100&amp;M100))</f>
        <v/>
      </c>
      <c r="AE100" s="261" t="str">
        <f>IF(J100='PLAN DE ESTUDIO'!$XFD$41,"",IF(AF100=1,K100&amp;L100&amp;M100,""))</f>
        <v/>
      </c>
      <c r="AF100" s="261">
        <f>COUNTIF($O$1:O100,$O100)</f>
        <v>99</v>
      </c>
      <c r="AG100" s="285" t="str">
        <f>IF(J100='PLAN DE ESTUDIO'!$XFD$41,"",IF(P100="TP","Teórico-Práctica",IF(P100="T","Teórico",IF(P100="P","Práctica",""))))</f>
        <v/>
      </c>
      <c r="AH100" s="234" t="str">
        <f t="shared" si="3"/>
        <v xml:space="preserve"> </v>
      </c>
    </row>
    <row r="101" spans="10:34" x14ac:dyDescent="0.3">
      <c r="J101" s="412"/>
      <c r="K101" s="281" t="str">
        <f>IF($B$3="","",IF($B$3="PREGRADO",DATA!Q102,""))</f>
        <v/>
      </c>
      <c r="L101" s="281" t="str">
        <f>IF($B$3="","",IF($B$3="PREGRADO",DATA!R102,""))</f>
        <v/>
      </c>
      <c r="M101" s="281" t="str">
        <f>IF($B$3="","",IF($B$3="PREGRADO",DATA!S102,""))</f>
        <v/>
      </c>
      <c r="N101" s="412"/>
      <c r="O101" s="281" t="str">
        <f>IF($B$3="","",IF($B$3="PREGRADO",DATA!T102,""))</f>
        <v/>
      </c>
      <c r="P101" s="281" t="str">
        <f>IF($B$3="","",IF($B$3="PREGRADO",DATA!U102,""))</f>
        <v/>
      </c>
      <c r="Q101" s="412"/>
      <c r="R101" s="425"/>
      <c r="S101" s="281" t="str">
        <f>IF($B$3="","",IF($B$3="PREGRADO",DATA!W102,""))</f>
        <v/>
      </c>
      <c r="T101" s="283" t="str" cm="1">
        <f t="array" ref="T101">IF($B$9="","",_xlfn.IFS($B$9="PRESENCIAL",_xlfn.XLOOKUP($S101,DATA!$B$4:$B$8,DATA!$D$4:$D$8,"",0,),$B$9="VIRTUAL",_xlfn.XLOOKUP($S101,DATA!$G$4:$G$8,DATA!$I$4:$I$8,"",0),$B$9="DISTANCIA",_xlfn.XLOOKUP($S101,DATA!$L$4:$L$8,DATA!$N$4:$N$8,"",0)))</f>
        <v/>
      </c>
      <c r="U101" s="283" t="str" cm="1">
        <f t="array" ref="U101">IF($B$9="","",_xlfn.IFS($B$9="PRESENCIAL",_xlfn.XLOOKUP($S101,DATA!$B$4:$B$8,DATA!$E$4:$E$8,"",0,),$B$9="VIRTUAL",_xlfn.XLOOKUP($S101,DATA!$G$4:$G$8,DATA!$J$4:$J$8,"",0),$B$9="DISTANCIA",_xlfn.XLOOKUP($S101,DATA!$L$4:$L$8,DATA!$O$4:$O$8,"",0)))</f>
        <v/>
      </c>
      <c r="V101" s="261" t="str">
        <f t="shared" si="2"/>
        <v/>
      </c>
      <c r="W101" s="282"/>
      <c r="X101" s="282"/>
      <c r="Y101" s="282"/>
      <c r="Z101" s="282"/>
      <c r="AA101" s="282"/>
      <c r="AB101" s="284"/>
      <c r="AC101" s="262" t="str">
        <f>IF(AE101="","",COUNTIF($AE$1:AE101,AE101))</f>
        <v/>
      </c>
      <c r="AD101" s="261" t="str">
        <f>IF(J101='PLAN DE ESTUDIO'!$XFD$41,"",IF(AE101="","",AC101&amp;K101&amp;L101&amp;M101))</f>
        <v/>
      </c>
      <c r="AE101" s="261" t="str">
        <f>IF(J101='PLAN DE ESTUDIO'!$XFD$41,"",IF(AF101=1,K101&amp;L101&amp;M101,""))</f>
        <v/>
      </c>
      <c r="AF101" s="261">
        <f>COUNTIF($O$1:O101,$O101)</f>
        <v>100</v>
      </c>
      <c r="AG101" s="285" t="str">
        <f>IF(J101='PLAN DE ESTUDIO'!$XFD$41,"",IF(P101="TP","Teórico-Práctica",IF(P101="T","Teórico",IF(P101="P","Práctica",""))))</f>
        <v/>
      </c>
      <c r="AH101" s="234" t="str">
        <f t="shared" si="3"/>
        <v xml:space="preserve"> </v>
      </c>
    </row>
    <row r="102" spans="10:34" x14ac:dyDescent="0.3">
      <c r="J102" s="412"/>
      <c r="K102" s="281" t="str">
        <f>IF($B$3="","",IF($B$3="PREGRADO",DATA!Q103,""))</f>
        <v/>
      </c>
      <c r="L102" s="281" t="str">
        <f>IF($B$3="","",IF($B$3="PREGRADO",DATA!R103,""))</f>
        <v/>
      </c>
      <c r="M102" s="281" t="str">
        <f>IF($B$3="","",IF($B$3="PREGRADO",DATA!S103,""))</f>
        <v/>
      </c>
      <c r="N102" s="412"/>
      <c r="O102" s="281" t="str">
        <f>IF($B$3="","",IF($B$3="PREGRADO",DATA!T103,""))</f>
        <v/>
      </c>
      <c r="P102" s="281" t="str">
        <f>IF($B$3="","",IF($B$3="PREGRADO",DATA!U103,""))</f>
        <v/>
      </c>
      <c r="Q102" s="412"/>
      <c r="R102" s="425"/>
      <c r="S102" s="281" t="str">
        <f>IF($B$3="","",IF($B$3="PREGRADO",DATA!W103,""))</f>
        <v/>
      </c>
      <c r="T102" s="283" t="str" cm="1">
        <f t="array" ref="T102">IF($B$9="","",_xlfn.IFS($B$9="PRESENCIAL",_xlfn.XLOOKUP($S102,DATA!$B$4:$B$8,DATA!$D$4:$D$8,"",0,),$B$9="VIRTUAL",_xlfn.XLOOKUP($S102,DATA!$G$4:$G$8,DATA!$I$4:$I$8,"",0),$B$9="DISTANCIA",_xlfn.XLOOKUP($S102,DATA!$L$4:$L$8,DATA!$N$4:$N$8,"",0)))</f>
        <v/>
      </c>
      <c r="U102" s="283" t="str" cm="1">
        <f t="array" ref="U102">IF($B$9="","",_xlfn.IFS($B$9="PRESENCIAL",_xlfn.XLOOKUP($S102,DATA!$B$4:$B$8,DATA!$E$4:$E$8,"",0,),$B$9="VIRTUAL",_xlfn.XLOOKUP($S102,DATA!$G$4:$G$8,DATA!$J$4:$J$8,"",0),$B$9="DISTANCIA",_xlfn.XLOOKUP($S102,DATA!$L$4:$L$8,DATA!$O$4:$O$8,"",0)))</f>
        <v/>
      </c>
      <c r="V102" s="261" t="str">
        <f t="shared" si="2"/>
        <v/>
      </c>
      <c r="W102" s="282"/>
      <c r="X102" s="282"/>
      <c r="Y102" s="282"/>
      <c r="Z102" s="282"/>
      <c r="AA102" s="282"/>
      <c r="AB102" s="284"/>
      <c r="AC102" s="262" t="str">
        <f>IF(AE102="","",COUNTIF($AE$1:AE102,AE102))</f>
        <v/>
      </c>
      <c r="AD102" s="261" t="str">
        <f>IF(J102='PLAN DE ESTUDIO'!$XFD$41,"",IF(AE102="","",AC102&amp;K102&amp;L102&amp;M102))</f>
        <v/>
      </c>
      <c r="AE102" s="261" t="str">
        <f>IF(J102='PLAN DE ESTUDIO'!$XFD$41,"",IF(AF102=1,K102&amp;L102&amp;M102,""))</f>
        <v/>
      </c>
      <c r="AF102" s="261">
        <f>COUNTIF($O$1:O102,$O102)</f>
        <v>101</v>
      </c>
      <c r="AG102" s="285" t="str">
        <f>IF(J102='PLAN DE ESTUDIO'!$XFD$41,"",IF(P102="TP","Teórico-Práctica",IF(P102="T","Teórico",IF(P102="P","Práctica",""))))</f>
        <v/>
      </c>
      <c r="AH102" s="234" t="str">
        <f t="shared" si="3"/>
        <v xml:space="preserve"> </v>
      </c>
    </row>
    <row r="103" spans="10:34" x14ac:dyDescent="0.3">
      <c r="J103" s="412"/>
      <c r="K103" s="281" t="str">
        <f>IF($B$3="","",IF($B$3="PREGRADO",DATA!Q104,""))</f>
        <v/>
      </c>
      <c r="L103" s="281" t="str">
        <f>IF($B$3="","",IF($B$3="PREGRADO",DATA!R104,""))</f>
        <v/>
      </c>
      <c r="M103" s="281" t="str">
        <f>IF($B$3="","",IF($B$3="PREGRADO",DATA!S104,""))</f>
        <v/>
      </c>
      <c r="N103" s="412"/>
      <c r="O103" s="281" t="str">
        <f>IF($B$3="","",IF($B$3="PREGRADO",DATA!T104,""))</f>
        <v/>
      </c>
      <c r="P103" s="281" t="str">
        <f>IF($B$3="","",IF($B$3="PREGRADO",DATA!U104,""))</f>
        <v/>
      </c>
      <c r="Q103" s="412"/>
      <c r="R103" s="425"/>
      <c r="S103" s="281" t="str">
        <f>IF($B$3="","",IF($B$3="PREGRADO",DATA!W104,""))</f>
        <v/>
      </c>
      <c r="T103" s="283" t="str" cm="1">
        <f t="array" ref="T103">IF($B$9="","",_xlfn.IFS($B$9="PRESENCIAL",_xlfn.XLOOKUP($S103,DATA!$B$4:$B$8,DATA!$D$4:$D$8,"",0,),$B$9="VIRTUAL",_xlfn.XLOOKUP($S103,DATA!$G$4:$G$8,DATA!$I$4:$I$8,"",0),$B$9="DISTANCIA",_xlfn.XLOOKUP($S103,DATA!$L$4:$L$8,DATA!$N$4:$N$8,"",0)))</f>
        <v/>
      </c>
      <c r="U103" s="283" t="str" cm="1">
        <f t="array" ref="U103">IF($B$9="","",_xlfn.IFS($B$9="PRESENCIAL",_xlfn.XLOOKUP($S103,DATA!$B$4:$B$8,DATA!$E$4:$E$8,"",0,),$B$9="VIRTUAL",_xlfn.XLOOKUP($S103,DATA!$G$4:$G$8,DATA!$J$4:$J$8,"",0),$B$9="DISTANCIA",_xlfn.XLOOKUP($S103,DATA!$L$4:$L$8,DATA!$O$4:$O$8,"",0)))</f>
        <v/>
      </c>
      <c r="V103" s="261" t="str">
        <f t="shared" si="2"/>
        <v/>
      </c>
      <c r="W103" s="282"/>
      <c r="X103" s="282"/>
      <c r="Y103" s="282"/>
      <c r="Z103" s="282"/>
      <c r="AA103" s="282"/>
      <c r="AB103" s="284"/>
      <c r="AC103" s="262" t="str">
        <f>IF(AE103="","",COUNTIF($AE$1:AE103,AE103))</f>
        <v/>
      </c>
      <c r="AD103" s="261" t="str">
        <f>IF(J103='PLAN DE ESTUDIO'!$XFD$41,"",IF(AE103="","",AC103&amp;K103&amp;L103&amp;M103))</f>
        <v/>
      </c>
      <c r="AE103" s="261" t="str">
        <f>IF(J103='PLAN DE ESTUDIO'!$XFD$41,"",IF(AF103=1,K103&amp;L103&amp;M103,""))</f>
        <v/>
      </c>
      <c r="AF103" s="261">
        <f>COUNTIF($O$1:O103,$O103)</f>
        <v>102</v>
      </c>
      <c r="AG103" s="285" t="str">
        <f>IF(J103='PLAN DE ESTUDIO'!$XFD$41,"",IF(P103="TP","Teórico-Práctica",IF(P103="T","Teórico",IF(P103="P","Práctica",""))))</f>
        <v/>
      </c>
      <c r="AH103" s="234" t="str">
        <f t="shared" si="3"/>
        <v xml:space="preserve"> </v>
      </c>
    </row>
    <row r="104" spans="10:34" x14ac:dyDescent="0.3">
      <c r="J104" s="412"/>
      <c r="K104" s="281" t="str">
        <f>IF($B$3="","",IF($B$3="PREGRADO",DATA!Q105,""))</f>
        <v/>
      </c>
      <c r="L104" s="281" t="str">
        <f>IF($B$3="","",IF($B$3="PREGRADO",DATA!R105,""))</f>
        <v/>
      </c>
      <c r="M104" s="281" t="str">
        <f>IF($B$3="","",IF($B$3="PREGRADO",DATA!S105,""))</f>
        <v/>
      </c>
      <c r="N104" s="412"/>
      <c r="O104" s="281" t="str">
        <f>IF($B$3="","",IF($B$3="PREGRADO",DATA!T105,""))</f>
        <v/>
      </c>
      <c r="P104" s="281" t="str">
        <f>IF($B$3="","",IF($B$3="PREGRADO",DATA!U105,""))</f>
        <v/>
      </c>
      <c r="Q104" s="412"/>
      <c r="R104" s="425"/>
      <c r="S104" s="281" t="str">
        <f>IF($B$3="","",IF($B$3="PREGRADO",DATA!W105,""))</f>
        <v/>
      </c>
      <c r="T104" s="283" t="str" cm="1">
        <f t="array" ref="T104">IF($B$9="","",_xlfn.IFS($B$9="PRESENCIAL",_xlfn.XLOOKUP($S104,DATA!$B$4:$B$8,DATA!$D$4:$D$8,"",0,),$B$9="VIRTUAL",_xlfn.XLOOKUP($S104,DATA!$G$4:$G$8,DATA!$I$4:$I$8,"",0),$B$9="DISTANCIA",_xlfn.XLOOKUP($S104,DATA!$L$4:$L$8,DATA!$N$4:$N$8,"",0)))</f>
        <v/>
      </c>
      <c r="U104" s="283" t="str" cm="1">
        <f t="array" ref="U104">IF($B$9="","",_xlfn.IFS($B$9="PRESENCIAL",_xlfn.XLOOKUP($S104,DATA!$B$4:$B$8,DATA!$E$4:$E$8,"",0,),$B$9="VIRTUAL",_xlfn.XLOOKUP($S104,DATA!$G$4:$G$8,DATA!$J$4:$J$8,"",0),$B$9="DISTANCIA",_xlfn.XLOOKUP($S104,DATA!$L$4:$L$8,DATA!$O$4:$O$8,"",0)))</f>
        <v/>
      </c>
      <c r="V104" s="261" t="str">
        <f t="shared" si="2"/>
        <v/>
      </c>
      <c r="W104" s="282"/>
      <c r="X104" s="282"/>
      <c r="Y104" s="282"/>
      <c r="Z104" s="282"/>
      <c r="AA104" s="282"/>
      <c r="AB104" s="284"/>
      <c r="AC104" s="262" t="str">
        <f>IF(AE104="","",COUNTIF($AE$1:AE104,AE104))</f>
        <v/>
      </c>
      <c r="AD104" s="261" t="str">
        <f>IF(J104='PLAN DE ESTUDIO'!$XFD$41,"",IF(AE104="","",AC104&amp;K104&amp;L104&amp;M104))</f>
        <v/>
      </c>
      <c r="AE104" s="261" t="str">
        <f>IF(J104='PLAN DE ESTUDIO'!$XFD$41,"",IF(AF104=1,K104&amp;L104&amp;M104,""))</f>
        <v/>
      </c>
      <c r="AF104" s="261">
        <f>COUNTIF($O$1:O104,$O104)</f>
        <v>103</v>
      </c>
      <c r="AG104" s="285" t="str">
        <f>IF(J104='PLAN DE ESTUDIO'!$XFD$41,"",IF(P104="TP","Teórico-Práctica",IF(P104="T","Teórico",IF(P104="P","Práctica",""))))</f>
        <v/>
      </c>
      <c r="AH104" s="234" t="str">
        <f t="shared" si="3"/>
        <v xml:space="preserve"> </v>
      </c>
    </row>
    <row r="105" spans="10:34" x14ac:dyDescent="0.3">
      <c r="J105" s="412"/>
      <c r="K105" s="281" t="str">
        <f>IF($B$3="","",IF($B$3="PREGRADO",DATA!Q106,""))</f>
        <v/>
      </c>
      <c r="L105" s="281" t="str">
        <f>IF($B$3="","",IF($B$3="PREGRADO",DATA!R106,""))</f>
        <v/>
      </c>
      <c r="M105" s="281" t="str">
        <f>IF($B$3="","",IF($B$3="PREGRADO",DATA!S106,""))</f>
        <v/>
      </c>
      <c r="N105" s="412"/>
      <c r="O105" s="281" t="str">
        <f>IF($B$3="","",IF($B$3="PREGRADO",DATA!T106,""))</f>
        <v/>
      </c>
      <c r="P105" s="281" t="str">
        <f>IF($B$3="","",IF($B$3="PREGRADO",DATA!U106,""))</f>
        <v/>
      </c>
      <c r="Q105" s="412"/>
      <c r="R105" s="425"/>
      <c r="S105" s="281" t="str">
        <f>IF($B$3="","",IF($B$3="PREGRADO",DATA!W106,""))</f>
        <v/>
      </c>
      <c r="T105" s="283" t="str" cm="1">
        <f t="array" ref="T105">IF($B$9="","",_xlfn.IFS($B$9="PRESENCIAL",_xlfn.XLOOKUP($S105,DATA!$B$4:$B$8,DATA!$D$4:$D$8,"",0,),$B$9="VIRTUAL",_xlfn.XLOOKUP($S105,DATA!$G$4:$G$8,DATA!$I$4:$I$8,"",0),$B$9="DISTANCIA",_xlfn.XLOOKUP($S105,DATA!$L$4:$L$8,DATA!$N$4:$N$8,"",0)))</f>
        <v/>
      </c>
      <c r="U105" s="283" t="str" cm="1">
        <f t="array" ref="U105">IF($B$9="","",_xlfn.IFS($B$9="PRESENCIAL",_xlfn.XLOOKUP($S105,DATA!$B$4:$B$8,DATA!$E$4:$E$8,"",0,),$B$9="VIRTUAL",_xlfn.XLOOKUP($S105,DATA!$G$4:$G$8,DATA!$J$4:$J$8,"",0),$B$9="DISTANCIA",_xlfn.XLOOKUP($S105,DATA!$L$4:$L$8,DATA!$O$4:$O$8,"",0)))</f>
        <v/>
      </c>
      <c r="V105" s="261" t="str">
        <f t="shared" si="2"/>
        <v/>
      </c>
      <c r="W105" s="282"/>
      <c r="X105" s="282"/>
      <c r="Y105" s="282"/>
      <c r="Z105" s="282"/>
      <c r="AA105" s="282"/>
      <c r="AB105" s="284"/>
      <c r="AC105" s="262" t="str">
        <f>IF(AE105="","",COUNTIF($AE$1:AE105,AE105))</f>
        <v/>
      </c>
      <c r="AD105" s="261" t="str">
        <f>IF(J105='PLAN DE ESTUDIO'!$XFD$41,"",IF(AE105="","",AC105&amp;K105&amp;L105&amp;M105))</f>
        <v/>
      </c>
      <c r="AE105" s="261" t="str">
        <f>IF(J105='PLAN DE ESTUDIO'!$XFD$41,"",IF(AF105=1,K105&amp;L105&amp;M105,""))</f>
        <v/>
      </c>
      <c r="AF105" s="261">
        <f>COUNTIF($O$1:O105,$O105)</f>
        <v>104</v>
      </c>
      <c r="AG105" s="285" t="str">
        <f>IF(J105='PLAN DE ESTUDIO'!$XFD$41,"",IF(P105="TP","Teórico-Práctica",IF(P105="T","Teórico",IF(P105="P","Práctica",""))))</f>
        <v/>
      </c>
      <c r="AH105" s="234" t="str">
        <f t="shared" si="3"/>
        <v xml:space="preserve"> </v>
      </c>
    </row>
    <row r="106" spans="10:34" x14ac:dyDescent="0.3">
      <c r="J106" s="412"/>
      <c r="K106" s="281" t="str">
        <f>IF($B$3="","",IF($B$3="PREGRADO",DATA!Q107,""))</f>
        <v/>
      </c>
      <c r="L106" s="281" t="str">
        <f>IF($B$3="","",IF($B$3="PREGRADO",DATA!R107,""))</f>
        <v/>
      </c>
      <c r="M106" s="281" t="str">
        <f>IF($B$3="","",IF($B$3="PREGRADO",DATA!S107,""))</f>
        <v/>
      </c>
      <c r="N106" s="412"/>
      <c r="O106" s="281" t="str">
        <f>IF($B$3="","",IF($B$3="PREGRADO",DATA!T107,""))</f>
        <v/>
      </c>
      <c r="P106" s="281" t="str">
        <f>IF($B$3="","",IF($B$3="PREGRADO",DATA!U107,""))</f>
        <v/>
      </c>
      <c r="Q106" s="412"/>
      <c r="R106" s="425"/>
      <c r="S106" s="281" t="str">
        <f>IF($B$3="","",IF($B$3="PREGRADO",DATA!W107,""))</f>
        <v/>
      </c>
      <c r="T106" s="283" t="str" cm="1">
        <f t="array" ref="T106">IF($B$9="","",_xlfn.IFS($B$9="PRESENCIAL",_xlfn.XLOOKUP($S106,DATA!$B$4:$B$8,DATA!$D$4:$D$8,"",0,),$B$9="VIRTUAL",_xlfn.XLOOKUP($S106,DATA!$G$4:$G$8,DATA!$I$4:$I$8,"",0),$B$9="DISTANCIA",_xlfn.XLOOKUP($S106,DATA!$L$4:$L$8,DATA!$N$4:$N$8,"",0)))</f>
        <v/>
      </c>
      <c r="U106" s="283" t="str" cm="1">
        <f t="array" ref="U106">IF($B$9="","",_xlfn.IFS($B$9="PRESENCIAL",_xlfn.XLOOKUP($S106,DATA!$B$4:$B$8,DATA!$E$4:$E$8,"",0,),$B$9="VIRTUAL",_xlfn.XLOOKUP($S106,DATA!$G$4:$G$8,DATA!$J$4:$J$8,"",0),$B$9="DISTANCIA",_xlfn.XLOOKUP($S106,DATA!$L$4:$L$8,DATA!$O$4:$O$8,"",0)))</f>
        <v/>
      </c>
      <c r="V106" s="261" t="str">
        <f t="shared" si="2"/>
        <v/>
      </c>
      <c r="W106" s="282"/>
      <c r="X106" s="282"/>
      <c r="Y106" s="282"/>
      <c r="Z106" s="282"/>
      <c r="AA106" s="282"/>
      <c r="AB106" s="284"/>
      <c r="AC106" s="262" t="str">
        <f>IF(AE106="","",COUNTIF($AE$1:AE106,AE106))</f>
        <v/>
      </c>
      <c r="AD106" s="261" t="str">
        <f>IF(J106='PLAN DE ESTUDIO'!$XFD$41,"",IF(AE106="","",AC106&amp;K106&amp;L106&amp;M106))</f>
        <v/>
      </c>
      <c r="AE106" s="261" t="str">
        <f>IF(J106='PLAN DE ESTUDIO'!$XFD$41,"",IF(AF106=1,K106&amp;L106&amp;M106,""))</f>
        <v/>
      </c>
      <c r="AF106" s="261">
        <f>COUNTIF($O$1:O106,$O106)</f>
        <v>105</v>
      </c>
      <c r="AG106" s="285" t="str">
        <f>IF(J106='PLAN DE ESTUDIO'!$XFD$41,"",IF(P106="TP","Teórico-Práctica",IF(P106="T","Teórico",IF(P106="P","Práctica",""))))</f>
        <v/>
      </c>
      <c r="AH106" s="234" t="str">
        <f t="shared" si="3"/>
        <v xml:space="preserve"> </v>
      </c>
    </row>
    <row r="107" spans="10:34" x14ac:dyDescent="0.3">
      <c r="J107" s="412"/>
      <c r="K107" s="281" t="str">
        <f>IF($B$3="","",IF($B$3="PREGRADO",DATA!Q108,""))</f>
        <v/>
      </c>
      <c r="L107" s="281" t="str">
        <f>IF($B$3="","",IF($B$3="PREGRADO",DATA!R108,""))</f>
        <v/>
      </c>
      <c r="M107" s="281" t="str">
        <f>IF($B$3="","",IF($B$3="PREGRADO",DATA!S108,""))</f>
        <v/>
      </c>
      <c r="N107" s="412"/>
      <c r="O107" s="281" t="str">
        <f>IF($B$3="","",IF($B$3="PREGRADO",DATA!T108,""))</f>
        <v/>
      </c>
      <c r="P107" s="281" t="str">
        <f>IF($B$3="","",IF($B$3="PREGRADO",DATA!U108,""))</f>
        <v/>
      </c>
      <c r="Q107" s="412"/>
      <c r="R107" s="425"/>
      <c r="S107" s="281" t="str">
        <f>IF($B$3="","",IF($B$3="PREGRADO",DATA!W108,""))</f>
        <v/>
      </c>
      <c r="T107" s="283" t="str" cm="1">
        <f t="array" ref="T107">IF($B$9="","",_xlfn.IFS($B$9="PRESENCIAL",_xlfn.XLOOKUP($S107,DATA!$B$4:$B$8,DATA!$D$4:$D$8,"",0,),$B$9="VIRTUAL",_xlfn.XLOOKUP($S107,DATA!$G$4:$G$8,DATA!$I$4:$I$8,"",0),$B$9="DISTANCIA",_xlfn.XLOOKUP($S107,DATA!$L$4:$L$8,DATA!$N$4:$N$8,"",0)))</f>
        <v/>
      </c>
      <c r="U107" s="283" t="str" cm="1">
        <f t="array" ref="U107">IF($B$9="","",_xlfn.IFS($B$9="PRESENCIAL",_xlfn.XLOOKUP($S107,DATA!$B$4:$B$8,DATA!$E$4:$E$8,"",0,),$B$9="VIRTUAL",_xlfn.XLOOKUP($S107,DATA!$G$4:$G$8,DATA!$J$4:$J$8,"",0),$B$9="DISTANCIA",_xlfn.XLOOKUP($S107,DATA!$L$4:$L$8,DATA!$O$4:$O$8,"",0)))</f>
        <v/>
      </c>
      <c r="V107" s="261" t="str">
        <f t="shared" si="2"/>
        <v/>
      </c>
      <c r="W107" s="282"/>
      <c r="X107" s="282"/>
      <c r="Y107" s="282"/>
      <c r="Z107" s="282"/>
      <c r="AA107" s="282"/>
      <c r="AB107" s="284"/>
      <c r="AC107" s="262" t="str">
        <f>IF(AE107="","",COUNTIF($AE$1:AE107,AE107))</f>
        <v/>
      </c>
      <c r="AD107" s="261" t="str">
        <f>IF(J107='PLAN DE ESTUDIO'!$XFD$41,"",IF(AE107="","",AC107&amp;K107&amp;L107&amp;M107))</f>
        <v/>
      </c>
      <c r="AE107" s="261" t="str">
        <f>IF(J107='PLAN DE ESTUDIO'!$XFD$41,"",IF(AF107=1,K107&amp;L107&amp;M107,""))</f>
        <v/>
      </c>
      <c r="AF107" s="261">
        <f>COUNTIF($O$1:O107,$O107)</f>
        <v>106</v>
      </c>
      <c r="AG107" s="285" t="str">
        <f>IF(J107='PLAN DE ESTUDIO'!$XFD$41,"",IF(P107="TP","Teórico-Práctica",IF(P107="T","Teórico",IF(P107="P","Práctica",""))))</f>
        <v/>
      </c>
      <c r="AH107" s="234" t="str">
        <f t="shared" si="3"/>
        <v xml:space="preserve"> </v>
      </c>
    </row>
    <row r="108" spans="10:34" x14ac:dyDescent="0.3">
      <c r="J108" s="412"/>
      <c r="K108" s="281" t="str">
        <f>IF($B$3="","",IF($B$3="PREGRADO",DATA!Q109,""))</f>
        <v/>
      </c>
      <c r="L108" s="281" t="str">
        <f>IF($B$3="","",IF($B$3="PREGRADO",DATA!R109,""))</f>
        <v/>
      </c>
      <c r="M108" s="281" t="str">
        <f>IF($B$3="","",IF($B$3="PREGRADO",DATA!S109,""))</f>
        <v/>
      </c>
      <c r="N108" s="412"/>
      <c r="O108" s="281" t="str">
        <f>IF($B$3="","",IF($B$3="PREGRADO",DATA!T109,""))</f>
        <v/>
      </c>
      <c r="P108" s="281" t="str">
        <f>IF($B$3="","",IF($B$3="PREGRADO",DATA!U109,""))</f>
        <v/>
      </c>
      <c r="Q108" s="412"/>
      <c r="R108" s="425"/>
      <c r="S108" s="281" t="str">
        <f>IF($B$3="","",IF($B$3="PREGRADO",DATA!W109,""))</f>
        <v/>
      </c>
      <c r="T108" s="283" t="str" cm="1">
        <f t="array" ref="T108">IF($B$9="","",_xlfn.IFS($B$9="PRESENCIAL",_xlfn.XLOOKUP($S108,DATA!$B$4:$B$8,DATA!$D$4:$D$8,"",0,),$B$9="VIRTUAL",_xlfn.XLOOKUP($S108,DATA!$G$4:$G$8,DATA!$I$4:$I$8,"",0),$B$9="DISTANCIA",_xlfn.XLOOKUP($S108,DATA!$L$4:$L$8,DATA!$N$4:$N$8,"",0)))</f>
        <v/>
      </c>
      <c r="U108" s="283" t="str" cm="1">
        <f t="array" ref="U108">IF($B$9="","",_xlfn.IFS($B$9="PRESENCIAL",_xlfn.XLOOKUP($S108,DATA!$B$4:$B$8,DATA!$E$4:$E$8,"",0,),$B$9="VIRTUAL",_xlfn.XLOOKUP($S108,DATA!$G$4:$G$8,DATA!$J$4:$J$8,"",0),$B$9="DISTANCIA",_xlfn.XLOOKUP($S108,DATA!$L$4:$L$8,DATA!$O$4:$O$8,"",0)))</f>
        <v/>
      </c>
      <c r="V108" s="261" t="str">
        <f t="shared" si="2"/>
        <v/>
      </c>
      <c r="W108" s="282"/>
      <c r="X108" s="282"/>
      <c r="Y108" s="282"/>
      <c r="Z108" s="282"/>
      <c r="AA108" s="282"/>
      <c r="AB108" s="284"/>
      <c r="AC108" s="262" t="str">
        <f>IF(AE108="","",COUNTIF($AE$1:AE108,AE108))</f>
        <v/>
      </c>
      <c r="AD108" s="261" t="str">
        <f>IF(J108='PLAN DE ESTUDIO'!$XFD$41,"",IF(AE108="","",AC108&amp;K108&amp;L108&amp;M108))</f>
        <v/>
      </c>
      <c r="AE108" s="261" t="str">
        <f>IF(J108='PLAN DE ESTUDIO'!$XFD$41,"",IF(AF108=1,K108&amp;L108&amp;M108,""))</f>
        <v/>
      </c>
      <c r="AF108" s="261">
        <f>COUNTIF($O$1:O108,$O108)</f>
        <v>107</v>
      </c>
      <c r="AG108" s="285" t="str">
        <f>IF(J108='PLAN DE ESTUDIO'!$XFD$41,"",IF(P108="TP","Teórico-Práctica",IF(P108="T","Teórico",IF(P108="P","Práctica",""))))</f>
        <v/>
      </c>
      <c r="AH108" s="234" t="str">
        <f t="shared" si="3"/>
        <v xml:space="preserve"> </v>
      </c>
    </row>
    <row r="109" spans="10:34" x14ac:dyDescent="0.3">
      <c r="J109" s="412"/>
      <c r="K109" s="281" t="str">
        <f>IF($B$3="","",IF($B$3="PREGRADO",DATA!Q110,""))</f>
        <v/>
      </c>
      <c r="L109" s="281" t="str">
        <f>IF($B$3="","",IF($B$3="PREGRADO",DATA!R110,""))</f>
        <v/>
      </c>
      <c r="M109" s="281" t="str">
        <f>IF($B$3="","",IF($B$3="PREGRADO",DATA!S110,""))</f>
        <v/>
      </c>
      <c r="N109" s="412"/>
      <c r="O109" s="281" t="str">
        <f>IF($B$3="","",IF($B$3="PREGRADO",DATA!T110,""))</f>
        <v/>
      </c>
      <c r="P109" s="281" t="str">
        <f>IF($B$3="","",IF($B$3="PREGRADO",DATA!U110,""))</f>
        <v/>
      </c>
      <c r="Q109" s="412"/>
      <c r="R109" s="425"/>
      <c r="S109" s="281" t="str">
        <f>IF($B$3="","",IF($B$3="PREGRADO",DATA!W110,""))</f>
        <v/>
      </c>
      <c r="T109" s="283" t="str" cm="1">
        <f t="array" ref="T109">IF($B$9="","",_xlfn.IFS($B$9="PRESENCIAL",_xlfn.XLOOKUP($S109,DATA!$B$4:$B$8,DATA!$D$4:$D$8,"",0,),$B$9="VIRTUAL",_xlfn.XLOOKUP($S109,DATA!$G$4:$G$8,DATA!$I$4:$I$8,"",0),$B$9="DISTANCIA",_xlfn.XLOOKUP($S109,DATA!$L$4:$L$8,DATA!$N$4:$N$8,"",0)))</f>
        <v/>
      </c>
      <c r="U109" s="283" t="str" cm="1">
        <f t="array" ref="U109">IF($B$9="","",_xlfn.IFS($B$9="PRESENCIAL",_xlfn.XLOOKUP($S109,DATA!$B$4:$B$8,DATA!$E$4:$E$8,"",0,),$B$9="VIRTUAL",_xlfn.XLOOKUP($S109,DATA!$G$4:$G$8,DATA!$J$4:$J$8,"",0),$B$9="DISTANCIA",_xlfn.XLOOKUP($S109,DATA!$L$4:$L$8,DATA!$O$4:$O$8,"",0)))</f>
        <v/>
      </c>
      <c r="V109" s="261" t="str">
        <f t="shared" si="2"/>
        <v/>
      </c>
      <c r="W109" s="282"/>
      <c r="X109" s="282"/>
      <c r="Y109" s="282"/>
      <c r="Z109" s="282"/>
      <c r="AA109" s="282"/>
      <c r="AB109" s="284"/>
      <c r="AC109" s="262" t="str">
        <f>IF(AE109="","",COUNTIF($AE$1:AE109,AE109))</f>
        <v/>
      </c>
      <c r="AD109" s="261" t="str">
        <f>IF(J109='PLAN DE ESTUDIO'!$XFD$41,"",IF(AE109="","",AC109&amp;K109&amp;L109&amp;M109))</f>
        <v/>
      </c>
      <c r="AE109" s="261" t="str">
        <f>IF(J109='PLAN DE ESTUDIO'!$XFD$41,"",IF(AF109=1,K109&amp;L109&amp;M109,""))</f>
        <v/>
      </c>
      <c r="AF109" s="261">
        <f>COUNTIF($O$1:O109,$O109)</f>
        <v>108</v>
      </c>
      <c r="AG109" s="285" t="str">
        <f>IF(J109='PLAN DE ESTUDIO'!$XFD$41,"",IF(P109="TP","Teórico-Práctica",IF(P109="T","Teórico",IF(P109="P","Práctica",""))))</f>
        <v/>
      </c>
      <c r="AH109" s="234" t="str">
        <f t="shared" si="3"/>
        <v xml:space="preserve"> </v>
      </c>
    </row>
    <row r="110" spans="10:34" x14ac:dyDescent="0.3">
      <c r="J110" s="412"/>
      <c r="K110" s="281" t="str">
        <f>IF($B$3="","",IF($B$3="PREGRADO",DATA!Q111,""))</f>
        <v/>
      </c>
      <c r="L110" s="281" t="str">
        <f>IF($B$3="","",IF($B$3="PREGRADO",DATA!R111,""))</f>
        <v/>
      </c>
      <c r="M110" s="281" t="str">
        <f>IF($B$3="","",IF($B$3="PREGRADO",DATA!S111,""))</f>
        <v/>
      </c>
      <c r="N110" s="412"/>
      <c r="O110" s="281" t="str">
        <f>IF($B$3="","",IF($B$3="PREGRADO",DATA!T111,""))</f>
        <v/>
      </c>
      <c r="P110" s="281" t="str">
        <f>IF($B$3="","",IF($B$3="PREGRADO",DATA!U111,""))</f>
        <v/>
      </c>
      <c r="Q110" s="412"/>
      <c r="R110" s="425"/>
      <c r="S110" s="281" t="str">
        <f>IF($B$3="","",IF($B$3="PREGRADO",DATA!W111,""))</f>
        <v/>
      </c>
      <c r="T110" s="283" t="str" cm="1">
        <f t="array" ref="T110">IF($B$9="","",_xlfn.IFS($B$9="PRESENCIAL",_xlfn.XLOOKUP($S110,DATA!$B$4:$B$8,DATA!$D$4:$D$8,"",0,),$B$9="VIRTUAL",_xlfn.XLOOKUP($S110,DATA!$G$4:$G$8,DATA!$I$4:$I$8,"",0),$B$9="DISTANCIA",_xlfn.XLOOKUP($S110,DATA!$L$4:$L$8,DATA!$N$4:$N$8,"",0)))</f>
        <v/>
      </c>
      <c r="U110" s="283" t="str" cm="1">
        <f t="array" ref="U110">IF($B$9="","",_xlfn.IFS($B$9="PRESENCIAL",_xlfn.XLOOKUP($S110,DATA!$B$4:$B$8,DATA!$E$4:$E$8,"",0,),$B$9="VIRTUAL",_xlfn.XLOOKUP($S110,DATA!$G$4:$G$8,DATA!$J$4:$J$8,"",0),$B$9="DISTANCIA",_xlfn.XLOOKUP($S110,DATA!$L$4:$L$8,DATA!$O$4:$O$8,"",0)))</f>
        <v/>
      </c>
      <c r="V110" s="261" t="str">
        <f t="shared" si="2"/>
        <v/>
      </c>
      <c r="W110" s="282"/>
      <c r="X110" s="282"/>
      <c r="Y110" s="282"/>
      <c r="Z110" s="282"/>
      <c r="AA110" s="282"/>
      <c r="AB110" s="284"/>
      <c r="AC110" s="262" t="str">
        <f>IF(AE110="","",COUNTIF($AE$1:AE110,AE110))</f>
        <v/>
      </c>
      <c r="AD110" s="261" t="str">
        <f>IF(J110='PLAN DE ESTUDIO'!$XFD$41,"",IF(AE110="","",AC110&amp;K110&amp;L110&amp;M110))</f>
        <v/>
      </c>
      <c r="AE110" s="261" t="str">
        <f>IF(J110='PLAN DE ESTUDIO'!$XFD$41,"",IF(AF110=1,K110&amp;L110&amp;M110,""))</f>
        <v/>
      </c>
      <c r="AF110" s="261">
        <f>COUNTIF($O$1:O110,$O110)</f>
        <v>109</v>
      </c>
      <c r="AG110" s="285" t="str">
        <f>IF(J110='PLAN DE ESTUDIO'!$XFD$41,"",IF(P110="TP","Teórico-Práctica",IF(P110="T","Teórico",IF(P110="P","Práctica",""))))</f>
        <v/>
      </c>
      <c r="AH110" s="234" t="str">
        <f t="shared" si="3"/>
        <v xml:space="preserve"> </v>
      </c>
    </row>
    <row r="111" spans="10:34" x14ac:dyDescent="0.3">
      <c r="J111" s="412"/>
      <c r="K111" s="281" t="str">
        <f>IF($B$3="","",IF($B$3="PREGRADO",DATA!Q112,""))</f>
        <v/>
      </c>
      <c r="L111" s="281" t="str">
        <f>IF($B$3="","",IF($B$3="PREGRADO",DATA!R112,""))</f>
        <v/>
      </c>
      <c r="M111" s="281" t="str">
        <f>IF($B$3="","",IF($B$3="PREGRADO",DATA!S112,""))</f>
        <v/>
      </c>
      <c r="N111" s="412"/>
      <c r="O111" s="281" t="str">
        <f>IF($B$3="","",IF($B$3="PREGRADO",DATA!T112,""))</f>
        <v/>
      </c>
      <c r="P111" s="281" t="str">
        <f>IF($B$3="","",IF($B$3="PREGRADO",DATA!U112,""))</f>
        <v/>
      </c>
      <c r="Q111" s="412"/>
      <c r="R111" s="425"/>
      <c r="S111" s="281" t="str">
        <f>IF($B$3="","",IF($B$3="PREGRADO",DATA!W112,""))</f>
        <v/>
      </c>
      <c r="T111" s="283" t="str" cm="1">
        <f t="array" ref="T111">IF($B$9="","",_xlfn.IFS($B$9="PRESENCIAL",_xlfn.XLOOKUP($S111,DATA!$B$4:$B$8,DATA!$D$4:$D$8,"",0,),$B$9="VIRTUAL",_xlfn.XLOOKUP($S111,DATA!$G$4:$G$8,DATA!$I$4:$I$8,"",0),$B$9="DISTANCIA",_xlfn.XLOOKUP($S111,DATA!$L$4:$L$8,DATA!$N$4:$N$8,"",0)))</f>
        <v/>
      </c>
      <c r="U111" s="283" t="str" cm="1">
        <f t="array" ref="U111">IF($B$9="","",_xlfn.IFS($B$9="PRESENCIAL",_xlfn.XLOOKUP($S111,DATA!$B$4:$B$8,DATA!$E$4:$E$8,"",0,),$B$9="VIRTUAL",_xlfn.XLOOKUP($S111,DATA!$G$4:$G$8,DATA!$J$4:$J$8,"",0),$B$9="DISTANCIA",_xlfn.XLOOKUP($S111,DATA!$L$4:$L$8,DATA!$O$4:$O$8,"",0)))</f>
        <v/>
      </c>
      <c r="V111" s="261" t="str">
        <f t="shared" si="2"/>
        <v/>
      </c>
      <c r="W111" s="282"/>
      <c r="X111" s="282"/>
      <c r="Y111" s="282"/>
      <c r="Z111" s="282"/>
      <c r="AA111" s="282"/>
      <c r="AB111" s="284"/>
      <c r="AC111" s="262" t="str">
        <f>IF(AE111="","",COUNTIF($AE$1:AE111,AE111))</f>
        <v/>
      </c>
      <c r="AD111" s="261" t="str">
        <f>IF(J111='PLAN DE ESTUDIO'!$XFD$41,"",IF(AE111="","",AC111&amp;K111&amp;L111&amp;M111))</f>
        <v/>
      </c>
      <c r="AE111" s="261" t="str">
        <f>IF(J111='PLAN DE ESTUDIO'!$XFD$41,"",IF(AF111=1,K111&amp;L111&amp;M111,""))</f>
        <v/>
      </c>
      <c r="AF111" s="261">
        <f>COUNTIF($O$1:O111,$O111)</f>
        <v>110</v>
      </c>
      <c r="AG111" s="285" t="str">
        <f>IF(J111='PLAN DE ESTUDIO'!$XFD$41,"",IF(P111="TP","Teórico-Práctica",IF(P111="T","Teórico",IF(P111="P","Práctica",""))))</f>
        <v/>
      </c>
      <c r="AH111" s="234" t="str">
        <f t="shared" si="3"/>
        <v xml:space="preserve"> </v>
      </c>
    </row>
    <row r="112" spans="10:34" x14ac:dyDescent="0.3">
      <c r="J112" s="412"/>
      <c r="K112" s="281" t="str">
        <f>IF($B$3="","",IF($B$3="PREGRADO",DATA!Q113,""))</f>
        <v/>
      </c>
      <c r="L112" s="281" t="str">
        <f>IF($B$3="","",IF($B$3="PREGRADO",DATA!R113,""))</f>
        <v/>
      </c>
      <c r="M112" s="281" t="str">
        <f>IF($B$3="","",IF($B$3="PREGRADO",DATA!S113,""))</f>
        <v/>
      </c>
      <c r="N112" s="412"/>
      <c r="O112" s="281" t="str">
        <f>IF($B$3="","",IF($B$3="PREGRADO",DATA!T113,""))</f>
        <v/>
      </c>
      <c r="P112" s="281" t="str">
        <f>IF($B$3="","",IF($B$3="PREGRADO",DATA!U113,""))</f>
        <v/>
      </c>
      <c r="Q112" s="412"/>
      <c r="R112" s="425"/>
      <c r="S112" s="281" t="str">
        <f>IF($B$3="","",IF($B$3="PREGRADO",DATA!W113,""))</f>
        <v/>
      </c>
      <c r="T112" s="283" t="str" cm="1">
        <f t="array" ref="T112">IF($B$9="","",_xlfn.IFS($B$9="PRESENCIAL",_xlfn.XLOOKUP($S112,DATA!$B$4:$B$8,DATA!$D$4:$D$8,"",0,),$B$9="VIRTUAL",_xlfn.XLOOKUP($S112,DATA!$G$4:$G$8,DATA!$I$4:$I$8,"",0),$B$9="DISTANCIA",_xlfn.XLOOKUP($S112,DATA!$L$4:$L$8,DATA!$N$4:$N$8,"",0)))</f>
        <v/>
      </c>
      <c r="U112" s="283" t="str" cm="1">
        <f t="array" ref="U112">IF($B$9="","",_xlfn.IFS($B$9="PRESENCIAL",_xlfn.XLOOKUP($S112,DATA!$B$4:$B$8,DATA!$E$4:$E$8,"",0,),$B$9="VIRTUAL",_xlfn.XLOOKUP($S112,DATA!$G$4:$G$8,DATA!$J$4:$J$8,"",0),$B$9="DISTANCIA",_xlfn.XLOOKUP($S112,DATA!$L$4:$L$8,DATA!$O$4:$O$8,"",0)))</f>
        <v/>
      </c>
      <c r="V112" s="261" t="str">
        <f t="shared" si="2"/>
        <v/>
      </c>
      <c r="W112" s="282"/>
      <c r="X112" s="282"/>
      <c r="Y112" s="282"/>
      <c r="Z112" s="282"/>
      <c r="AA112" s="282"/>
      <c r="AB112" s="284"/>
      <c r="AC112" s="262" t="str">
        <f>IF(AE112="","",COUNTIF($AE$1:AE112,AE112))</f>
        <v/>
      </c>
      <c r="AD112" s="261" t="str">
        <f>IF(J112='PLAN DE ESTUDIO'!$XFD$41,"",IF(AE112="","",AC112&amp;K112&amp;L112&amp;M112))</f>
        <v/>
      </c>
      <c r="AE112" s="261" t="str">
        <f>IF(J112='PLAN DE ESTUDIO'!$XFD$41,"",IF(AF112=1,K112&amp;L112&amp;M112,""))</f>
        <v/>
      </c>
      <c r="AF112" s="261">
        <f>COUNTIF($O$1:O112,$O112)</f>
        <v>111</v>
      </c>
      <c r="AG112" s="285" t="str">
        <f>IF(J112='PLAN DE ESTUDIO'!$XFD$41,"",IF(P112="TP","Teórico-Práctica",IF(P112="T","Teórico",IF(P112="P","Práctica",""))))</f>
        <v/>
      </c>
      <c r="AH112" s="234" t="str">
        <f t="shared" si="3"/>
        <v xml:space="preserve"> </v>
      </c>
    </row>
    <row r="113" spans="10:34" x14ac:dyDescent="0.3">
      <c r="J113" s="412"/>
      <c r="K113" s="281" t="str">
        <f>IF($B$3="","",IF($B$3="PREGRADO",DATA!Q114,""))</f>
        <v/>
      </c>
      <c r="L113" s="281" t="str">
        <f>IF($B$3="","",IF($B$3="PREGRADO",DATA!R114,""))</f>
        <v/>
      </c>
      <c r="M113" s="281" t="str">
        <f>IF($B$3="","",IF($B$3="PREGRADO",DATA!S114,""))</f>
        <v/>
      </c>
      <c r="N113" s="412"/>
      <c r="O113" s="281" t="str">
        <f>IF($B$3="","",IF($B$3="PREGRADO",DATA!T114,""))</f>
        <v/>
      </c>
      <c r="P113" s="281" t="str">
        <f>IF($B$3="","",IF($B$3="PREGRADO",DATA!U114,""))</f>
        <v/>
      </c>
      <c r="Q113" s="412"/>
      <c r="R113" s="425"/>
      <c r="S113" s="281" t="str">
        <f>IF($B$3="","",IF($B$3="PREGRADO",DATA!W114,""))</f>
        <v/>
      </c>
      <c r="T113" s="283" t="str" cm="1">
        <f t="array" ref="T113">IF($B$9="","",_xlfn.IFS($B$9="PRESENCIAL",_xlfn.XLOOKUP($S113,DATA!$B$4:$B$8,DATA!$D$4:$D$8,"",0,),$B$9="VIRTUAL",_xlfn.XLOOKUP($S113,DATA!$G$4:$G$8,DATA!$I$4:$I$8,"",0),$B$9="DISTANCIA",_xlfn.XLOOKUP($S113,DATA!$L$4:$L$8,DATA!$N$4:$N$8,"",0)))</f>
        <v/>
      </c>
      <c r="U113" s="283" t="str" cm="1">
        <f t="array" ref="U113">IF($B$9="","",_xlfn.IFS($B$9="PRESENCIAL",_xlfn.XLOOKUP($S113,DATA!$B$4:$B$8,DATA!$E$4:$E$8,"",0,),$B$9="VIRTUAL",_xlfn.XLOOKUP($S113,DATA!$G$4:$G$8,DATA!$J$4:$J$8,"",0),$B$9="DISTANCIA",_xlfn.XLOOKUP($S113,DATA!$L$4:$L$8,DATA!$O$4:$O$8,"",0)))</f>
        <v/>
      </c>
      <c r="V113" s="261" t="str">
        <f t="shared" si="2"/>
        <v/>
      </c>
      <c r="W113" s="282"/>
      <c r="X113" s="282"/>
      <c r="Y113" s="282"/>
      <c r="Z113" s="282"/>
      <c r="AA113" s="282"/>
      <c r="AB113" s="284"/>
      <c r="AC113" s="262" t="str">
        <f>IF(AE113="","",COUNTIF($AE$1:AE113,AE113))</f>
        <v/>
      </c>
      <c r="AD113" s="261" t="str">
        <f>IF(J113='PLAN DE ESTUDIO'!$XFD$41,"",IF(AE113="","",AC113&amp;K113&amp;L113&amp;M113))</f>
        <v/>
      </c>
      <c r="AE113" s="261" t="str">
        <f>IF(J113='PLAN DE ESTUDIO'!$XFD$41,"",IF(AF113=1,K113&amp;L113&amp;M113,""))</f>
        <v/>
      </c>
      <c r="AF113" s="261">
        <f>COUNTIF($O$1:O113,$O113)</f>
        <v>112</v>
      </c>
      <c r="AG113" s="285" t="str">
        <f>IF(J113='PLAN DE ESTUDIO'!$XFD$41,"",IF(P113="TP","Teórico-Práctica",IF(P113="T","Teórico",IF(P113="P","Práctica",""))))</f>
        <v/>
      </c>
      <c r="AH113" s="234" t="str">
        <f t="shared" si="3"/>
        <v xml:space="preserve"> </v>
      </c>
    </row>
    <row r="114" spans="10:34" x14ac:dyDescent="0.3">
      <c r="J114" s="412"/>
      <c r="K114" s="281" t="str">
        <f>IF($B$3="","",IF($B$3="PREGRADO",DATA!Q115,""))</f>
        <v/>
      </c>
      <c r="L114" s="281" t="str">
        <f>IF($B$3="","",IF($B$3="PREGRADO",DATA!R115,""))</f>
        <v/>
      </c>
      <c r="M114" s="281" t="str">
        <f>IF($B$3="","",IF($B$3="PREGRADO",DATA!S115,""))</f>
        <v/>
      </c>
      <c r="N114" s="412"/>
      <c r="O114" s="281" t="str">
        <f>IF($B$3="","",IF($B$3="PREGRADO",DATA!T115,""))</f>
        <v/>
      </c>
      <c r="P114" s="281" t="str">
        <f>IF($B$3="","",IF($B$3="PREGRADO",DATA!U115,""))</f>
        <v/>
      </c>
      <c r="Q114" s="412"/>
      <c r="R114" s="425"/>
      <c r="S114" s="281" t="str">
        <f>IF($B$3="","",IF($B$3="PREGRADO",DATA!W115,""))</f>
        <v/>
      </c>
      <c r="T114" s="283" t="str" cm="1">
        <f t="array" ref="T114">IF($B$9="","",_xlfn.IFS($B$9="PRESENCIAL",_xlfn.XLOOKUP($S114,DATA!$B$4:$B$8,DATA!$D$4:$D$8,"",0,),$B$9="VIRTUAL",_xlfn.XLOOKUP($S114,DATA!$G$4:$G$8,DATA!$I$4:$I$8,"",0),$B$9="DISTANCIA",_xlfn.XLOOKUP($S114,DATA!$L$4:$L$8,DATA!$N$4:$N$8,"",0)))</f>
        <v/>
      </c>
      <c r="U114" s="283" t="str" cm="1">
        <f t="array" ref="U114">IF($B$9="","",_xlfn.IFS($B$9="PRESENCIAL",_xlfn.XLOOKUP($S114,DATA!$B$4:$B$8,DATA!$E$4:$E$8,"",0,),$B$9="VIRTUAL",_xlfn.XLOOKUP($S114,DATA!$G$4:$G$8,DATA!$J$4:$J$8,"",0),$B$9="DISTANCIA",_xlfn.XLOOKUP($S114,DATA!$L$4:$L$8,DATA!$O$4:$O$8,"",0)))</f>
        <v/>
      </c>
      <c r="V114" s="261" t="str">
        <f t="shared" si="2"/>
        <v/>
      </c>
      <c r="W114" s="282"/>
      <c r="X114" s="282"/>
      <c r="Y114" s="282"/>
      <c r="Z114" s="282"/>
      <c r="AA114" s="282"/>
      <c r="AB114" s="284"/>
      <c r="AC114" s="262" t="str">
        <f>IF(AE114="","",COUNTIF($AE$1:AE114,AE114))</f>
        <v/>
      </c>
      <c r="AD114" s="261" t="str">
        <f>IF(J114='PLAN DE ESTUDIO'!$XFD$41,"",IF(AE114="","",AC114&amp;K114&amp;L114&amp;M114))</f>
        <v/>
      </c>
      <c r="AE114" s="261" t="str">
        <f>IF(J114='PLAN DE ESTUDIO'!$XFD$41,"",IF(AF114=1,K114&amp;L114&amp;M114,""))</f>
        <v/>
      </c>
      <c r="AF114" s="261">
        <f>COUNTIF($O$1:O114,$O114)</f>
        <v>113</v>
      </c>
      <c r="AG114" s="285" t="str">
        <f>IF(J114='PLAN DE ESTUDIO'!$XFD$41,"",IF(P114="TP","Teórico-Práctica",IF(P114="T","Teórico",IF(P114="P","Práctica",""))))</f>
        <v/>
      </c>
      <c r="AH114" s="234" t="str">
        <f t="shared" si="3"/>
        <v xml:space="preserve"> </v>
      </c>
    </row>
    <row r="115" spans="10:34" x14ac:dyDescent="0.3">
      <c r="J115" s="412"/>
      <c r="K115" s="281" t="str">
        <f>IF($B$3="","",IF($B$3="PREGRADO",DATA!Q116,""))</f>
        <v/>
      </c>
      <c r="L115" s="281" t="str">
        <f>IF($B$3="","",IF($B$3="PREGRADO",DATA!R116,""))</f>
        <v/>
      </c>
      <c r="M115" s="281" t="str">
        <f>IF($B$3="","",IF($B$3="PREGRADO",DATA!S116,""))</f>
        <v/>
      </c>
      <c r="N115" s="412"/>
      <c r="O115" s="281" t="str">
        <f>IF($B$3="","",IF($B$3="PREGRADO",DATA!T116,""))</f>
        <v/>
      </c>
      <c r="P115" s="281" t="str">
        <f>IF($B$3="","",IF($B$3="PREGRADO",DATA!U116,""))</f>
        <v/>
      </c>
      <c r="Q115" s="412"/>
      <c r="R115" s="425"/>
      <c r="S115" s="281" t="str">
        <f>IF($B$3="","",IF($B$3="PREGRADO",DATA!W116,""))</f>
        <v/>
      </c>
      <c r="T115" s="283" t="str" cm="1">
        <f t="array" ref="T115">IF($B$9="","",_xlfn.IFS($B$9="PRESENCIAL",_xlfn.XLOOKUP($S115,DATA!$B$4:$B$8,DATA!$D$4:$D$8,"",0,),$B$9="VIRTUAL",_xlfn.XLOOKUP($S115,DATA!$G$4:$G$8,DATA!$I$4:$I$8,"",0),$B$9="DISTANCIA",_xlfn.XLOOKUP($S115,DATA!$L$4:$L$8,DATA!$N$4:$N$8,"",0)))</f>
        <v/>
      </c>
      <c r="U115" s="283" t="str" cm="1">
        <f t="array" ref="U115">IF($B$9="","",_xlfn.IFS($B$9="PRESENCIAL",_xlfn.XLOOKUP($S115,DATA!$B$4:$B$8,DATA!$E$4:$E$8,"",0,),$B$9="VIRTUAL",_xlfn.XLOOKUP($S115,DATA!$G$4:$G$8,DATA!$J$4:$J$8,"",0),$B$9="DISTANCIA",_xlfn.XLOOKUP($S115,DATA!$L$4:$L$8,DATA!$O$4:$O$8,"",0)))</f>
        <v/>
      </c>
      <c r="V115" s="261" t="str">
        <f t="shared" si="2"/>
        <v/>
      </c>
      <c r="W115" s="282"/>
      <c r="X115" s="282"/>
      <c r="Y115" s="282"/>
      <c r="Z115" s="282"/>
      <c r="AA115" s="282"/>
      <c r="AB115" s="284"/>
      <c r="AC115" s="262" t="str">
        <f>IF(AE115="","",COUNTIF($AE$1:AE115,AE115))</f>
        <v/>
      </c>
      <c r="AD115" s="261" t="str">
        <f>IF(J115='PLAN DE ESTUDIO'!$XFD$41,"",IF(AE115="","",AC115&amp;K115&amp;L115&amp;M115))</f>
        <v/>
      </c>
      <c r="AE115" s="261" t="str">
        <f>IF(J115='PLAN DE ESTUDIO'!$XFD$41,"",IF(AF115=1,K115&amp;L115&amp;M115,""))</f>
        <v/>
      </c>
      <c r="AF115" s="261">
        <f>COUNTIF($O$1:O115,$O115)</f>
        <v>114</v>
      </c>
      <c r="AG115" s="285" t="str">
        <f>IF(J115='PLAN DE ESTUDIO'!$XFD$41,"",IF(P115="TP","Teórico-Práctica",IF(P115="T","Teórico",IF(P115="P","Práctica",""))))</f>
        <v/>
      </c>
      <c r="AH115" s="234" t="str">
        <f t="shared" si="3"/>
        <v xml:space="preserve"> </v>
      </c>
    </row>
    <row r="116" spans="10:34" x14ac:dyDescent="0.3">
      <c r="J116" s="412"/>
      <c r="K116" s="281" t="str">
        <f>IF($B$3="","",IF($B$3="PREGRADO",DATA!Q117,""))</f>
        <v/>
      </c>
      <c r="L116" s="281" t="str">
        <f>IF($B$3="","",IF($B$3="PREGRADO",DATA!R117,""))</f>
        <v/>
      </c>
      <c r="M116" s="281" t="str">
        <f>IF($B$3="","",IF($B$3="PREGRADO",DATA!S117,""))</f>
        <v/>
      </c>
      <c r="N116" s="412"/>
      <c r="O116" s="281" t="str">
        <f>IF($B$3="","",IF($B$3="PREGRADO",DATA!T117,""))</f>
        <v/>
      </c>
      <c r="P116" s="281" t="str">
        <f>IF($B$3="","",IF($B$3="PREGRADO",DATA!U117,""))</f>
        <v/>
      </c>
      <c r="Q116" s="412"/>
      <c r="R116" s="425"/>
      <c r="S116" s="281" t="str">
        <f>IF($B$3="","",IF($B$3="PREGRADO",DATA!W117,""))</f>
        <v/>
      </c>
      <c r="T116" s="283" t="str" cm="1">
        <f t="array" ref="T116">IF($B$9="","",_xlfn.IFS($B$9="PRESENCIAL",_xlfn.XLOOKUP($S116,DATA!$B$4:$B$8,DATA!$D$4:$D$8,"",0,),$B$9="VIRTUAL",_xlfn.XLOOKUP($S116,DATA!$G$4:$G$8,DATA!$I$4:$I$8,"",0),$B$9="DISTANCIA",_xlfn.XLOOKUP($S116,DATA!$L$4:$L$8,DATA!$N$4:$N$8,"",0)))</f>
        <v/>
      </c>
      <c r="U116" s="283" t="str" cm="1">
        <f t="array" ref="U116">IF($B$9="","",_xlfn.IFS($B$9="PRESENCIAL",_xlfn.XLOOKUP($S116,DATA!$B$4:$B$8,DATA!$E$4:$E$8,"",0,),$B$9="VIRTUAL",_xlfn.XLOOKUP($S116,DATA!$G$4:$G$8,DATA!$J$4:$J$8,"",0),$B$9="DISTANCIA",_xlfn.XLOOKUP($S116,DATA!$L$4:$L$8,DATA!$O$4:$O$8,"",0)))</f>
        <v/>
      </c>
      <c r="V116" s="261" t="str">
        <f t="shared" si="2"/>
        <v/>
      </c>
      <c r="W116" s="282"/>
      <c r="X116" s="282"/>
      <c r="Y116" s="282"/>
      <c r="Z116" s="282"/>
      <c r="AA116" s="282"/>
      <c r="AB116" s="284"/>
      <c r="AC116" s="262" t="str">
        <f>IF(AE116="","",COUNTIF($AE$1:AE116,AE116))</f>
        <v/>
      </c>
      <c r="AD116" s="261" t="str">
        <f>IF(J116='PLAN DE ESTUDIO'!$XFD$41,"",IF(AE116="","",AC116&amp;K116&amp;L116&amp;M116))</f>
        <v/>
      </c>
      <c r="AE116" s="261" t="str">
        <f>IF(J116='PLAN DE ESTUDIO'!$XFD$41,"",IF(AF116=1,K116&amp;L116&amp;M116,""))</f>
        <v/>
      </c>
      <c r="AF116" s="261">
        <f>COUNTIF($O$1:O116,$O116)</f>
        <v>115</v>
      </c>
      <c r="AG116" s="285" t="str">
        <f>IF(J116='PLAN DE ESTUDIO'!$XFD$41,"",IF(P116="TP","Teórico-Práctica",IF(P116="T","Teórico",IF(P116="P","Práctica",""))))</f>
        <v/>
      </c>
      <c r="AH116" s="234" t="str">
        <f t="shared" si="3"/>
        <v xml:space="preserve"> </v>
      </c>
    </row>
    <row r="117" spans="10:34" x14ac:dyDescent="0.3">
      <c r="J117" s="412"/>
      <c r="K117" s="281" t="str">
        <f>IF($B$3="","",IF($B$3="PREGRADO",DATA!Q118,""))</f>
        <v/>
      </c>
      <c r="L117" s="281" t="str">
        <f>IF($B$3="","",IF($B$3="PREGRADO",DATA!R118,""))</f>
        <v/>
      </c>
      <c r="M117" s="281" t="str">
        <f>IF($B$3="","",IF($B$3="PREGRADO",DATA!S118,""))</f>
        <v/>
      </c>
      <c r="N117" s="412"/>
      <c r="O117" s="281" t="str">
        <f>IF($B$3="","",IF($B$3="PREGRADO",DATA!T118,""))</f>
        <v/>
      </c>
      <c r="P117" s="281" t="str">
        <f>IF($B$3="","",IF($B$3="PREGRADO",DATA!U118,""))</f>
        <v/>
      </c>
      <c r="Q117" s="412"/>
      <c r="R117" s="425"/>
      <c r="S117" s="281" t="str">
        <f>IF($B$3="","",IF($B$3="PREGRADO",DATA!W118,""))</f>
        <v/>
      </c>
      <c r="T117" s="283" t="str" cm="1">
        <f t="array" ref="T117">IF($B$9="","",_xlfn.IFS($B$9="PRESENCIAL",_xlfn.XLOOKUP($S117,DATA!$B$4:$B$8,DATA!$D$4:$D$8,"",0,),$B$9="VIRTUAL",_xlfn.XLOOKUP($S117,DATA!$G$4:$G$8,DATA!$I$4:$I$8,"",0),$B$9="DISTANCIA",_xlfn.XLOOKUP($S117,DATA!$L$4:$L$8,DATA!$N$4:$N$8,"",0)))</f>
        <v/>
      </c>
      <c r="U117" s="283" t="str" cm="1">
        <f t="array" ref="U117">IF($B$9="","",_xlfn.IFS($B$9="PRESENCIAL",_xlfn.XLOOKUP($S117,DATA!$B$4:$B$8,DATA!$E$4:$E$8,"",0,),$B$9="VIRTUAL",_xlfn.XLOOKUP($S117,DATA!$G$4:$G$8,DATA!$J$4:$J$8,"",0),$B$9="DISTANCIA",_xlfn.XLOOKUP($S117,DATA!$L$4:$L$8,DATA!$O$4:$O$8,"",0)))</f>
        <v/>
      </c>
      <c r="V117" s="261" t="str">
        <f t="shared" si="2"/>
        <v/>
      </c>
      <c r="W117" s="282"/>
      <c r="X117" s="282"/>
      <c r="Y117" s="282"/>
      <c r="Z117" s="282"/>
      <c r="AA117" s="282"/>
      <c r="AB117" s="284"/>
      <c r="AC117" s="262" t="str">
        <f>IF(AE117="","",COUNTIF($AE$1:AE117,AE117))</f>
        <v/>
      </c>
      <c r="AD117" s="261" t="str">
        <f>IF(J117='PLAN DE ESTUDIO'!$XFD$41,"",IF(AE117="","",AC117&amp;K117&amp;L117&amp;M117))</f>
        <v/>
      </c>
      <c r="AE117" s="261" t="str">
        <f>IF(J117='PLAN DE ESTUDIO'!$XFD$41,"",IF(AF117=1,K117&amp;L117&amp;M117,""))</f>
        <v/>
      </c>
      <c r="AF117" s="261">
        <f>COUNTIF($O$1:O117,$O117)</f>
        <v>116</v>
      </c>
      <c r="AG117" s="285" t="str">
        <f>IF(J117='PLAN DE ESTUDIO'!$XFD$41,"",IF(P117="TP","Teórico-Práctica",IF(P117="T","Teórico",IF(P117="P","Práctica",""))))</f>
        <v/>
      </c>
      <c r="AH117" s="234" t="str">
        <f t="shared" si="3"/>
        <v xml:space="preserve"> </v>
      </c>
    </row>
    <row r="118" spans="10:34" x14ac:dyDescent="0.3">
      <c r="J118" s="412"/>
      <c r="K118" s="281" t="str">
        <f>IF($B$3="","",IF($B$3="PREGRADO",DATA!Q119,""))</f>
        <v/>
      </c>
      <c r="L118" s="281" t="str">
        <f>IF($B$3="","",IF($B$3="PREGRADO",DATA!R119,""))</f>
        <v/>
      </c>
      <c r="M118" s="281" t="str">
        <f>IF($B$3="","",IF($B$3="PREGRADO",DATA!S119,""))</f>
        <v/>
      </c>
      <c r="N118" s="412"/>
      <c r="O118" s="281" t="str">
        <f>IF($B$3="","",IF($B$3="PREGRADO",DATA!T119,""))</f>
        <v/>
      </c>
      <c r="P118" s="281" t="str">
        <f>IF($B$3="","",IF($B$3="PREGRADO",DATA!U119,""))</f>
        <v/>
      </c>
      <c r="Q118" s="412"/>
      <c r="R118" s="425"/>
      <c r="S118" s="281" t="str">
        <f>IF($B$3="","",IF($B$3="PREGRADO",DATA!W119,""))</f>
        <v/>
      </c>
      <c r="T118" s="283" t="str" cm="1">
        <f t="array" ref="T118">IF($B$9="","",_xlfn.IFS($B$9="PRESENCIAL",_xlfn.XLOOKUP($S118,DATA!$B$4:$B$8,DATA!$D$4:$D$8,"",0,),$B$9="VIRTUAL",_xlfn.XLOOKUP($S118,DATA!$G$4:$G$8,DATA!$I$4:$I$8,"",0),$B$9="DISTANCIA",_xlfn.XLOOKUP($S118,DATA!$L$4:$L$8,DATA!$N$4:$N$8,"",0)))</f>
        <v/>
      </c>
      <c r="U118" s="283" t="str" cm="1">
        <f t="array" ref="U118">IF($B$9="","",_xlfn.IFS($B$9="PRESENCIAL",_xlfn.XLOOKUP($S118,DATA!$B$4:$B$8,DATA!$E$4:$E$8,"",0,),$B$9="VIRTUAL",_xlfn.XLOOKUP($S118,DATA!$G$4:$G$8,DATA!$J$4:$J$8,"",0),$B$9="DISTANCIA",_xlfn.XLOOKUP($S118,DATA!$L$4:$L$8,DATA!$O$4:$O$8,"",0)))</f>
        <v/>
      </c>
      <c r="V118" s="261" t="str">
        <f t="shared" si="2"/>
        <v/>
      </c>
      <c r="W118" s="282"/>
      <c r="X118" s="282"/>
      <c r="Y118" s="282"/>
      <c r="Z118" s="282"/>
      <c r="AA118" s="282"/>
      <c r="AB118" s="284"/>
      <c r="AC118" s="262" t="str">
        <f>IF(AE118="","",COUNTIF($AE$1:AE118,AE118))</f>
        <v/>
      </c>
      <c r="AD118" s="261" t="str">
        <f>IF(J118='PLAN DE ESTUDIO'!$XFD$41,"",IF(AE118="","",AC118&amp;K118&amp;L118&amp;M118))</f>
        <v/>
      </c>
      <c r="AE118" s="261" t="str">
        <f>IF(J118='PLAN DE ESTUDIO'!$XFD$41,"",IF(AF118=1,K118&amp;L118&amp;M118,""))</f>
        <v/>
      </c>
      <c r="AF118" s="261">
        <f>COUNTIF($O$1:O118,$O118)</f>
        <v>117</v>
      </c>
      <c r="AG118" s="285" t="str">
        <f>IF(J118='PLAN DE ESTUDIO'!$XFD$41,"",IF(P118="TP","Teórico-Práctica",IF(P118="T","Teórico",IF(P118="P","Práctica",""))))</f>
        <v/>
      </c>
      <c r="AH118" s="234" t="str">
        <f t="shared" si="3"/>
        <v xml:space="preserve"> </v>
      </c>
    </row>
    <row r="119" spans="10:34" x14ac:dyDescent="0.3">
      <c r="J119" s="412"/>
      <c r="K119" s="281" t="str">
        <f>IF($B$3="","",IF($B$3="PREGRADO",DATA!Q120,""))</f>
        <v/>
      </c>
      <c r="L119" s="281" t="str">
        <f>IF($B$3="","",IF($B$3="PREGRADO",DATA!R120,""))</f>
        <v/>
      </c>
      <c r="M119" s="281" t="str">
        <f>IF($B$3="","",IF($B$3="PREGRADO",DATA!S120,""))</f>
        <v/>
      </c>
      <c r="N119" s="412"/>
      <c r="O119" s="281" t="str">
        <f>IF($B$3="","",IF($B$3="PREGRADO",DATA!T120,""))</f>
        <v/>
      </c>
      <c r="P119" s="281" t="str">
        <f>IF($B$3="","",IF($B$3="PREGRADO",DATA!U120,""))</f>
        <v/>
      </c>
      <c r="Q119" s="412"/>
      <c r="R119" s="425"/>
      <c r="S119" s="281" t="str">
        <f>IF($B$3="","",IF($B$3="PREGRADO",DATA!W120,""))</f>
        <v/>
      </c>
      <c r="T119" s="283" t="str" cm="1">
        <f t="array" ref="T119">IF($B$9="","",_xlfn.IFS($B$9="PRESENCIAL",_xlfn.XLOOKUP($S119,DATA!$B$4:$B$8,DATA!$D$4:$D$8,"",0,),$B$9="VIRTUAL",_xlfn.XLOOKUP($S119,DATA!$G$4:$G$8,DATA!$I$4:$I$8,"",0),$B$9="DISTANCIA",_xlfn.XLOOKUP($S119,DATA!$L$4:$L$8,DATA!$N$4:$N$8,"",0)))</f>
        <v/>
      </c>
      <c r="U119" s="283" t="str" cm="1">
        <f t="array" ref="U119">IF($B$9="","",_xlfn.IFS($B$9="PRESENCIAL",_xlfn.XLOOKUP($S119,DATA!$B$4:$B$8,DATA!$E$4:$E$8,"",0,),$B$9="VIRTUAL",_xlfn.XLOOKUP($S119,DATA!$G$4:$G$8,DATA!$J$4:$J$8,"",0),$B$9="DISTANCIA",_xlfn.XLOOKUP($S119,DATA!$L$4:$L$8,DATA!$O$4:$O$8,"",0)))</f>
        <v/>
      </c>
      <c r="V119" s="261" t="str">
        <f t="shared" si="2"/>
        <v/>
      </c>
      <c r="W119" s="282"/>
      <c r="X119" s="282"/>
      <c r="Y119" s="282"/>
      <c r="Z119" s="282"/>
      <c r="AA119" s="282"/>
      <c r="AB119" s="284"/>
      <c r="AC119" s="262" t="str">
        <f>IF(AE119="","",COUNTIF($AE$1:AE119,AE119))</f>
        <v/>
      </c>
      <c r="AD119" s="261" t="str">
        <f>IF(J119='PLAN DE ESTUDIO'!$XFD$41,"",IF(AE119="","",AC119&amp;K119&amp;L119&amp;M119))</f>
        <v/>
      </c>
      <c r="AE119" s="261" t="str">
        <f>IF(J119='PLAN DE ESTUDIO'!$XFD$41,"",IF(AF119=1,K119&amp;L119&amp;M119,""))</f>
        <v/>
      </c>
      <c r="AF119" s="261">
        <f>COUNTIF($O$1:O119,$O119)</f>
        <v>118</v>
      </c>
      <c r="AG119" s="285" t="str">
        <f>IF(J119='PLAN DE ESTUDIO'!$XFD$41,"",IF(P119="TP","Teórico-Práctica",IF(P119="T","Teórico",IF(P119="P","Práctica",""))))</f>
        <v/>
      </c>
      <c r="AH119" s="234" t="str">
        <f t="shared" si="3"/>
        <v xml:space="preserve"> </v>
      </c>
    </row>
    <row r="120" spans="10:34" x14ac:dyDescent="0.3">
      <c r="J120" s="412"/>
      <c r="K120" s="281" t="str">
        <f>IF($B$3="","",IF($B$3="PREGRADO",DATA!Q121,""))</f>
        <v/>
      </c>
      <c r="L120" s="281" t="str">
        <f>IF($B$3="","",IF($B$3="PREGRADO",DATA!R121,""))</f>
        <v/>
      </c>
      <c r="M120" s="281" t="str">
        <f>IF($B$3="","",IF($B$3="PREGRADO",DATA!S121,""))</f>
        <v/>
      </c>
      <c r="N120" s="412"/>
      <c r="O120" s="281" t="str">
        <f>IF($B$3="","",IF($B$3="PREGRADO",DATA!T121,""))</f>
        <v/>
      </c>
      <c r="P120" s="281" t="str">
        <f>IF($B$3="","",IF($B$3="PREGRADO",DATA!U121,""))</f>
        <v/>
      </c>
      <c r="Q120" s="412"/>
      <c r="R120" s="425"/>
      <c r="S120" s="281" t="str">
        <f>IF($B$3="","",IF($B$3="PREGRADO",DATA!W121,""))</f>
        <v/>
      </c>
      <c r="T120" s="283" t="str" cm="1">
        <f t="array" ref="T120">IF($B$9="","",_xlfn.IFS($B$9="PRESENCIAL",_xlfn.XLOOKUP($S120,DATA!$B$4:$B$8,DATA!$D$4:$D$8,"",0,),$B$9="VIRTUAL",_xlfn.XLOOKUP($S120,DATA!$G$4:$G$8,DATA!$I$4:$I$8,"",0),$B$9="DISTANCIA",_xlfn.XLOOKUP($S120,DATA!$L$4:$L$8,DATA!$N$4:$N$8,"",0)))</f>
        <v/>
      </c>
      <c r="U120" s="283" t="str" cm="1">
        <f t="array" ref="U120">IF($B$9="","",_xlfn.IFS($B$9="PRESENCIAL",_xlfn.XLOOKUP($S120,DATA!$B$4:$B$8,DATA!$E$4:$E$8,"",0,),$B$9="VIRTUAL",_xlfn.XLOOKUP($S120,DATA!$G$4:$G$8,DATA!$J$4:$J$8,"",0),$B$9="DISTANCIA",_xlfn.XLOOKUP($S120,DATA!$L$4:$L$8,DATA!$O$4:$O$8,"",0)))</f>
        <v/>
      </c>
      <c r="V120" s="261" t="str">
        <f t="shared" si="2"/>
        <v/>
      </c>
      <c r="W120" s="282"/>
      <c r="X120" s="282"/>
      <c r="Y120" s="282"/>
      <c r="Z120" s="282"/>
      <c r="AA120" s="282"/>
      <c r="AB120" s="284"/>
      <c r="AC120" s="262" t="str">
        <f>IF(AE120="","",COUNTIF($AE$1:AE120,AE120))</f>
        <v/>
      </c>
      <c r="AD120" s="261" t="str">
        <f>IF(J120='PLAN DE ESTUDIO'!$XFD$41,"",IF(AE120="","",AC120&amp;K120&amp;L120&amp;M120))</f>
        <v/>
      </c>
      <c r="AE120" s="261" t="str">
        <f>IF(J120='PLAN DE ESTUDIO'!$XFD$41,"",IF(AF120=1,K120&amp;L120&amp;M120,""))</f>
        <v/>
      </c>
      <c r="AF120" s="261">
        <f>COUNTIF($O$1:O120,$O120)</f>
        <v>119</v>
      </c>
      <c r="AG120" s="285" t="str">
        <f>IF(J120='PLAN DE ESTUDIO'!$XFD$41,"",IF(P120="TP","Teórico-Práctica",IF(P120="T","Teórico",IF(P120="P","Práctica",""))))</f>
        <v/>
      </c>
      <c r="AH120" s="234" t="str">
        <f t="shared" si="3"/>
        <v xml:space="preserve"> </v>
      </c>
    </row>
    <row r="121" spans="10:34" x14ac:dyDescent="0.3">
      <c r="J121" s="412"/>
      <c r="K121" s="281" t="str">
        <f>IF($B$3="","",IF($B$3="PREGRADO",DATA!Q122,""))</f>
        <v/>
      </c>
      <c r="L121" s="281" t="str">
        <f>IF($B$3="","",IF($B$3="PREGRADO",DATA!R122,""))</f>
        <v/>
      </c>
      <c r="M121" s="281" t="str">
        <f>IF($B$3="","",IF($B$3="PREGRADO",DATA!S122,""))</f>
        <v/>
      </c>
      <c r="N121" s="412"/>
      <c r="O121" s="281" t="str">
        <f>IF($B$3="","",IF($B$3="PREGRADO",DATA!T122,""))</f>
        <v/>
      </c>
      <c r="P121" s="281" t="str">
        <f>IF($B$3="","",IF($B$3="PREGRADO",DATA!U122,""))</f>
        <v/>
      </c>
      <c r="Q121" s="412"/>
      <c r="R121" s="425"/>
      <c r="S121" s="281" t="str">
        <f>IF($B$3="","",IF($B$3="PREGRADO",DATA!W122,""))</f>
        <v/>
      </c>
      <c r="T121" s="283" t="str" cm="1">
        <f t="array" ref="T121">IF($B$9="","",_xlfn.IFS($B$9="PRESENCIAL",_xlfn.XLOOKUP($S121,DATA!$B$4:$B$8,DATA!$D$4:$D$8,"",0,),$B$9="VIRTUAL",_xlfn.XLOOKUP($S121,DATA!$G$4:$G$8,DATA!$I$4:$I$8,"",0),$B$9="DISTANCIA",_xlfn.XLOOKUP($S121,DATA!$L$4:$L$8,DATA!$N$4:$N$8,"",0)))</f>
        <v/>
      </c>
      <c r="U121" s="283" t="str" cm="1">
        <f t="array" ref="U121">IF($B$9="","",_xlfn.IFS($B$9="PRESENCIAL",_xlfn.XLOOKUP($S121,DATA!$B$4:$B$8,DATA!$E$4:$E$8,"",0,),$B$9="VIRTUAL",_xlfn.XLOOKUP($S121,DATA!$G$4:$G$8,DATA!$J$4:$J$8,"",0),$B$9="DISTANCIA",_xlfn.XLOOKUP($S121,DATA!$L$4:$L$8,DATA!$O$4:$O$8,"",0)))</f>
        <v/>
      </c>
      <c r="V121" s="261" t="str">
        <f t="shared" si="2"/>
        <v/>
      </c>
      <c r="W121" s="282"/>
      <c r="X121" s="282"/>
      <c r="Y121" s="282"/>
      <c r="Z121" s="282"/>
      <c r="AA121" s="282"/>
      <c r="AB121" s="284"/>
      <c r="AC121" s="262" t="str">
        <f>IF(AE121="","",COUNTIF($AE$1:AE121,AE121))</f>
        <v/>
      </c>
      <c r="AD121" s="261" t="str">
        <f>IF(J121='PLAN DE ESTUDIO'!$XFD$41,"",IF(AE121="","",AC121&amp;K121&amp;L121&amp;M121))</f>
        <v/>
      </c>
      <c r="AE121" s="261" t="str">
        <f>IF(J121='PLAN DE ESTUDIO'!$XFD$41,"",IF(AF121=1,K121&amp;L121&amp;M121,""))</f>
        <v/>
      </c>
      <c r="AF121" s="261">
        <f>COUNTIF($O$1:O121,$O121)</f>
        <v>120</v>
      </c>
      <c r="AG121" s="285" t="str">
        <f>IF(J121='PLAN DE ESTUDIO'!$XFD$41,"",IF(P121="TP","Teórico-Práctica",IF(P121="T","Teórico",IF(P121="P","Práctica",""))))</f>
        <v/>
      </c>
      <c r="AH121" s="234" t="str">
        <f t="shared" si="3"/>
        <v xml:space="preserve"> </v>
      </c>
    </row>
    <row r="122" spans="10:34" x14ac:dyDescent="0.3">
      <c r="J122" s="412"/>
      <c r="K122" s="281" t="str">
        <f>IF($B$3="","",IF($B$3="PREGRADO",DATA!Q123,""))</f>
        <v/>
      </c>
      <c r="L122" s="281" t="str">
        <f>IF($B$3="","",IF($B$3="PREGRADO",DATA!R123,""))</f>
        <v/>
      </c>
      <c r="M122" s="281" t="str">
        <f>IF($B$3="","",IF($B$3="PREGRADO",DATA!S123,""))</f>
        <v/>
      </c>
      <c r="N122" s="412"/>
      <c r="O122" s="281" t="str">
        <f>IF($B$3="","",IF($B$3="PREGRADO",DATA!T123,""))</f>
        <v/>
      </c>
      <c r="P122" s="281" t="str">
        <f>IF($B$3="","",IF($B$3="PREGRADO",DATA!U123,""))</f>
        <v/>
      </c>
      <c r="Q122" s="412"/>
      <c r="R122" s="425"/>
      <c r="S122" s="281" t="str">
        <f>IF($B$3="","",IF($B$3="PREGRADO",DATA!W123,""))</f>
        <v/>
      </c>
      <c r="T122" s="283" t="str" cm="1">
        <f t="array" ref="T122">IF($B$9="","",_xlfn.IFS($B$9="PRESENCIAL",_xlfn.XLOOKUP($S122,DATA!$B$4:$B$8,DATA!$D$4:$D$8,"",0,),$B$9="VIRTUAL",_xlfn.XLOOKUP($S122,DATA!$G$4:$G$8,DATA!$I$4:$I$8,"",0),$B$9="DISTANCIA",_xlfn.XLOOKUP($S122,DATA!$L$4:$L$8,DATA!$N$4:$N$8,"",0)))</f>
        <v/>
      </c>
      <c r="U122" s="283" t="str" cm="1">
        <f t="array" ref="U122">IF($B$9="","",_xlfn.IFS($B$9="PRESENCIAL",_xlfn.XLOOKUP($S122,DATA!$B$4:$B$8,DATA!$E$4:$E$8,"",0,),$B$9="VIRTUAL",_xlfn.XLOOKUP($S122,DATA!$G$4:$G$8,DATA!$J$4:$J$8,"",0),$B$9="DISTANCIA",_xlfn.XLOOKUP($S122,DATA!$L$4:$L$8,DATA!$O$4:$O$8,"",0)))</f>
        <v/>
      </c>
      <c r="V122" s="261" t="str">
        <f t="shared" si="2"/>
        <v/>
      </c>
      <c r="W122" s="282"/>
      <c r="X122" s="282"/>
      <c r="Y122" s="282"/>
      <c r="Z122" s="282"/>
      <c r="AA122" s="282"/>
      <c r="AB122" s="284"/>
      <c r="AC122" s="262" t="str">
        <f>IF(AE122="","",COUNTIF($AE$1:AE122,AE122))</f>
        <v/>
      </c>
      <c r="AD122" s="261" t="str">
        <f>IF(J122='PLAN DE ESTUDIO'!$XFD$41,"",IF(AE122="","",AC122&amp;K122&amp;L122&amp;M122))</f>
        <v/>
      </c>
      <c r="AE122" s="261" t="str">
        <f>IF(J122='PLAN DE ESTUDIO'!$XFD$41,"",IF(AF122=1,K122&amp;L122&amp;M122,""))</f>
        <v/>
      </c>
      <c r="AF122" s="261">
        <f>COUNTIF($O$1:O122,$O122)</f>
        <v>121</v>
      </c>
      <c r="AG122" s="285" t="str">
        <f>IF(J122='PLAN DE ESTUDIO'!$XFD$41,"",IF(P122="TP","Teórico-Práctica",IF(P122="T","Teórico",IF(P122="P","Práctica",""))))</f>
        <v/>
      </c>
      <c r="AH122" s="234" t="str">
        <f t="shared" si="3"/>
        <v xml:space="preserve"> </v>
      </c>
    </row>
    <row r="123" spans="10:34" x14ac:dyDescent="0.3">
      <c r="J123" s="412"/>
      <c r="K123" s="281" t="str">
        <f>IF($B$3="","",IF($B$3="PREGRADO",DATA!Q124,""))</f>
        <v/>
      </c>
      <c r="L123" s="281" t="str">
        <f>IF($B$3="","",IF($B$3="PREGRADO",DATA!R124,""))</f>
        <v/>
      </c>
      <c r="M123" s="281" t="str">
        <f>IF($B$3="","",IF($B$3="PREGRADO",DATA!S124,""))</f>
        <v/>
      </c>
      <c r="N123" s="412"/>
      <c r="O123" s="281" t="str">
        <f>IF($B$3="","",IF($B$3="PREGRADO",DATA!T124,""))</f>
        <v/>
      </c>
      <c r="P123" s="281" t="str">
        <f>IF($B$3="","",IF($B$3="PREGRADO",DATA!U124,""))</f>
        <v/>
      </c>
      <c r="Q123" s="412"/>
      <c r="R123" s="425"/>
      <c r="S123" s="281" t="str">
        <f>IF($B$3="","",IF($B$3="PREGRADO",DATA!W124,""))</f>
        <v/>
      </c>
      <c r="T123" s="283" t="str" cm="1">
        <f t="array" ref="T123">IF($B$9="","",_xlfn.IFS($B$9="PRESENCIAL",_xlfn.XLOOKUP($S123,DATA!$B$4:$B$8,DATA!$D$4:$D$8,"",0,),$B$9="VIRTUAL",_xlfn.XLOOKUP($S123,DATA!$G$4:$G$8,DATA!$I$4:$I$8,"",0),$B$9="DISTANCIA",_xlfn.XLOOKUP($S123,DATA!$L$4:$L$8,DATA!$N$4:$N$8,"",0)))</f>
        <v/>
      </c>
      <c r="U123" s="283" t="str" cm="1">
        <f t="array" ref="U123">IF($B$9="","",_xlfn.IFS($B$9="PRESENCIAL",_xlfn.XLOOKUP($S123,DATA!$B$4:$B$8,DATA!$E$4:$E$8,"",0,),$B$9="VIRTUAL",_xlfn.XLOOKUP($S123,DATA!$G$4:$G$8,DATA!$J$4:$J$8,"",0),$B$9="DISTANCIA",_xlfn.XLOOKUP($S123,DATA!$L$4:$L$8,DATA!$O$4:$O$8,"",0)))</f>
        <v/>
      </c>
      <c r="V123" s="261" t="str">
        <f t="shared" si="2"/>
        <v/>
      </c>
      <c r="W123" s="282"/>
      <c r="X123" s="282"/>
      <c r="Y123" s="282"/>
      <c r="Z123" s="282"/>
      <c r="AA123" s="282"/>
      <c r="AB123" s="284"/>
      <c r="AC123" s="262" t="str">
        <f>IF(AE123="","",COUNTIF($AE$1:AE123,AE123))</f>
        <v/>
      </c>
      <c r="AD123" s="261" t="str">
        <f>IF(J123='PLAN DE ESTUDIO'!$XFD$41,"",IF(AE123="","",AC123&amp;K123&amp;L123&amp;M123))</f>
        <v/>
      </c>
      <c r="AE123" s="261" t="str">
        <f>IF(J123='PLAN DE ESTUDIO'!$XFD$41,"",IF(AF123=1,K123&amp;L123&amp;M123,""))</f>
        <v/>
      </c>
      <c r="AF123" s="261">
        <f>COUNTIF($O$1:O123,$O123)</f>
        <v>122</v>
      </c>
      <c r="AG123" s="285" t="str">
        <f>IF(J123='PLAN DE ESTUDIO'!$XFD$41,"",IF(P123="TP","Teórico-Práctica",IF(P123="T","Teórico",IF(P123="P","Práctica",""))))</f>
        <v/>
      </c>
      <c r="AH123" s="234" t="str">
        <f t="shared" si="3"/>
        <v xml:space="preserve"> </v>
      </c>
    </row>
    <row r="124" spans="10:34" x14ac:dyDescent="0.3">
      <c r="J124" s="412"/>
      <c r="K124" s="281" t="str">
        <f>IF($B$3="","",IF($B$3="PREGRADO",DATA!Q125,""))</f>
        <v/>
      </c>
      <c r="L124" s="281" t="str">
        <f>IF($B$3="","",IF($B$3="PREGRADO",DATA!R125,""))</f>
        <v/>
      </c>
      <c r="M124" s="281" t="str">
        <f>IF($B$3="","",IF($B$3="PREGRADO",DATA!S125,""))</f>
        <v/>
      </c>
      <c r="N124" s="412"/>
      <c r="O124" s="281" t="str">
        <f>IF($B$3="","",IF($B$3="PREGRADO",DATA!T125,""))</f>
        <v/>
      </c>
      <c r="P124" s="281" t="str">
        <f>IF($B$3="","",IF($B$3="PREGRADO",DATA!U125,""))</f>
        <v/>
      </c>
      <c r="Q124" s="412"/>
      <c r="R124" s="425"/>
      <c r="S124" s="281" t="str">
        <f>IF($B$3="","",IF($B$3="PREGRADO",DATA!W125,""))</f>
        <v/>
      </c>
      <c r="T124" s="283" t="str" cm="1">
        <f t="array" ref="T124">IF($B$9="","",_xlfn.IFS($B$9="PRESENCIAL",_xlfn.XLOOKUP($S124,DATA!$B$4:$B$8,DATA!$D$4:$D$8,"",0,),$B$9="VIRTUAL",_xlfn.XLOOKUP($S124,DATA!$G$4:$G$8,DATA!$I$4:$I$8,"",0),$B$9="DISTANCIA",_xlfn.XLOOKUP($S124,DATA!$L$4:$L$8,DATA!$N$4:$N$8,"",0)))</f>
        <v/>
      </c>
      <c r="U124" s="283" t="str" cm="1">
        <f t="array" ref="U124">IF($B$9="","",_xlfn.IFS($B$9="PRESENCIAL",_xlfn.XLOOKUP($S124,DATA!$B$4:$B$8,DATA!$E$4:$E$8,"",0,),$B$9="VIRTUAL",_xlfn.XLOOKUP($S124,DATA!$G$4:$G$8,DATA!$J$4:$J$8,"",0),$B$9="DISTANCIA",_xlfn.XLOOKUP($S124,DATA!$L$4:$L$8,DATA!$O$4:$O$8,"",0)))</f>
        <v/>
      </c>
      <c r="V124" s="261" t="str">
        <f t="shared" si="2"/>
        <v/>
      </c>
      <c r="W124" s="282"/>
      <c r="X124" s="282"/>
      <c r="Y124" s="282"/>
      <c r="Z124" s="282"/>
      <c r="AA124" s="282"/>
      <c r="AB124" s="284"/>
      <c r="AC124" s="262" t="str">
        <f>IF(AE124="","",COUNTIF($AE$1:AE124,AE124))</f>
        <v/>
      </c>
      <c r="AD124" s="261" t="str">
        <f>IF(J124='PLAN DE ESTUDIO'!$XFD$41,"",IF(AE124="","",AC124&amp;K124&amp;L124&amp;M124))</f>
        <v/>
      </c>
      <c r="AE124" s="261" t="str">
        <f>IF(J124='PLAN DE ESTUDIO'!$XFD$41,"",IF(AF124=1,K124&amp;L124&amp;M124,""))</f>
        <v/>
      </c>
      <c r="AF124" s="261">
        <f>COUNTIF($O$1:O124,$O124)</f>
        <v>123</v>
      </c>
      <c r="AG124" s="285" t="str">
        <f>IF(J124='PLAN DE ESTUDIO'!$XFD$41,"",IF(P124="TP","Teórico-Práctica",IF(P124="T","Teórico",IF(P124="P","Práctica",""))))</f>
        <v/>
      </c>
      <c r="AH124" s="234" t="str">
        <f t="shared" si="3"/>
        <v xml:space="preserve"> </v>
      </c>
    </row>
    <row r="125" spans="10:34" x14ac:dyDescent="0.3">
      <c r="J125" s="412"/>
      <c r="K125" s="281" t="str">
        <f>IF($B$3="","",IF($B$3="PREGRADO",DATA!Q126,""))</f>
        <v/>
      </c>
      <c r="L125" s="281" t="str">
        <f>IF($B$3="","",IF($B$3="PREGRADO",DATA!R126,""))</f>
        <v/>
      </c>
      <c r="M125" s="281" t="str">
        <f>IF($B$3="","",IF($B$3="PREGRADO",DATA!S126,""))</f>
        <v/>
      </c>
      <c r="N125" s="412"/>
      <c r="O125" s="281" t="str">
        <f>IF($B$3="","",IF($B$3="PREGRADO",DATA!T126,""))</f>
        <v/>
      </c>
      <c r="P125" s="281" t="str">
        <f>IF($B$3="","",IF($B$3="PREGRADO",DATA!U126,""))</f>
        <v/>
      </c>
      <c r="Q125" s="412"/>
      <c r="R125" s="425"/>
      <c r="S125" s="281" t="str">
        <f>IF($B$3="","",IF($B$3="PREGRADO",DATA!W126,""))</f>
        <v/>
      </c>
      <c r="T125" s="283" t="str" cm="1">
        <f t="array" ref="T125">IF($B$9="","",_xlfn.IFS($B$9="PRESENCIAL",_xlfn.XLOOKUP($S125,DATA!$B$4:$B$8,DATA!$D$4:$D$8,"",0,),$B$9="VIRTUAL",_xlfn.XLOOKUP($S125,DATA!$G$4:$G$8,DATA!$I$4:$I$8,"",0),$B$9="DISTANCIA",_xlfn.XLOOKUP($S125,DATA!$L$4:$L$8,DATA!$N$4:$N$8,"",0)))</f>
        <v/>
      </c>
      <c r="U125" s="283" t="str" cm="1">
        <f t="array" ref="U125">IF($B$9="","",_xlfn.IFS($B$9="PRESENCIAL",_xlfn.XLOOKUP($S125,DATA!$B$4:$B$8,DATA!$E$4:$E$8,"",0,),$B$9="VIRTUAL",_xlfn.XLOOKUP($S125,DATA!$G$4:$G$8,DATA!$J$4:$J$8,"",0),$B$9="DISTANCIA",_xlfn.XLOOKUP($S125,DATA!$L$4:$L$8,DATA!$O$4:$O$8,"",0)))</f>
        <v/>
      </c>
      <c r="V125" s="261" t="str">
        <f t="shared" si="2"/>
        <v/>
      </c>
      <c r="W125" s="282"/>
      <c r="X125" s="282"/>
      <c r="Y125" s="282"/>
      <c r="Z125" s="282"/>
      <c r="AA125" s="282"/>
      <c r="AB125" s="284"/>
      <c r="AC125" s="262" t="str">
        <f>IF(AE125="","",COUNTIF($AE$1:AE125,AE125))</f>
        <v/>
      </c>
      <c r="AD125" s="261" t="str">
        <f>IF(J125='PLAN DE ESTUDIO'!$XFD$41,"",IF(AE125="","",AC125&amp;K125&amp;L125&amp;M125))</f>
        <v/>
      </c>
      <c r="AE125" s="261" t="str">
        <f>IF(J125='PLAN DE ESTUDIO'!$XFD$41,"",IF(AF125=1,K125&amp;L125&amp;M125,""))</f>
        <v/>
      </c>
      <c r="AF125" s="261">
        <f>COUNTIF($O$1:O125,$O125)</f>
        <v>124</v>
      </c>
      <c r="AG125" s="285" t="str">
        <f>IF(J125='PLAN DE ESTUDIO'!$XFD$41,"",IF(P125="TP","Teórico-Práctica",IF(P125="T","Teórico",IF(P125="P","Práctica",""))))</f>
        <v/>
      </c>
      <c r="AH125" s="234" t="str">
        <f t="shared" si="3"/>
        <v xml:space="preserve"> </v>
      </c>
    </row>
    <row r="126" spans="10:34" x14ac:dyDescent="0.3">
      <c r="J126" s="412"/>
      <c r="K126" s="281" t="str">
        <f>IF($B$3="","",IF($B$3="PREGRADO",DATA!Q127,""))</f>
        <v/>
      </c>
      <c r="L126" s="281" t="str">
        <f>IF($B$3="","",IF($B$3="PREGRADO",DATA!R127,""))</f>
        <v/>
      </c>
      <c r="M126" s="281" t="str">
        <f>IF($B$3="","",IF($B$3="PREGRADO",DATA!S127,""))</f>
        <v/>
      </c>
      <c r="N126" s="412"/>
      <c r="O126" s="281" t="str">
        <f>IF($B$3="","",IF($B$3="PREGRADO",DATA!T127,""))</f>
        <v/>
      </c>
      <c r="P126" s="281" t="str">
        <f>IF($B$3="","",IF($B$3="PREGRADO",DATA!U127,""))</f>
        <v/>
      </c>
      <c r="Q126" s="412"/>
      <c r="R126" s="425"/>
      <c r="S126" s="281" t="str">
        <f>IF($B$3="","",IF($B$3="PREGRADO",DATA!W127,""))</f>
        <v/>
      </c>
      <c r="T126" s="283" t="str" cm="1">
        <f t="array" ref="T126">IF($B$9="","",_xlfn.IFS($B$9="PRESENCIAL",_xlfn.XLOOKUP($S126,DATA!$B$4:$B$8,DATA!$D$4:$D$8,"",0,),$B$9="VIRTUAL",_xlfn.XLOOKUP($S126,DATA!$G$4:$G$8,DATA!$I$4:$I$8,"",0),$B$9="DISTANCIA",_xlfn.XLOOKUP($S126,DATA!$L$4:$L$8,DATA!$N$4:$N$8,"",0)))</f>
        <v/>
      </c>
      <c r="U126" s="283" t="str" cm="1">
        <f t="array" ref="U126">IF($B$9="","",_xlfn.IFS($B$9="PRESENCIAL",_xlfn.XLOOKUP($S126,DATA!$B$4:$B$8,DATA!$E$4:$E$8,"",0,),$B$9="VIRTUAL",_xlfn.XLOOKUP($S126,DATA!$G$4:$G$8,DATA!$J$4:$J$8,"",0),$B$9="DISTANCIA",_xlfn.XLOOKUP($S126,DATA!$L$4:$L$8,DATA!$O$4:$O$8,"",0)))</f>
        <v/>
      </c>
      <c r="V126" s="261" t="str">
        <f t="shared" si="2"/>
        <v/>
      </c>
      <c r="W126" s="282"/>
      <c r="X126" s="282"/>
      <c r="Y126" s="282"/>
      <c r="Z126" s="282"/>
      <c r="AA126" s="282"/>
      <c r="AB126" s="284"/>
      <c r="AC126" s="262" t="str">
        <f>IF(AE126="","",COUNTIF($AE$1:AE126,AE126))</f>
        <v/>
      </c>
      <c r="AD126" s="261" t="str">
        <f>IF(J126='PLAN DE ESTUDIO'!$XFD$41,"",IF(AE126="","",AC126&amp;K126&amp;L126&amp;M126))</f>
        <v/>
      </c>
      <c r="AE126" s="261" t="str">
        <f>IF(J126='PLAN DE ESTUDIO'!$XFD$41,"",IF(AF126=1,K126&amp;L126&amp;M126,""))</f>
        <v/>
      </c>
      <c r="AF126" s="261">
        <f>COUNTIF($O$1:O126,$O126)</f>
        <v>125</v>
      </c>
      <c r="AG126" s="285" t="str">
        <f>IF(J126='PLAN DE ESTUDIO'!$XFD$41,"",IF(P126="TP","Teórico-Práctica",IF(P126="T","Teórico",IF(P126="P","Práctica",""))))</f>
        <v/>
      </c>
      <c r="AH126" s="234" t="str">
        <f t="shared" si="3"/>
        <v xml:space="preserve"> </v>
      </c>
    </row>
    <row r="127" spans="10:34" x14ac:dyDescent="0.3">
      <c r="J127" s="412"/>
      <c r="K127" s="281" t="str">
        <f>IF($B$3="","",IF($B$3="PREGRADO",DATA!Q128,""))</f>
        <v/>
      </c>
      <c r="L127" s="281" t="str">
        <f>IF($B$3="","",IF($B$3="PREGRADO",DATA!R128,""))</f>
        <v/>
      </c>
      <c r="M127" s="281" t="str">
        <f>IF($B$3="","",IF($B$3="PREGRADO",DATA!S128,""))</f>
        <v/>
      </c>
      <c r="N127" s="412"/>
      <c r="O127" s="281" t="str">
        <f>IF($B$3="","",IF($B$3="PREGRADO",DATA!T128,""))</f>
        <v/>
      </c>
      <c r="P127" s="281" t="str">
        <f>IF($B$3="","",IF($B$3="PREGRADO",DATA!U128,""))</f>
        <v/>
      </c>
      <c r="Q127" s="412"/>
      <c r="R127" s="425"/>
      <c r="S127" s="281" t="str">
        <f>IF($B$3="","",IF($B$3="PREGRADO",DATA!W128,""))</f>
        <v/>
      </c>
      <c r="T127" s="283" t="str" cm="1">
        <f t="array" ref="T127">IF($B$9="","",_xlfn.IFS($B$9="PRESENCIAL",_xlfn.XLOOKUP($S127,DATA!$B$4:$B$8,DATA!$D$4:$D$8,"",0,),$B$9="VIRTUAL",_xlfn.XLOOKUP($S127,DATA!$G$4:$G$8,DATA!$I$4:$I$8,"",0),$B$9="DISTANCIA",_xlfn.XLOOKUP($S127,DATA!$L$4:$L$8,DATA!$N$4:$N$8,"",0)))</f>
        <v/>
      </c>
      <c r="U127" s="283" t="str" cm="1">
        <f t="array" ref="U127">IF($B$9="","",_xlfn.IFS($B$9="PRESENCIAL",_xlfn.XLOOKUP($S127,DATA!$B$4:$B$8,DATA!$E$4:$E$8,"",0,),$B$9="VIRTUAL",_xlfn.XLOOKUP($S127,DATA!$G$4:$G$8,DATA!$J$4:$J$8,"",0),$B$9="DISTANCIA",_xlfn.XLOOKUP($S127,DATA!$L$4:$L$8,DATA!$O$4:$O$8,"",0)))</f>
        <v/>
      </c>
      <c r="V127" s="261" t="str">
        <f t="shared" si="2"/>
        <v/>
      </c>
      <c r="W127" s="282"/>
      <c r="X127" s="282"/>
      <c r="Y127" s="282"/>
      <c r="Z127" s="282"/>
      <c r="AA127" s="282"/>
      <c r="AB127" s="284"/>
      <c r="AC127" s="262" t="str">
        <f>IF(AE127="","",COUNTIF($AE$1:AE127,AE127))</f>
        <v/>
      </c>
      <c r="AD127" s="261" t="str">
        <f>IF(J127='PLAN DE ESTUDIO'!$XFD$41,"",IF(AE127="","",AC127&amp;K127&amp;L127&amp;M127))</f>
        <v/>
      </c>
      <c r="AE127" s="261" t="str">
        <f>IF(J127='PLAN DE ESTUDIO'!$XFD$41,"",IF(AF127=1,K127&amp;L127&amp;M127,""))</f>
        <v/>
      </c>
      <c r="AF127" s="261">
        <f>COUNTIF($O$1:O127,$O127)</f>
        <v>126</v>
      </c>
      <c r="AG127" s="285" t="str">
        <f>IF(J127='PLAN DE ESTUDIO'!$XFD$41,"",IF(P127="TP","Teórico-Práctica",IF(P127="T","Teórico",IF(P127="P","Práctica",""))))</f>
        <v/>
      </c>
      <c r="AH127" s="234" t="str">
        <f t="shared" si="3"/>
        <v xml:space="preserve"> </v>
      </c>
    </row>
    <row r="128" spans="10:34" x14ac:dyDescent="0.3">
      <c r="J128" s="412"/>
      <c r="K128" s="281" t="str">
        <f>IF($B$3="","",IF($B$3="PREGRADO",DATA!Q129,""))</f>
        <v/>
      </c>
      <c r="L128" s="281" t="str">
        <f>IF($B$3="","",IF($B$3="PREGRADO",DATA!R129,""))</f>
        <v/>
      </c>
      <c r="M128" s="281" t="str">
        <f>IF($B$3="","",IF($B$3="PREGRADO",DATA!S129,""))</f>
        <v/>
      </c>
      <c r="N128" s="412"/>
      <c r="O128" s="281" t="str">
        <f>IF($B$3="","",IF($B$3="PREGRADO",DATA!T129,""))</f>
        <v/>
      </c>
      <c r="P128" s="281" t="str">
        <f>IF($B$3="","",IF($B$3="PREGRADO",DATA!U129,""))</f>
        <v/>
      </c>
      <c r="Q128" s="412"/>
      <c r="R128" s="425"/>
      <c r="S128" s="281" t="str">
        <f>IF($B$3="","",IF($B$3="PREGRADO",DATA!W129,""))</f>
        <v/>
      </c>
      <c r="T128" s="283" t="str" cm="1">
        <f t="array" ref="T128">IF($B$9="","",_xlfn.IFS($B$9="PRESENCIAL",_xlfn.XLOOKUP($S128,DATA!$B$4:$B$8,DATA!$D$4:$D$8,"",0,),$B$9="VIRTUAL",_xlfn.XLOOKUP($S128,DATA!$G$4:$G$8,DATA!$I$4:$I$8,"",0),$B$9="DISTANCIA",_xlfn.XLOOKUP($S128,DATA!$L$4:$L$8,DATA!$N$4:$N$8,"",0)))</f>
        <v/>
      </c>
      <c r="U128" s="283" t="str" cm="1">
        <f t="array" ref="U128">IF($B$9="","",_xlfn.IFS($B$9="PRESENCIAL",_xlfn.XLOOKUP($S128,DATA!$B$4:$B$8,DATA!$E$4:$E$8,"",0,),$B$9="VIRTUAL",_xlfn.XLOOKUP($S128,DATA!$G$4:$G$8,DATA!$J$4:$J$8,"",0),$B$9="DISTANCIA",_xlfn.XLOOKUP($S128,DATA!$L$4:$L$8,DATA!$O$4:$O$8,"",0)))</f>
        <v/>
      </c>
      <c r="V128" s="261" t="str">
        <f t="shared" si="2"/>
        <v/>
      </c>
      <c r="W128" s="282"/>
      <c r="X128" s="282"/>
      <c r="Y128" s="282"/>
      <c r="Z128" s="282"/>
      <c r="AA128" s="282"/>
      <c r="AB128" s="284"/>
      <c r="AC128" s="262" t="str">
        <f>IF(AE128="","",COUNTIF($AE$1:AE128,AE128))</f>
        <v/>
      </c>
      <c r="AD128" s="261" t="str">
        <f>IF(J128='PLAN DE ESTUDIO'!$XFD$41,"",IF(AE128="","",AC128&amp;K128&amp;L128&amp;M128))</f>
        <v/>
      </c>
      <c r="AE128" s="261" t="str">
        <f>IF(J128='PLAN DE ESTUDIO'!$XFD$41,"",IF(AF128=1,K128&amp;L128&amp;M128,""))</f>
        <v/>
      </c>
      <c r="AF128" s="261">
        <f>COUNTIF($O$1:O128,$O128)</f>
        <v>127</v>
      </c>
      <c r="AG128" s="285" t="str">
        <f>IF(J128='PLAN DE ESTUDIO'!$XFD$41,"",IF(P128="TP","Teórico-Práctica",IF(P128="T","Teórico",IF(P128="P","Práctica",""))))</f>
        <v/>
      </c>
      <c r="AH128" s="234" t="str">
        <f t="shared" si="3"/>
        <v xml:space="preserve"> </v>
      </c>
    </row>
    <row r="129" spans="10:34" x14ac:dyDescent="0.3">
      <c r="J129" s="412"/>
      <c r="K129" s="281" t="str">
        <f>IF($B$3="","",IF($B$3="PREGRADO",DATA!Q130,""))</f>
        <v/>
      </c>
      <c r="L129" s="281" t="str">
        <f>IF($B$3="","",IF($B$3="PREGRADO",DATA!R130,""))</f>
        <v/>
      </c>
      <c r="M129" s="281" t="str">
        <f>IF($B$3="","",IF($B$3="PREGRADO",DATA!S130,""))</f>
        <v/>
      </c>
      <c r="N129" s="412"/>
      <c r="O129" s="281" t="str">
        <f>IF($B$3="","",IF($B$3="PREGRADO",DATA!T130,""))</f>
        <v/>
      </c>
      <c r="P129" s="281" t="str">
        <f>IF($B$3="","",IF($B$3="PREGRADO",DATA!U130,""))</f>
        <v/>
      </c>
      <c r="Q129" s="412"/>
      <c r="R129" s="425"/>
      <c r="S129" s="281" t="str">
        <f>IF($B$3="","",IF($B$3="PREGRADO",DATA!W130,""))</f>
        <v/>
      </c>
      <c r="T129" s="283" t="str" cm="1">
        <f t="array" ref="T129">IF($B$9="","",_xlfn.IFS($B$9="PRESENCIAL",_xlfn.XLOOKUP($S129,DATA!$B$4:$B$8,DATA!$D$4:$D$8,"",0,),$B$9="VIRTUAL",_xlfn.XLOOKUP($S129,DATA!$G$4:$G$8,DATA!$I$4:$I$8,"",0),$B$9="DISTANCIA",_xlfn.XLOOKUP($S129,DATA!$L$4:$L$8,DATA!$N$4:$N$8,"",0)))</f>
        <v/>
      </c>
      <c r="U129" s="283" t="str" cm="1">
        <f t="array" ref="U129">IF($B$9="","",_xlfn.IFS($B$9="PRESENCIAL",_xlfn.XLOOKUP($S129,DATA!$B$4:$B$8,DATA!$E$4:$E$8,"",0,),$B$9="VIRTUAL",_xlfn.XLOOKUP($S129,DATA!$G$4:$G$8,DATA!$J$4:$J$8,"",0),$B$9="DISTANCIA",_xlfn.XLOOKUP($S129,DATA!$L$4:$L$8,DATA!$O$4:$O$8,"",0)))</f>
        <v/>
      </c>
      <c r="V129" s="261" t="str">
        <f t="shared" si="2"/>
        <v/>
      </c>
      <c r="W129" s="282"/>
      <c r="X129" s="282"/>
      <c r="Y129" s="282"/>
      <c r="Z129" s="282"/>
      <c r="AA129" s="282"/>
      <c r="AB129" s="284"/>
      <c r="AC129" s="262" t="str">
        <f>IF(AE129="","",COUNTIF($AE$1:AE129,AE129))</f>
        <v/>
      </c>
      <c r="AD129" s="261" t="str">
        <f>IF(J129='PLAN DE ESTUDIO'!$XFD$41,"",IF(AE129="","",AC129&amp;K129&amp;L129&amp;M129))</f>
        <v/>
      </c>
      <c r="AE129" s="261" t="str">
        <f>IF(J129='PLAN DE ESTUDIO'!$XFD$41,"",IF(AF129=1,K129&amp;L129&amp;M129,""))</f>
        <v/>
      </c>
      <c r="AF129" s="261">
        <f>COUNTIF($O$1:O129,$O129)</f>
        <v>128</v>
      </c>
      <c r="AG129" s="285" t="str">
        <f>IF(J129='PLAN DE ESTUDIO'!$XFD$41,"",IF(P129="TP","Teórico-Práctica",IF(P129="T","Teórico",IF(P129="P","Práctica",""))))</f>
        <v/>
      </c>
      <c r="AH129" s="234" t="str">
        <f t="shared" si="3"/>
        <v xml:space="preserve"> </v>
      </c>
    </row>
    <row r="130" spans="10:34" x14ac:dyDescent="0.3">
      <c r="J130" s="412"/>
      <c r="K130" s="281" t="str">
        <f>IF($B$3="","",IF($B$3="PREGRADO",DATA!Q131,""))</f>
        <v/>
      </c>
      <c r="L130" s="281" t="str">
        <f>IF($B$3="","",IF($B$3="PREGRADO",DATA!R131,""))</f>
        <v/>
      </c>
      <c r="M130" s="281" t="str">
        <f>IF($B$3="","",IF($B$3="PREGRADO",DATA!S131,""))</f>
        <v/>
      </c>
      <c r="N130" s="412"/>
      <c r="O130" s="281" t="str">
        <f>IF($B$3="","",IF($B$3="PREGRADO",DATA!T131,""))</f>
        <v/>
      </c>
      <c r="P130" s="281" t="str">
        <f>IF($B$3="","",IF($B$3="PREGRADO",DATA!U131,""))</f>
        <v/>
      </c>
      <c r="Q130" s="412"/>
      <c r="R130" s="425"/>
      <c r="S130" s="281" t="str">
        <f>IF($B$3="","",IF($B$3="PREGRADO",DATA!W131,""))</f>
        <v/>
      </c>
      <c r="T130" s="283" t="str" cm="1">
        <f t="array" ref="T130">IF($B$9="","",_xlfn.IFS($B$9="PRESENCIAL",_xlfn.XLOOKUP($S130,DATA!$B$4:$B$8,DATA!$D$4:$D$8,"",0,),$B$9="VIRTUAL",_xlfn.XLOOKUP($S130,DATA!$G$4:$G$8,DATA!$I$4:$I$8,"",0),$B$9="DISTANCIA",_xlfn.XLOOKUP($S130,DATA!$L$4:$L$8,DATA!$N$4:$N$8,"",0)))</f>
        <v/>
      </c>
      <c r="U130" s="283" t="str" cm="1">
        <f t="array" ref="U130">IF($B$9="","",_xlfn.IFS($B$9="PRESENCIAL",_xlfn.XLOOKUP($S130,DATA!$B$4:$B$8,DATA!$E$4:$E$8,"",0,),$B$9="VIRTUAL",_xlfn.XLOOKUP($S130,DATA!$G$4:$G$8,DATA!$J$4:$J$8,"",0),$B$9="DISTANCIA",_xlfn.XLOOKUP($S130,DATA!$L$4:$L$8,DATA!$O$4:$O$8,"",0)))</f>
        <v/>
      </c>
      <c r="V130" s="261" t="str">
        <f t="shared" si="2"/>
        <v/>
      </c>
      <c r="W130" s="282"/>
      <c r="X130" s="282"/>
      <c r="Y130" s="282"/>
      <c r="Z130" s="282"/>
      <c r="AA130" s="282"/>
      <c r="AB130" s="284"/>
      <c r="AC130" s="262" t="str">
        <f>IF(AE130="","",COUNTIF($AE$1:AE130,AE130))</f>
        <v/>
      </c>
      <c r="AD130" s="261" t="str">
        <f>IF(J130='PLAN DE ESTUDIO'!$XFD$41,"",IF(AE130="","",AC130&amp;K130&amp;L130&amp;M130))</f>
        <v/>
      </c>
      <c r="AE130" s="261" t="str">
        <f>IF(J130='PLAN DE ESTUDIO'!$XFD$41,"",IF(AF130=1,K130&amp;L130&amp;M130,""))</f>
        <v/>
      </c>
      <c r="AF130" s="261">
        <f>COUNTIF($O$1:O130,$O130)</f>
        <v>129</v>
      </c>
      <c r="AG130" s="285" t="str">
        <f>IF(J130='PLAN DE ESTUDIO'!$XFD$41,"",IF(P130="TP","Teórico-Práctica",IF(P130="T","Teórico",IF(P130="P","Práctica",""))))</f>
        <v/>
      </c>
      <c r="AH130" s="234" t="str">
        <f t="shared" si="3"/>
        <v xml:space="preserve"> </v>
      </c>
    </row>
    <row r="131" spans="10:34" x14ac:dyDescent="0.3">
      <c r="J131" s="412"/>
      <c r="K131" s="281" t="str">
        <f>IF($B$3="","",IF($B$3="PREGRADO",DATA!Q132,""))</f>
        <v/>
      </c>
      <c r="L131" s="281" t="str">
        <f>IF($B$3="","",IF($B$3="PREGRADO",DATA!R132,""))</f>
        <v/>
      </c>
      <c r="M131" s="281" t="str">
        <f>IF($B$3="","",IF($B$3="PREGRADO",DATA!S132,""))</f>
        <v/>
      </c>
      <c r="N131" s="412"/>
      <c r="O131" s="281" t="str">
        <f>IF($B$3="","",IF($B$3="PREGRADO",DATA!T132,""))</f>
        <v/>
      </c>
      <c r="P131" s="281" t="str">
        <f>IF($B$3="","",IF($B$3="PREGRADO",DATA!U132,""))</f>
        <v/>
      </c>
      <c r="Q131" s="412"/>
      <c r="R131" s="425"/>
      <c r="S131" s="281" t="str">
        <f>IF($B$3="","",IF($B$3="PREGRADO",DATA!W132,""))</f>
        <v/>
      </c>
      <c r="T131" s="283" t="str" cm="1">
        <f t="array" ref="T131">IF($B$9="","",_xlfn.IFS($B$9="PRESENCIAL",_xlfn.XLOOKUP($S131,DATA!$B$4:$B$8,DATA!$D$4:$D$8,"",0,),$B$9="VIRTUAL",_xlfn.XLOOKUP($S131,DATA!$G$4:$G$8,DATA!$I$4:$I$8,"",0),$B$9="DISTANCIA",_xlfn.XLOOKUP($S131,DATA!$L$4:$L$8,DATA!$N$4:$N$8,"",0)))</f>
        <v/>
      </c>
      <c r="U131" s="283" t="str" cm="1">
        <f t="array" ref="U131">IF($B$9="","",_xlfn.IFS($B$9="PRESENCIAL",_xlfn.XLOOKUP($S131,DATA!$B$4:$B$8,DATA!$E$4:$E$8,"",0,),$B$9="VIRTUAL",_xlfn.XLOOKUP($S131,DATA!$G$4:$G$8,DATA!$J$4:$J$8,"",0),$B$9="DISTANCIA",_xlfn.XLOOKUP($S131,DATA!$L$4:$L$8,DATA!$O$4:$O$8,"",0)))</f>
        <v/>
      </c>
      <c r="V131" s="261" t="str">
        <f t="shared" ref="V131:V167" si="4">IF($U131="","",T131+U131)</f>
        <v/>
      </c>
      <c r="W131" s="282"/>
      <c r="X131" s="282"/>
      <c r="Y131" s="282"/>
      <c r="Z131" s="282"/>
      <c r="AA131" s="282"/>
      <c r="AB131" s="284"/>
      <c r="AC131" s="262" t="str">
        <f>IF(AE131="","",COUNTIF($AE$1:AE131,AE131))</f>
        <v/>
      </c>
      <c r="AD131" s="261" t="str">
        <f>IF(J131='PLAN DE ESTUDIO'!$XFD$41,"",IF(AE131="","",AC131&amp;K131&amp;L131&amp;M131))</f>
        <v/>
      </c>
      <c r="AE131" s="261" t="str">
        <f>IF(J131='PLAN DE ESTUDIO'!$XFD$41,"",IF(AF131=1,K131&amp;L131&amp;M131,""))</f>
        <v/>
      </c>
      <c r="AF131" s="261">
        <f>COUNTIF($O$1:O131,$O131)</f>
        <v>130</v>
      </c>
      <c r="AG131" s="285" t="str">
        <f>IF(J131='PLAN DE ESTUDIO'!$XFD$41,"",IF(P131="TP","Teórico-Práctica",IF(P131="T","Teórico",IF(P131="P","Práctica",""))))</f>
        <v/>
      </c>
      <c r="AH131" s="234" t="str">
        <f t="shared" ref="AH131:AH167" si="5">IF(AC131&lt;&gt;1," ",S131)</f>
        <v xml:space="preserve"> </v>
      </c>
    </row>
    <row r="132" spans="10:34" x14ac:dyDescent="0.3">
      <c r="J132" s="412"/>
      <c r="K132" s="281" t="str">
        <f>IF($B$3="","",IF($B$3="PREGRADO",DATA!Q133,""))</f>
        <v/>
      </c>
      <c r="L132" s="281" t="str">
        <f>IF($B$3="","",IF($B$3="PREGRADO",DATA!R133,""))</f>
        <v/>
      </c>
      <c r="M132" s="281" t="str">
        <f>IF($B$3="","",IF($B$3="PREGRADO",DATA!S133,""))</f>
        <v/>
      </c>
      <c r="N132" s="412"/>
      <c r="O132" s="281" t="str">
        <f>IF($B$3="","",IF($B$3="PREGRADO",DATA!T133,""))</f>
        <v/>
      </c>
      <c r="P132" s="281" t="str">
        <f>IF($B$3="","",IF($B$3="PREGRADO",DATA!U133,""))</f>
        <v/>
      </c>
      <c r="Q132" s="412"/>
      <c r="R132" s="425"/>
      <c r="S132" s="281" t="str">
        <f>IF($B$3="","",IF($B$3="PREGRADO",DATA!W133,""))</f>
        <v/>
      </c>
      <c r="T132" s="283" t="str" cm="1">
        <f t="array" ref="T132">IF($B$9="","",_xlfn.IFS($B$9="PRESENCIAL",_xlfn.XLOOKUP($S132,DATA!$B$4:$B$8,DATA!$D$4:$D$8,"",0,),$B$9="VIRTUAL",_xlfn.XLOOKUP($S132,DATA!$G$4:$G$8,DATA!$I$4:$I$8,"",0),$B$9="DISTANCIA",_xlfn.XLOOKUP($S132,DATA!$L$4:$L$8,DATA!$N$4:$N$8,"",0)))</f>
        <v/>
      </c>
      <c r="U132" s="283" t="str" cm="1">
        <f t="array" ref="U132">IF($B$9="","",_xlfn.IFS($B$9="PRESENCIAL",_xlfn.XLOOKUP($S132,DATA!$B$4:$B$8,DATA!$E$4:$E$8,"",0,),$B$9="VIRTUAL",_xlfn.XLOOKUP($S132,DATA!$G$4:$G$8,DATA!$J$4:$J$8,"",0),$B$9="DISTANCIA",_xlfn.XLOOKUP($S132,DATA!$L$4:$L$8,DATA!$O$4:$O$8,"",0)))</f>
        <v/>
      </c>
      <c r="V132" s="261" t="str">
        <f t="shared" si="4"/>
        <v/>
      </c>
      <c r="W132" s="282"/>
      <c r="X132" s="282"/>
      <c r="Y132" s="282"/>
      <c r="Z132" s="282"/>
      <c r="AA132" s="282"/>
      <c r="AB132" s="284"/>
      <c r="AC132" s="262" t="str">
        <f>IF(AE132="","",COUNTIF($AE$1:AE132,AE132))</f>
        <v/>
      </c>
      <c r="AD132" s="261" t="str">
        <f>IF(J132='PLAN DE ESTUDIO'!$XFD$41,"",IF(AE132="","",AC132&amp;K132&amp;L132&amp;M132))</f>
        <v/>
      </c>
      <c r="AE132" s="261" t="str">
        <f>IF(J132='PLAN DE ESTUDIO'!$XFD$41,"",IF(AF132=1,K132&amp;L132&amp;M132,""))</f>
        <v/>
      </c>
      <c r="AF132" s="261">
        <f>COUNTIF($O$1:O132,$O132)</f>
        <v>131</v>
      </c>
      <c r="AG132" s="285" t="str">
        <f>IF(J132='PLAN DE ESTUDIO'!$XFD$41,"",IF(P132="TP","Teórico-Práctica",IF(P132="T","Teórico",IF(P132="P","Práctica",""))))</f>
        <v/>
      </c>
      <c r="AH132" s="234" t="str">
        <f t="shared" si="5"/>
        <v xml:space="preserve"> </v>
      </c>
    </row>
    <row r="133" spans="10:34" x14ac:dyDescent="0.3">
      <c r="J133" s="412"/>
      <c r="K133" s="281" t="str">
        <f>IF($B$3="","",IF($B$3="PREGRADO",DATA!Q134,""))</f>
        <v/>
      </c>
      <c r="L133" s="281" t="str">
        <f>IF($B$3="","",IF($B$3="PREGRADO",DATA!R134,""))</f>
        <v/>
      </c>
      <c r="M133" s="281" t="str">
        <f>IF($B$3="","",IF($B$3="PREGRADO",DATA!S134,""))</f>
        <v/>
      </c>
      <c r="N133" s="412"/>
      <c r="O133" s="281" t="str">
        <f>IF($B$3="","",IF($B$3="PREGRADO",DATA!T134,""))</f>
        <v/>
      </c>
      <c r="P133" s="281" t="str">
        <f>IF($B$3="","",IF($B$3="PREGRADO",DATA!U134,""))</f>
        <v/>
      </c>
      <c r="Q133" s="412"/>
      <c r="R133" s="425"/>
      <c r="S133" s="281" t="str">
        <f>IF($B$3="","",IF($B$3="PREGRADO",DATA!W134,""))</f>
        <v/>
      </c>
      <c r="T133" s="283" t="str" cm="1">
        <f t="array" ref="T133">IF($B$9="","",_xlfn.IFS($B$9="PRESENCIAL",_xlfn.XLOOKUP($S133,DATA!$B$4:$B$8,DATA!$D$4:$D$8,"",0,),$B$9="VIRTUAL",_xlfn.XLOOKUP($S133,DATA!$G$4:$G$8,DATA!$I$4:$I$8,"",0),$B$9="DISTANCIA",_xlfn.XLOOKUP($S133,DATA!$L$4:$L$8,DATA!$N$4:$N$8,"",0)))</f>
        <v/>
      </c>
      <c r="U133" s="283" t="str" cm="1">
        <f t="array" ref="U133">IF($B$9="","",_xlfn.IFS($B$9="PRESENCIAL",_xlfn.XLOOKUP($S133,DATA!$B$4:$B$8,DATA!$E$4:$E$8,"",0,),$B$9="VIRTUAL",_xlfn.XLOOKUP($S133,DATA!$G$4:$G$8,DATA!$J$4:$J$8,"",0),$B$9="DISTANCIA",_xlfn.XLOOKUP($S133,DATA!$L$4:$L$8,DATA!$O$4:$O$8,"",0)))</f>
        <v/>
      </c>
      <c r="V133" s="261" t="str">
        <f t="shared" si="4"/>
        <v/>
      </c>
      <c r="W133" s="282"/>
      <c r="X133" s="282"/>
      <c r="Y133" s="282"/>
      <c r="Z133" s="282"/>
      <c r="AA133" s="282"/>
      <c r="AB133" s="284"/>
      <c r="AC133" s="262" t="str">
        <f>IF(AE133="","",COUNTIF($AE$1:AE133,AE133))</f>
        <v/>
      </c>
      <c r="AD133" s="261" t="str">
        <f>IF(J133='PLAN DE ESTUDIO'!$XFD$41,"",IF(AE133="","",AC133&amp;K133&amp;L133&amp;M133))</f>
        <v/>
      </c>
      <c r="AE133" s="261" t="str">
        <f>IF(J133='PLAN DE ESTUDIO'!$XFD$41,"",IF(AF133=1,K133&amp;L133&amp;M133,""))</f>
        <v/>
      </c>
      <c r="AF133" s="261">
        <f>COUNTIF($O$1:O133,$O133)</f>
        <v>132</v>
      </c>
      <c r="AG133" s="285" t="str">
        <f>IF(J133='PLAN DE ESTUDIO'!$XFD$41,"",IF(P133="TP","Teórico-Práctica",IF(P133="T","Teórico",IF(P133="P","Práctica",""))))</f>
        <v/>
      </c>
      <c r="AH133" s="234" t="str">
        <f t="shared" si="5"/>
        <v xml:space="preserve"> </v>
      </c>
    </row>
    <row r="134" spans="10:34" x14ac:dyDescent="0.3">
      <c r="J134" s="412"/>
      <c r="K134" s="281" t="str">
        <f>IF($B$3="","",IF($B$3="PREGRADO",DATA!Q135,""))</f>
        <v/>
      </c>
      <c r="L134" s="281" t="str">
        <f>IF($B$3="","",IF($B$3="PREGRADO",DATA!R135,""))</f>
        <v/>
      </c>
      <c r="M134" s="281" t="str">
        <f>IF($B$3="","",IF($B$3="PREGRADO",DATA!S135,""))</f>
        <v/>
      </c>
      <c r="N134" s="412"/>
      <c r="O134" s="281" t="str">
        <f>IF($B$3="","",IF($B$3="PREGRADO",DATA!T135,""))</f>
        <v/>
      </c>
      <c r="P134" s="281" t="str">
        <f>IF($B$3="","",IF($B$3="PREGRADO",DATA!U135,""))</f>
        <v/>
      </c>
      <c r="Q134" s="412"/>
      <c r="R134" s="425"/>
      <c r="S134" s="281" t="str">
        <f>IF($B$3="","",IF($B$3="PREGRADO",DATA!W135,""))</f>
        <v/>
      </c>
      <c r="T134" s="283" t="str" cm="1">
        <f t="array" ref="T134">IF($B$9="","",_xlfn.IFS($B$9="PRESENCIAL",_xlfn.XLOOKUP($S134,DATA!$B$4:$B$8,DATA!$D$4:$D$8,"",0,),$B$9="VIRTUAL",_xlfn.XLOOKUP($S134,DATA!$G$4:$G$8,DATA!$I$4:$I$8,"",0),$B$9="DISTANCIA",_xlfn.XLOOKUP($S134,DATA!$L$4:$L$8,DATA!$N$4:$N$8,"",0)))</f>
        <v/>
      </c>
      <c r="U134" s="283" t="str" cm="1">
        <f t="array" ref="U134">IF($B$9="","",_xlfn.IFS($B$9="PRESENCIAL",_xlfn.XLOOKUP($S134,DATA!$B$4:$B$8,DATA!$E$4:$E$8,"",0,),$B$9="VIRTUAL",_xlfn.XLOOKUP($S134,DATA!$G$4:$G$8,DATA!$J$4:$J$8,"",0),$B$9="DISTANCIA",_xlfn.XLOOKUP($S134,DATA!$L$4:$L$8,DATA!$O$4:$O$8,"",0)))</f>
        <v/>
      </c>
      <c r="V134" s="261" t="str">
        <f t="shared" si="4"/>
        <v/>
      </c>
      <c r="W134" s="282"/>
      <c r="X134" s="282"/>
      <c r="Y134" s="282"/>
      <c r="Z134" s="282"/>
      <c r="AA134" s="282"/>
      <c r="AB134" s="284"/>
      <c r="AC134" s="262" t="str">
        <f>IF(AE134="","",COUNTIF($AE$1:AE134,AE134))</f>
        <v/>
      </c>
      <c r="AD134" s="261" t="str">
        <f>IF(J134='PLAN DE ESTUDIO'!$XFD$41,"",IF(AE134="","",AC134&amp;K134&amp;L134&amp;M134))</f>
        <v/>
      </c>
      <c r="AE134" s="261" t="str">
        <f>IF(J134='PLAN DE ESTUDIO'!$XFD$41,"",IF(AF134=1,K134&amp;L134&amp;M134,""))</f>
        <v/>
      </c>
      <c r="AF134" s="261">
        <f>COUNTIF($O$1:O134,$O134)</f>
        <v>133</v>
      </c>
      <c r="AG134" s="285" t="str">
        <f>IF(J134='PLAN DE ESTUDIO'!$XFD$41,"",IF(P134="TP","Teórico-Práctica",IF(P134="T","Teórico",IF(P134="P","Práctica",""))))</f>
        <v/>
      </c>
      <c r="AH134" s="234" t="str">
        <f t="shared" si="5"/>
        <v xml:space="preserve"> </v>
      </c>
    </row>
    <row r="135" spans="10:34" x14ac:dyDescent="0.3">
      <c r="J135" s="412"/>
      <c r="K135" s="281" t="str">
        <f>IF($B$3="","",IF($B$3="PREGRADO",DATA!Q136,""))</f>
        <v/>
      </c>
      <c r="L135" s="281" t="str">
        <f>IF($B$3="","",IF($B$3="PREGRADO",DATA!R136,""))</f>
        <v/>
      </c>
      <c r="M135" s="281" t="str">
        <f>IF($B$3="","",IF($B$3="PREGRADO",DATA!S136,""))</f>
        <v/>
      </c>
      <c r="N135" s="412"/>
      <c r="O135" s="281" t="str">
        <f>IF($B$3="","",IF($B$3="PREGRADO",DATA!T136,""))</f>
        <v/>
      </c>
      <c r="P135" s="281" t="str">
        <f>IF($B$3="","",IF($B$3="PREGRADO",DATA!U136,""))</f>
        <v/>
      </c>
      <c r="Q135" s="412"/>
      <c r="R135" s="425"/>
      <c r="S135" s="281" t="str">
        <f>IF($B$3="","",IF($B$3="PREGRADO",DATA!W136,""))</f>
        <v/>
      </c>
      <c r="T135" s="283" t="str" cm="1">
        <f t="array" ref="T135">IF($B$9="","",_xlfn.IFS($B$9="PRESENCIAL",_xlfn.XLOOKUP($S135,DATA!$B$4:$B$8,DATA!$D$4:$D$8,"",0,),$B$9="VIRTUAL",_xlfn.XLOOKUP($S135,DATA!$G$4:$G$8,DATA!$I$4:$I$8,"",0),$B$9="DISTANCIA",_xlfn.XLOOKUP($S135,DATA!$L$4:$L$8,DATA!$N$4:$N$8,"",0)))</f>
        <v/>
      </c>
      <c r="U135" s="283" t="str" cm="1">
        <f t="array" ref="U135">IF($B$9="","",_xlfn.IFS($B$9="PRESENCIAL",_xlfn.XLOOKUP($S135,DATA!$B$4:$B$8,DATA!$E$4:$E$8,"",0,),$B$9="VIRTUAL",_xlfn.XLOOKUP($S135,DATA!$G$4:$G$8,DATA!$J$4:$J$8,"",0),$B$9="DISTANCIA",_xlfn.XLOOKUP($S135,DATA!$L$4:$L$8,DATA!$O$4:$O$8,"",0)))</f>
        <v/>
      </c>
      <c r="V135" s="261" t="str">
        <f t="shared" si="4"/>
        <v/>
      </c>
      <c r="W135" s="282"/>
      <c r="X135" s="282"/>
      <c r="Y135" s="282"/>
      <c r="Z135" s="282"/>
      <c r="AA135" s="282"/>
      <c r="AB135" s="284"/>
      <c r="AC135" s="262" t="str">
        <f>IF(AE135="","",COUNTIF($AE$1:AE135,AE135))</f>
        <v/>
      </c>
      <c r="AD135" s="261" t="str">
        <f>IF(J135='PLAN DE ESTUDIO'!$XFD$41,"",IF(AE135="","",AC135&amp;K135&amp;L135&amp;M135))</f>
        <v/>
      </c>
      <c r="AE135" s="261" t="str">
        <f>IF(J135='PLAN DE ESTUDIO'!$XFD$41,"",IF(AF135=1,K135&amp;L135&amp;M135,""))</f>
        <v/>
      </c>
      <c r="AF135" s="261">
        <f>COUNTIF($O$1:O135,$O135)</f>
        <v>134</v>
      </c>
      <c r="AG135" s="285" t="str">
        <f>IF(J135='PLAN DE ESTUDIO'!$XFD$41,"",IF(P135="TP","Teórico-Práctica",IF(P135="T","Teórico",IF(P135="P","Práctica",""))))</f>
        <v/>
      </c>
      <c r="AH135" s="234" t="str">
        <f t="shared" si="5"/>
        <v xml:space="preserve"> </v>
      </c>
    </row>
    <row r="136" spans="10:34" x14ac:dyDescent="0.3">
      <c r="J136" s="412"/>
      <c r="K136" s="281" t="str">
        <f>IF($B$3="","",IF($B$3="PREGRADO",DATA!Q137,""))</f>
        <v/>
      </c>
      <c r="L136" s="281" t="str">
        <f>IF($B$3="","",IF($B$3="PREGRADO",DATA!R137,""))</f>
        <v/>
      </c>
      <c r="M136" s="281" t="str">
        <f>IF($B$3="","",IF($B$3="PREGRADO",DATA!S137,""))</f>
        <v/>
      </c>
      <c r="N136" s="412"/>
      <c r="O136" s="281" t="str">
        <f>IF($B$3="","",IF($B$3="PREGRADO",DATA!T137,""))</f>
        <v/>
      </c>
      <c r="P136" s="281" t="str">
        <f>IF($B$3="","",IF($B$3="PREGRADO",DATA!U137,""))</f>
        <v/>
      </c>
      <c r="Q136" s="412"/>
      <c r="R136" s="425"/>
      <c r="S136" s="281" t="str">
        <f>IF($B$3="","",IF($B$3="PREGRADO",DATA!W137,""))</f>
        <v/>
      </c>
      <c r="T136" s="283" t="str" cm="1">
        <f t="array" ref="T136">IF($B$9="","",_xlfn.IFS($B$9="PRESENCIAL",_xlfn.XLOOKUP($S136,DATA!$B$4:$B$8,DATA!$D$4:$D$8,"",0,),$B$9="VIRTUAL",_xlfn.XLOOKUP($S136,DATA!$G$4:$G$8,DATA!$I$4:$I$8,"",0),$B$9="DISTANCIA",_xlfn.XLOOKUP($S136,DATA!$L$4:$L$8,DATA!$N$4:$N$8,"",0)))</f>
        <v/>
      </c>
      <c r="U136" s="283" t="str" cm="1">
        <f t="array" ref="U136">IF($B$9="","",_xlfn.IFS($B$9="PRESENCIAL",_xlfn.XLOOKUP($S136,DATA!$B$4:$B$8,DATA!$E$4:$E$8,"",0,),$B$9="VIRTUAL",_xlfn.XLOOKUP($S136,DATA!$G$4:$G$8,DATA!$J$4:$J$8,"",0),$B$9="DISTANCIA",_xlfn.XLOOKUP($S136,DATA!$L$4:$L$8,DATA!$O$4:$O$8,"",0)))</f>
        <v/>
      </c>
      <c r="V136" s="261" t="str">
        <f t="shared" si="4"/>
        <v/>
      </c>
      <c r="W136" s="282"/>
      <c r="X136" s="282"/>
      <c r="Y136" s="282"/>
      <c r="Z136" s="282"/>
      <c r="AA136" s="282"/>
      <c r="AB136" s="284"/>
      <c r="AC136" s="262" t="str">
        <f>IF(AE136="","",COUNTIF($AE$1:AE136,AE136))</f>
        <v/>
      </c>
      <c r="AD136" s="261" t="str">
        <f>IF(J136='PLAN DE ESTUDIO'!$XFD$41,"",IF(AE136="","",AC136&amp;K136&amp;L136&amp;M136))</f>
        <v/>
      </c>
      <c r="AE136" s="261" t="str">
        <f>IF(J136='PLAN DE ESTUDIO'!$XFD$41,"",IF(AF136=1,K136&amp;L136&amp;M136,""))</f>
        <v/>
      </c>
      <c r="AF136" s="261">
        <f>COUNTIF($O$1:O136,$O136)</f>
        <v>135</v>
      </c>
      <c r="AG136" s="285" t="str">
        <f>IF(J136='PLAN DE ESTUDIO'!$XFD$41,"",IF(P136="TP","Teórico-Práctica",IF(P136="T","Teórico",IF(P136="P","Práctica",""))))</f>
        <v/>
      </c>
      <c r="AH136" s="234" t="str">
        <f t="shared" si="5"/>
        <v xml:space="preserve"> </v>
      </c>
    </row>
    <row r="137" spans="10:34" x14ac:dyDescent="0.3">
      <c r="J137" s="412"/>
      <c r="K137" s="281" t="str">
        <f>IF($B$3="","",IF($B$3="PREGRADO",DATA!Q138,""))</f>
        <v/>
      </c>
      <c r="L137" s="281" t="str">
        <f>IF($B$3="","",IF($B$3="PREGRADO",DATA!R138,""))</f>
        <v/>
      </c>
      <c r="M137" s="281" t="str">
        <f>IF($B$3="","",IF($B$3="PREGRADO",DATA!S138,""))</f>
        <v/>
      </c>
      <c r="N137" s="412"/>
      <c r="O137" s="281" t="str">
        <f>IF($B$3="","",IF($B$3="PREGRADO",DATA!T138,""))</f>
        <v/>
      </c>
      <c r="P137" s="281" t="str">
        <f>IF($B$3="","",IF($B$3="PREGRADO",DATA!U138,""))</f>
        <v/>
      </c>
      <c r="Q137" s="412"/>
      <c r="R137" s="425"/>
      <c r="S137" s="281" t="str">
        <f>IF($B$3="","",IF($B$3="PREGRADO",DATA!W138,""))</f>
        <v/>
      </c>
      <c r="T137" s="283" t="str" cm="1">
        <f t="array" ref="T137">IF($B$9="","",_xlfn.IFS($B$9="PRESENCIAL",_xlfn.XLOOKUP($S137,DATA!$B$4:$B$8,DATA!$D$4:$D$8,"",0,),$B$9="VIRTUAL",_xlfn.XLOOKUP($S137,DATA!$G$4:$G$8,DATA!$I$4:$I$8,"",0),$B$9="DISTANCIA",_xlfn.XLOOKUP($S137,DATA!$L$4:$L$8,DATA!$N$4:$N$8,"",0)))</f>
        <v/>
      </c>
      <c r="U137" s="283" t="str" cm="1">
        <f t="array" ref="U137">IF($B$9="","",_xlfn.IFS($B$9="PRESENCIAL",_xlfn.XLOOKUP($S137,DATA!$B$4:$B$8,DATA!$E$4:$E$8,"",0,),$B$9="VIRTUAL",_xlfn.XLOOKUP($S137,DATA!$G$4:$G$8,DATA!$J$4:$J$8,"",0),$B$9="DISTANCIA",_xlfn.XLOOKUP($S137,DATA!$L$4:$L$8,DATA!$O$4:$O$8,"",0)))</f>
        <v/>
      </c>
      <c r="V137" s="261" t="str">
        <f t="shared" si="4"/>
        <v/>
      </c>
      <c r="W137" s="282"/>
      <c r="X137" s="282"/>
      <c r="Y137" s="282"/>
      <c r="Z137" s="282"/>
      <c r="AA137" s="282"/>
      <c r="AB137" s="284"/>
      <c r="AC137" s="262" t="str">
        <f>IF(AE137="","",COUNTIF($AE$1:AE137,AE137))</f>
        <v/>
      </c>
      <c r="AD137" s="261" t="str">
        <f>IF(J137='PLAN DE ESTUDIO'!$XFD$41,"",IF(AE137="","",AC137&amp;K137&amp;L137&amp;M137))</f>
        <v/>
      </c>
      <c r="AE137" s="261" t="str">
        <f>IF(J137='PLAN DE ESTUDIO'!$XFD$41,"",IF(AF137=1,K137&amp;L137&amp;M137,""))</f>
        <v/>
      </c>
      <c r="AF137" s="261">
        <f>COUNTIF($O$1:O137,$O137)</f>
        <v>136</v>
      </c>
      <c r="AG137" s="285" t="str">
        <f>IF(J137='PLAN DE ESTUDIO'!$XFD$41,"",IF(P137="TP","Teórico-Práctica",IF(P137="T","Teórico",IF(P137="P","Práctica",""))))</f>
        <v/>
      </c>
      <c r="AH137" s="234" t="str">
        <f t="shared" si="5"/>
        <v xml:space="preserve"> </v>
      </c>
    </row>
    <row r="138" spans="10:34" x14ac:dyDescent="0.3">
      <c r="J138" s="412"/>
      <c r="K138" s="281" t="str">
        <f>IF($B$3="","",IF($B$3="PREGRADO",DATA!Q139,""))</f>
        <v/>
      </c>
      <c r="L138" s="281" t="str">
        <f>IF($B$3="","",IF($B$3="PREGRADO",DATA!R139,""))</f>
        <v/>
      </c>
      <c r="M138" s="281" t="str">
        <f>IF($B$3="","",IF($B$3="PREGRADO",DATA!S139,""))</f>
        <v/>
      </c>
      <c r="N138" s="412"/>
      <c r="O138" s="281" t="str">
        <f>IF($B$3="","",IF($B$3="PREGRADO",DATA!T139,""))</f>
        <v/>
      </c>
      <c r="P138" s="281" t="str">
        <f>IF($B$3="","",IF($B$3="PREGRADO",DATA!U139,""))</f>
        <v/>
      </c>
      <c r="Q138" s="412"/>
      <c r="R138" s="425"/>
      <c r="S138" s="281" t="str">
        <f>IF($B$3="","",IF($B$3="PREGRADO",DATA!W139,""))</f>
        <v/>
      </c>
      <c r="T138" s="283" t="str" cm="1">
        <f t="array" ref="T138">IF($B$9="","",_xlfn.IFS($B$9="PRESENCIAL",_xlfn.XLOOKUP($S138,DATA!$B$4:$B$8,DATA!$D$4:$D$8,"",0,),$B$9="VIRTUAL",_xlfn.XLOOKUP($S138,DATA!$G$4:$G$8,DATA!$I$4:$I$8,"",0),$B$9="DISTANCIA",_xlfn.XLOOKUP($S138,DATA!$L$4:$L$8,DATA!$N$4:$N$8,"",0)))</f>
        <v/>
      </c>
      <c r="U138" s="283" t="str" cm="1">
        <f t="array" ref="U138">IF($B$9="","",_xlfn.IFS($B$9="PRESENCIAL",_xlfn.XLOOKUP($S138,DATA!$B$4:$B$8,DATA!$E$4:$E$8,"",0,),$B$9="VIRTUAL",_xlfn.XLOOKUP($S138,DATA!$G$4:$G$8,DATA!$J$4:$J$8,"",0),$B$9="DISTANCIA",_xlfn.XLOOKUP($S138,DATA!$L$4:$L$8,DATA!$O$4:$O$8,"",0)))</f>
        <v/>
      </c>
      <c r="V138" s="261" t="str">
        <f t="shared" si="4"/>
        <v/>
      </c>
      <c r="W138" s="282"/>
      <c r="X138" s="282"/>
      <c r="Y138" s="282"/>
      <c r="Z138" s="282"/>
      <c r="AA138" s="282"/>
      <c r="AB138" s="284"/>
      <c r="AC138" s="262" t="str">
        <f>IF(AE138="","",COUNTIF($AE$1:AE138,AE138))</f>
        <v/>
      </c>
      <c r="AD138" s="261" t="str">
        <f>IF(J138='PLAN DE ESTUDIO'!$XFD$41,"",IF(AE138="","",AC138&amp;K138&amp;L138&amp;M138))</f>
        <v/>
      </c>
      <c r="AE138" s="261" t="str">
        <f>IF(J138='PLAN DE ESTUDIO'!$XFD$41,"",IF(AF138=1,K138&amp;L138&amp;M138,""))</f>
        <v/>
      </c>
      <c r="AF138" s="261">
        <f>COUNTIF($O$1:O138,$O138)</f>
        <v>137</v>
      </c>
      <c r="AG138" s="285" t="str">
        <f>IF(J138='PLAN DE ESTUDIO'!$XFD$41,"",IF(P138="TP","Teórico-Práctica",IF(P138="T","Teórico",IF(P138="P","Práctica",""))))</f>
        <v/>
      </c>
      <c r="AH138" s="234" t="str">
        <f t="shared" si="5"/>
        <v xml:space="preserve"> </v>
      </c>
    </row>
    <row r="139" spans="10:34" x14ac:dyDescent="0.3">
      <c r="J139" s="412"/>
      <c r="K139" s="281" t="str">
        <f>IF($B$3="","",IF($B$3="PREGRADO",DATA!Q140,""))</f>
        <v/>
      </c>
      <c r="L139" s="281" t="str">
        <f>IF($B$3="","",IF($B$3="PREGRADO",DATA!R140,""))</f>
        <v/>
      </c>
      <c r="M139" s="281" t="str">
        <f>IF($B$3="","",IF($B$3="PREGRADO",DATA!S140,""))</f>
        <v/>
      </c>
      <c r="N139" s="412"/>
      <c r="O139" s="281" t="str">
        <f>IF($B$3="","",IF($B$3="PREGRADO",DATA!T140,""))</f>
        <v/>
      </c>
      <c r="P139" s="281" t="str">
        <f>IF($B$3="","",IF($B$3="PREGRADO",DATA!U140,""))</f>
        <v/>
      </c>
      <c r="Q139" s="412"/>
      <c r="R139" s="425"/>
      <c r="S139" s="281" t="str">
        <f>IF($B$3="","",IF($B$3="PREGRADO",DATA!W140,""))</f>
        <v/>
      </c>
      <c r="T139" s="283" t="str" cm="1">
        <f t="array" ref="T139">IF($B$9="","",_xlfn.IFS($B$9="PRESENCIAL",_xlfn.XLOOKUP($S139,DATA!$B$4:$B$8,DATA!$D$4:$D$8,"",0,),$B$9="VIRTUAL",_xlfn.XLOOKUP($S139,DATA!$G$4:$G$8,DATA!$I$4:$I$8,"",0),$B$9="DISTANCIA",_xlfn.XLOOKUP($S139,DATA!$L$4:$L$8,DATA!$N$4:$N$8,"",0)))</f>
        <v/>
      </c>
      <c r="U139" s="283" t="str" cm="1">
        <f t="array" ref="U139">IF($B$9="","",_xlfn.IFS($B$9="PRESENCIAL",_xlfn.XLOOKUP($S139,DATA!$B$4:$B$8,DATA!$E$4:$E$8,"",0,),$B$9="VIRTUAL",_xlfn.XLOOKUP($S139,DATA!$G$4:$G$8,DATA!$J$4:$J$8,"",0),$B$9="DISTANCIA",_xlfn.XLOOKUP($S139,DATA!$L$4:$L$8,DATA!$O$4:$O$8,"",0)))</f>
        <v/>
      </c>
      <c r="V139" s="261" t="str">
        <f t="shared" si="4"/>
        <v/>
      </c>
      <c r="W139" s="282"/>
      <c r="X139" s="282"/>
      <c r="Y139" s="282"/>
      <c r="Z139" s="282"/>
      <c r="AA139" s="282"/>
      <c r="AB139" s="284"/>
      <c r="AC139" s="262" t="str">
        <f>IF(AE139="","",COUNTIF($AE$1:AE139,AE139))</f>
        <v/>
      </c>
      <c r="AD139" s="261" t="str">
        <f>IF(J139='PLAN DE ESTUDIO'!$XFD$41,"",IF(AE139="","",AC139&amp;K139&amp;L139&amp;M139))</f>
        <v/>
      </c>
      <c r="AE139" s="261" t="str">
        <f>IF(J139='PLAN DE ESTUDIO'!$XFD$41,"",IF(AF139=1,K139&amp;L139&amp;M139,""))</f>
        <v/>
      </c>
      <c r="AF139" s="261">
        <f>COUNTIF($O$1:O139,$O139)</f>
        <v>138</v>
      </c>
      <c r="AG139" s="285" t="str">
        <f>IF(J139='PLAN DE ESTUDIO'!$XFD$41,"",IF(P139="TP","Teórico-Práctica",IF(P139="T","Teórico",IF(P139="P","Práctica",""))))</f>
        <v/>
      </c>
      <c r="AH139" s="234" t="str">
        <f t="shared" si="5"/>
        <v xml:space="preserve"> </v>
      </c>
    </row>
    <row r="140" spans="10:34" x14ac:dyDescent="0.3">
      <c r="J140" s="412"/>
      <c r="K140" s="281" t="str">
        <f>IF($B$3="","",IF($B$3="PREGRADO",DATA!Q141,""))</f>
        <v/>
      </c>
      <c r="L140" s="281" t="str">
        <f>IF($B$3="","",IF($B$3="PREGRADO",DATA!R141,""))</f>
        <v/>
      </c>
      <c r="M140" s="281" t="str">
        <f>IF($B$3="","",IF($B$3="PREGRADO",DATA!S141,""))</f>
        <v/>
      </c>
      <c r="N140" s="412"/>
      <c r="O140" s="281" t="str">
        <f>IF($B$3="","",IF($B$3="PREGRADO",DATA!T141,""))</f>
        <v/>
      </c>
      <c r="P140" s="281" t="str">
        <f>IF($B$3="","",IF($B$3="PREGRADO",DATA!U141,""))</f>
        <v/>
      </c>
      <c r="Q140" s="412"/>
      <c r="R140" s="425"/>
      <c r="S140" s="281" t="str">
        <f>IF($B$3="","",IF($B$3="PREGRADO",DATA!W141,""))</f>
        <v/>
      </c>
      <c r="T140" s="283" t="str" cm="1">
        <f t="array" ref="T140">IF($B$9="","",_xlfn.IFS($B$9="PRESENCIAL",_xlfn.XLOOKUP($S140,DATA!$B$4:$B$8,DATA!$D$4:$D$8,"",0,),$B$9="VIRTUAL",_xlfn.XLOOKUP($S140,DATA!$G$4:$G$8,DATA!$I$4:$I$8,"",0),$B$9="DISTANCIA",_xlfn.XLOOKUP($S140,DATA!$L$4:$L$8,DATA!$N$4:$N$8,"",0)))</f>
        <v/>
      </c>
      <c r="U140" s="283" t="str" cm="1">
        <f t="array" ref="U140">IF($B$9="","",_xlfn.IFS($B$9="PRESENCIAL",_xlfn.XLOOKUP($S140,DATA!$B$4:$B$8,DATA!$E$4:$E$8,"",0,),$B$9="VIRTUAL",_xlfn.XLOOKUP($S140,DATA!$G$4:$G$8,DATA!$J$4:$J$8,"",0),$B$9="DISTANCIA",_xlfn.XLOOKUP($S140,DATA!$L$4:$L$8,DATA!$O$4:$O$8,"",0)))</f>
        <v/>
      </c>
      <c r="V140" s="261" t="str">
        <f t="shared" si="4"/>
        <v/>
      </c>
      <c r="W140" s="282"/>
      <c r="X140" s="282"/>
      <c r="Y140" s="282"/>
      <c r="Z140" s="282"/>
      <c r="AA140" s="282"/>
      <c r="AB140" s="284"/>
      <c r="AC140" s="262" t="str">
        <f>IF(AE140="","",COUNTIF($AE$1:AE140,AE140))</f>
        <v/>
      </c>
      <c r="AD140" s="261" t="str">
        <f>IF(J140='PLAN DE ESTUDIO'!$XFD$41,"",IF(AE140="","",AC140&amp;K140&amp;L140&amp;M140))</f>
        <v/>
      </c>
      <c r="AE140" s="261" t="str">
        <f>IF(J140='PLAN DE ESTUDIO'!$XFD$41,"",IF(AF140=1,K140&amp;L140&amp;M140,""))</f>
        <v/>
      </c>
      <c r="AF140" s="261">
        <f>COUNTIF($O$1:O140,$O140)</f>
        <v>139</v>
      </c>
      <c r="AG140" s="285" t="str">
        <f>IF(J140='PLAN DE ESTUDIO'!$XFD$41,"",IF(P140="TP","Teórico-Práctica",IF(P140="T","Teórico",IF(P140="P","Práctica",""))))</f>
        <v/>
      </c>
      <c r="AH140" s="234" t="str">
        <f t="shared" si="5"/>
        <v xml:space="preserve"> </v>
      </c>
    </row>
    <row r="141" spans="10:34" x14ac:dyDescent="0.3">
      <c r="J141" s="412"/>
      <c r="K141" s="281" t="str">
        <f>IF($B$3="","",IF($B$3="PREGRADO",DATA!Q142,""))</f>
        <v/>
      </c>
      <c r="L141" s="281" t="str">
        <f>IF($B$3="","",IF($B$3="PREGRADO",DATA!R142,""))</f>
        <v/>
      </c>
      <c r="M141" s="281" t="str">
        <f>IF($B$3="","",IF($B$3="PREGRADO",DATA!S142,""))</f>
        <v/>
      </c>
      <c r="N141" s="412"/>
      <c r="O141" s="281" t="str">
        <f>IF($B$3="","",IF($B$3="PREGRADO",DATA!T142,""))</f>
        <v/>
      </c>
      <c r="P141" s="281" t="str">
        <f>IF($B$3="","",IF($B$3="PREGRADO",DATA!U142,""))</f>
        <v/>
      </c>
      <c r="Q141" s="412"/>
      <c r="R141" s="425"/>
      <c r="S141" s="281" t="str">
        <f>IF($B$3="","",IF($B$3="PREGRADO",DATA!W142,""))</f>
        <v/>
      </c>
      <c r="T141" s="283" t="str" cm="1">
        <f t="array" ref="T141">IF($B$9="","",_xlfn.IFS($B$9="PRESENCIAL",_xlfn.XLOOKUP($S141,DATA!$B$4:$B$8,DATA!$D$4:$D$8,"",0,),$B$9="VIRTUAL",_xlfn.XLOOKUP($S141,DATA!$G$4:$G$8,DATA!$I$4:$I$8,"",0),$B$9="DISTANCIA",_xlfn.XLOOKUP($S141,DATA!$L$4:$L$8,DATA!$N$4:$N$8,"",0)))</f>
        <v/>
      </c>
      <c r="U141" s="283" t="str" cm="1">
        <f t="array" ref="U141">IF($B$9="","",_xlfn.IFS($B$9="PRESENCIAL",_xlfn.XLOOKUP($S141,DATA!$B$4:$B$8,DATA!$E$4:$E$8,"",0,),$B$9="VIRTUAL",_xlfn.XLOOKUP($S141,DATA!$G$4:$G$8,DATA!$J$4:$J$8,"",0),$B$9="DISTANCIA",_xlfn.XLOOKUP($S141,DATA!$L$4:$L$8,DATA!$O$4:$O$8,"",0)))</f>
        <v/>
      </c>
      <c r="V141" s="261" t="str">
        <f t="shared" si="4"/>
        <v/>
      </c>
      <c r="W141" s="282"/>
      <c r="X141" s="282"/>
      <c r="Y141" s="282"/>
      <c r="Z141" s="282"/>
      <c r="AA141" s="282"/>
      <c r="AB141" s="284"/>
      <c r="AC141" s="262" t="str">
        <f>IF(AE141="","",COUNTIF($AE$1:AE141,AE141))</f>
        <v/>
      </c>
      <c r="AD141" s="261" t="str">
        <f>IF(J141='PLAN DE ESTUDIO'!$XFD$41,"",IF(AE141="","",AC141&amp;K141&amp;L141&amp;M141))</f>
        <v/>
      </c>
      <c r="AE141" s="261" t="str">
        <f>IF(J141='PLAN DE ESTUDIO'!$XFD$41,"",IF(AF141=1,K141&amp;L141&amp;M141,""))</f>
        <v/>
      </c>
      <c r="AF141" s="261">
        <f>COUNTIF($O$1:O141,$O141)</f>
        <v>140</v>
      </c>
      <c r="AG141" s="285" t="str">
        <f>IF(J141='PLAN DE ESTUDIO'!$XFD$41,"",IF(P141="TP","Teórico-Práctica",IF(P141="T","Teórico",IF(P141="P","Práctica",""))))</f>
        <v/>
      </c>
      <c r="AH141" s="234" t="str">
        <f t="shared" si="5"/>
        <v xml:space="preserve"> </v>
      </c>
    </row>
    <row r="142" spans="10:34" x14ac:dyDescent="0.3">
      <c r="J142" s="412"/>
      <c r="K142" s="281" t="str">
        <f>IF($B$3="","",IF($B$3="PREGRADO",DATA!Q143,""))</f>
        <v/>
      </c>
      <c r="L142" s="281" t="str">
        <f>IF($B$3="","",IF($B$3="PREGRADO",DATA!R143,""))</f>
        <v/>
      </c>
      <c r="M142" s="281" t="str">
        <f>IF($B$3="","",IF($B$3="PREGRADO",DATA!S143,""))</f>
        <v/>
      </c>
      <c r="N142" s="412"/>
      <c r="O142" s="281" t="str">
        <f>IF($B$3="","",IF($B$3="PREGRADO",DATA!T143,""))</f>
        <v/>
      </c>
      <c r="P142" s="281" t="str">
        <f>IF($B$3="","",IF($B$3="PREGRADO",DATA!U143,""))</f>
        <v/>
      </c>
      <c r="Q142" s="412"/>
      <c r="R142" s="425"/>
      <c r="S142" s="281" t="str">
        <f>IF($B$3="","",IF($B$3="PREGRADO",DATA!W143,""))</f>
        <v/>
      </c>
      <c r="T142" s="283" t="str" cm="1">
        <f t="array" ref="T142">IF($B$9="","",_xlfn.IFS($B$9="PRESENCIAL",_xlfn.XLOOKUP($S142,DATA!$B$4:$B$8,DATA!$D$4:$D$8,"",0,),$B$9="VIRTUAL",_xlfn.XLOOKUP($S142,DATA!$G$4:$G$8,DATA!$I$4:$I$8,"",0),$B$9="DISTANCIA",_xlfn.XLOOKUP($S142,DATA!$L$4:$L$8,DATA!$N$4:$N$8,"",0)))</f>
        <v/>
      </c>
      <c r="U142" s="283" t="str" cm="1">
        <f t="array" ref="U142">IF($B$9="","",_xlfn.IFS($B$9="PRESENCIAL",_xlfn.XLOOKUP($S142,DATA!$B$4:$B$8,DATA!$E$4:$E$8,"",0,),$B$9="VIRTUAL",_xlfn.XLOOKUP($S142,DATA!$G$4:$G$8,DATA!$J$4:$J$8,"",0),$B$9="DISTANCIA",_xlfn.XLOOKUP($S142,DATA!$L$4:$L$8,DATA!$O$4:$O$8,"",0)))</f>
        <v/>
      </c>
      <c r="V142" s="261" t="str">
        <f t="shared" si="4"/>
        <v/>
      </c>
      <c r="W142" s="282"/>
      <c r="X142" s="282"/>
      <c r="Y142" s="282"/>
      <c r="Z142" s="282"/>
      <c r="AA142" s="282"/>
      <c r="AB142" s="284"/>
      <c r="AC142" s="262" t="str">
        <f>IF(AE142="","",COUNTIF($AE$1:AE142,AE142))</f>
        <v/>
      </c>
      <c r="AD142" s="261" t="str">
        <f>IF(J142='PLAN DE ESTUDIO'!$XFD$41,"",IF(AE142="","",AC142&amp;K142&amp;L142&amp;M142))</f>
        <v/>
      </c>
      <c r="AE142" s="261" t="str">
        <f>IF(J142='PLAN DE ESTUDIO'!$XFD$41,"",IF(AF142=1,K142&amp;L142&amp;M142,""))</f>
        <v/>
      </c>
      <c r="AF142" s="261">
        <f>COUNTIF($O$1:O142,$O142)</f>
        <v>141</v>
      </c>
      <c r="AG142" s="285" t="str">
        <f>IF(J142='PLAN DE ESTUDIO'!$XFD$41,"",IF(P142="TP","Teórico-Práctica",IF(P142="T","Teórico",IF(P142="P","Práctica",""))))</f>
        <v/>
      </c>
      <c r="AH142" s="234" t="str">
        <f t="shared" si="5"/>
        <v xml:space="preserve"> </v>
      </c>
    </row>
    <row r="143" spans="10:34" x14ac:dyDescent="0.3">
      <c r="J143" s="412"/>
      <c r="K143" s="281" t="str">
        <f>IF($B$3="","",IF($B$3="PREGRADO",DATA!Q144,""))</f>
        <v/>
      </c>
      <c r="L143" s="281" t="str">
        <f>IF($B$3="","",IF($B$3="PREGRADO",DATA!R144,""))</f>
        <v/>
      </c>
      <c r="M143" s="281" t="str">
        <f>IF($B$3="","",IF($B$3="PREGRADO",DATA!S144,""))</f>
        <v/>
      </c>
      <c r="N143" s="412"/>
      <c r="O143" s="281" t="str">
        <f>IF($B$3="","",IF($B$3="PREGRADO",DATA!T144,""))</f>
        <v/>
      </c>
      <c r="P143" s="281" t="str">
        <f>IF($B$3="","",IF($B$3="PREGRADO",DATA!U144,""))</f>
        <v/>
      </c>
      <c r="Q143" s="412"/>
      <c r="R143" s="425"/>
      <c r="S143" s="281" t="str">
        <f>IF($B$3="","",IF($B$3="PREGRADO",DATA!W144,""))</f>
        <v/>
      </c>
      <c r="T143" s="283" t="str" cm="1">
        <f t="array" ref="T143">IF($B$9="","",_xlfn.IFS($B$9="PRESENCIAL",_xlfn.XLOOKUP($S143,DATA!$B$4:$B$8,DATA!$D$4:$D$8,"",0,),$B$9="VIRTUAL",_xlfn.XLOOKUP($S143,DATA!$G$4:$G$8,DATA!$I$4:$I$8,"",0),$B$9="DISTANCIA",_xlfn.XLOOKUP($S143,DATA!$L$4:$L$8,DATA!$N$4:$N$8,"",0)))</f>
        <v/>
      </c>
      <c r="U143" s="283" t="str" cm="1">
        <f t="array" ref="U143">IF($B$9="","",_xlfn.IFS($B$9="PRESENCIAL",_xlfn.XLOOKUP($S143,DATA!$B$4:$B$8,DATA!$E$4:$E$8,"",0,),$B$9="VIRTUAL",_xlfn.XLOOKUP($S143,DATA!$G$4:$G$8,DATA!$J$4:$J$8,"",0),$B$9="DISTANCIA",_xlfn.XLOOKUP($S143,DATA!$L$4:$L$8,DATA!$O$4:$O$8,"",0)))</f>
        <v/>
      </c>
      <c r="V143" s="261" t="str">
        <f t="shared" si="4"/>
        <v/>
      </c>
      <c r="W143" s="282"/>
      <c r="X143" s="282"/>
      <c r="Y143" s="282"/>
      <c r="Z143" s="282"/>
      <c r="AA143" s="282"/>
      <c r="AB143" s="284"/>
      <c r="AC143" s="262" t="str">
        <f>IF(AE143="","",COUNTIF($AE$1:AE143,AE143))</f>
        <v/>
      </c>
      <c r="AD143" s="261" t="str">
        <f>IF(J143='PLAN DE ESTUDIO'!$XFD$41,"",IF(AE143="","",AC143&amp;K143&amp;L143&amp;M143))</f>
        <v/>
      </c>
      <c r="AE143" s="261" t="str">
        <f>IF(J143='PLAN DE ESTUDIO'!$XFD$41,"",IF(AF143=1,K143&amp;L143&amp;M143,""))</f>
        <v/>
      </c>
      <c r="AF143" s="261">
        <f>COUNTIF($O$1:O143,$O143)</f>
        <v>142</v>
      </c>
      <c r="AG143" s="285" t="str">
        <f>IF(J143='PLAN DE ESTUDIO'!$XFD$41,"",IF(P143="TP","Teórico-Práctica",IF(P143="T","Teórico",IF(P143="P","Práctica",""))))</f>
        <v/>
      </c>
      <c r="AH143" s="234" t="str">
        <f t="shared" si="5"/>
        <v xml:space="preserve"> </v>
      </c>
    </row>
    <row r="144" spans="10:34" x14ac:dyDescent="0.3">
      <c r="J144" s="412"/>
      <c r="K144" s="281" t="str">
        <f>IF($B$3="","",IF($B$3="PREGRADO",DATA!Q145,""))</f>
        <v/>
      </c>
      <c r="L144" s="281" t="str">
        <f>IF($B$3="","",IF($B$3="PREGRADO",DATA!R145,""))</f>
        <v/>
      </c>
      <c r="M144" s="281" t="str">
        <f>IF($B$3="","",IF($B$3="PREGRADO",DATA!S145,""))</f>
        <v/>
      </c>
      <c r="N144" s="412"/>
      <c r="O144" s="281" t="str">
        <f>IF($B$3="","",IF($B$3="PREGRADO",DATA!T145,""))</f>
        <v/>
      </c>
      <c r="P144" s="281" t="str">
        <f>IF($B$3="","",IF($B$3="PREGRADO",DATA!U145,""))</f>
        <v/>
      </c>
      <c r="Q144" s="412"/>
      <c r="R144" s="425"/>
      <c r="S144" s="281" t="str">
        <f>IF($B$3="","",IF($B$3="PREGRADO",DATA!W145,""))</f>
        <v/>
      </c>
      <c r="T144" s="283" t="str" cm="1">
        <f t="array" ref="T144">IF($B$9="","",_xlfn.IFS($B$9="PRESENCIAL",_xlfn.XLOOKUP($S144,DATA!$B$4:$B$8,DATA!$D$4:$D$8,"",0,),$B$9="VIRTUAL",_xlfn.XLOOKUP($S144,DATA!$G$4:$G$8,DATA!$I$4:$I$8,"",0),$B$9="DISTANCIA",_xlfn.XLOOKUP($S144,DATA!$L$4:$L$8,DATA!$N$4:$N$8,"",0)))</f>
        <v/>
      </c>
      <c r="U144" s="283" t="str" cm="1">
        <f t="array" ref="U144">IF($B$9="","",_xlfn.IFS($B$9="PRESENCIAL",_xlfn.XLOOKUP($S144,DATA!$B$4:$B$8,DATA!$E$4:$E$8,"",0,),$B$9="VIRTUAL",_xlfn.XLOOKUP($S144,DATA!$G$4:$G$8,DATA!$J$4:$J$8,"",0),$B$9="DISTANCIA",_xlfn.XLOOKUP($S144,DATA!$L$4:$L$8,DATA!$O$4:$O$8,"",0)))</f>
        <v/>
      </c>
      <c r="V144" s="261" t="str">
        <f t="shared" si="4"/>
        <v/>
      </c>
      <c r="W144" s="282"/>
      <c r="X144" s="282"/>
      <c r="Y144" s="282"/>
      <c r="Z144" s="282"/>
      <c r="AA144" s="282"/>
      <c r="AB144" s="284"/>
      <c r="AC144" s="262" t="str">
        <f>IF(AE144="","",COUNTIF($AE$1:AE144,AE144))</f>
        <v/>
      </c>
      <c r="AD144" s="261" t="str">
        <f>IF(J144='PLAN DE ESTUDIO'!$XFD$41,"",IF(AE144="","",AC144&amp;K144&amp;L144&amp;M144))</f>
        <v/>
      </c>
      <c r="AE144" s="261" t="str">
        <f>IF(J144='PLAN DE ESTUDIO'!$XFD$41,"",IF(AF144=1,K144&amp;L144&amp;M144,""))</f>
        <v/>
      </c>
      <c r="AF144" s="261">
        <f>COUNTIF($O$1:O144,$O144)</f>
        <v>143</v>
      </c>
      <c r="AG144" s="285" t="str">
        <f>IF(J144='PLAN DE ESTUDIO'!$XFD$41,"",IF(P144="TP","Teórico-Práctica",IF(P144="T","Teórico",IF(P144="P","Práctica",""))))</f>
        <v/>
      </c>
      <c r="AH144" s="234" t="str">
        <f t="shared" si="5"/>
        <v xml:space="preserve"> </v>
      </c>
    </row>
    <row r="145" spans="10:34" x14ac:dyDescent="0.3">
      <c r="J145" s="412"/>
      <c r="K145" s="281" t="str">
        <f>IF($B$3="","",IF($B$3="PREGRADO",DATA!Q146,""))</f>
        <v/>
      </c>
      <c r="L145" s="281" t="str">
        <f>IF($B$3="","",IF($B$3="PREGRADO",DATA!R146,""))</f>
        <v/>
      </c>
      <c r="M145" s="281" t="str">
        <f>IF($B$3="","",IF($B$3="PREGRADO",DATA!S146,""))</f>
        <v/>
      </c>
      <c r="N145" s="412"/>
      <c r="O145" s="281" t="str">
        <f>IF($B$3="","",IF($B$3="PREGRADO",DATA!T146,""))</f>
        <v/>
      </c>
      <c r="P145" s="281" t="str">
        <f>IF($B$3="","",IF($B$3="PREGRADO",DATA!U146,""))</f>
        <v/>
      </c>
      <c r="Q145" s="412"/>
      <c r="R145" s="425"/>
      <c r="S145" s="281" t="str">
        <f>IF($B$3="","",IF($B$3="PREGRADO",DATA!W146,""))</f>
        <v/>
      </c>
      <c r="T145" s="283" t="str" cm="1">
        <f t="array" ref="T145">IF($B$9="","",_xlfn.IFS($B$9="PRESENCIAL",_xlfn.XLOOKUP($S145,DATA!$B$4:$B$8,DATA!$D$4:$D$8,"",0,),$B$9="VIRTUAL",_xlfn.XLOOKUP($S145,DATA!$G$4:$G$8,DATA!$I$4:$I$8,"",0),$B$9="DISTANCIA",_xlfn.XLOOKUP($S145,DATA!$L$4:$L$8,DATA!$N$4:$N$8,"",0)))</f>
        <v/>
      </c>
      <c r="U145" s="283" t="str" cm="1">
        <f t="array" ref="U145">IF($B$9="","",_xlfn.IFS($B$9="PRESENCIAL",_xlfn.XLOOKUP($S145,DATA!$B$4:$B$8,DATA!$E$4:$E$8,"",0,),$B$9="VIRTUAL",_xlfn.XLOOKUP($S145,DATA!$G$4:$G$8,DATA!$J$4:$J$8,"",0),$B$9="DISTANCIA",_xlfn.XLOOKUP($S145,DATA!$L$4:$L$8,DATA!$O$4:$O$8,"",0)))</f>
        <v/>
      </c>
      <c r="V145" s="261" t="str">
        <f t="shared" si="4"/>
        <v/>
      </c>
      <c r="W145" s="282"/>
      <c r="X145" s="282"/>
      <c r="Y145" s="282"/>
      <c r="Z145" s="282"/>
      <c r="AA145" s="282"/>
      <c r="AB145" s="284"/>
      <c r="AC145" s="262" t="str">
        <f>IF(AE145="","",COUNTIF($AE$1:AE145,AE145))</f>
        <v/>
      </c>
      <c r="AD145" s="261" t="str">
        <f>IF(J145='PLAN DE ESTUDIO'!$XFD$41,"",IF(AE145="","",AC145&amp;K145&amp;L145&amp;M145))</f>
        <v/>
      </c>
      <c r="AE145" s="261" t="str">
        <f>IF(J145='PLAN DE ESTUDIO'!$XFD$41,"",IF(AF145=1,K145&amp;L145&amp;M145,""))</f>
        <v/>
      </c>
      <c r="AF145" s="261">
        <f>COUNTIF($O$1:O145,$O145)</f>
        <v>144</v>
      </c>
      <c r="AG145" s="285" t="str">
        <f>IF(J145='PLAN DE ESTUDIO'!$XFD$41,"",IF(P145="TP","Teórico-Práctica",IF(P145="T","Teórico",IF(P145="P","Práctica",""))))</f>
        <v/>
      </c>
      <c r="AH145" s="234" t="str">
        <f t="shared" si="5"/>
        <v xml:space="preserve"> </v>
      </c>
    </row>
    <row r="146" spans="10:34" x14ac:dyDescent="0.3">
      <c r="J146" s="412"/>
      <c r="K146" s="281" t="str">
        <f>IF($B$3="","",IF($B$3="PREGRADO",DATA!Q147,""))</f>
        <v/>
      </c>
      <c r="L146" s="281" t="str">
        <f>IF($B$3="","",IF($B$3="PREGRADO",DATA!R147,""))</f>
        <v/>
      </c>
      <c r="M146" s="281" t="str">
        <f>IF($B$3="","",IF($B$3="PREGRADO",DATA!S147,""))</f>
        <v/>
      </c>
      <c r="N146" s="412"/>
      <c r="O146" s="281" t="str">
        <f>IF($B$3="","",IF($B$3="PREGRADO",DATA!T147,""))</f>
        <v/>
      </c>
      <c r="P146" s="281" t="str">
        <f>IF($B$3="","",IF($B$3="PREGRADO",DATA!U147,""))</f>
        <v/>
      </c>
      <c r="Q146" s="412"/>
      <c r="R146" s="425"/>
      <c r="S146" s="281" t="str">
        <f>IF($B$3="","",IF($B$3="PREGRADO",DATA!W147,""))</f>
        <v/>
      </c>
      <c r="T146" s="283" t="str" cm="1">
        <f t="array" ref="T146">IF($B$9="","",_xlfn.IFS($B$9="PRESENCIAL",_xlfn.XLOOKUP($S146,DATA!$B$4:$B$8,DATA!$D$4:$D$8,"",0,),$B$9="VIRTUAL",_xlfn.XLOOKUP($S146,DATA!$G$4:$G$8,DATA!$I$4:$I$8,"",0),$B$9="DISTANCIA",_xlfn.XLOOKUP($S146,DATA!$L$4:$L$8,DATA!$N$4:$N$8,"",0)))</f>
        <v/>
      </c>
      <c r="U146" s="283" t="str" cm="1">
        <f t="array" ref="U146">IF($B$9="","",_xlfn.IFS($B$9="PRESENCIAL",_xlfn.XLOOKUP($S146,DATA!$B$4:$B$8,DATA!$E$4:$E$8,"",0,),$B$9="VIRTUAL",_xlfn.XLOOKUP($S146,DATA!$G$4:$G$8,DATA!$J$4:$J$8,"",0),$B$9="DISTANCIA",_xlfn.XLOOKUP($S146,DATA!$L$4:$L$8,DATA!$O$4:$O$8,"",0)))</f>
        <v/>
      </c>
      <c r="V146" s="261" t="str">
        <f t="shared" si="4"/>
        <v/>
      </c>
      <c r="W146" s="282"/>
      <c r="X146" s="282"/>
      <c r="Y146" s="282"/>
      <c r="Z146" s="282"/>
      <c r="AA146" s="282"/>
      <c r="AB146" s="284"/>
      <c r="AC146" s="262" t="str">
        <f>IF(AE146="","",COUNTIF($AE$1:AE146,AE146))</f>
        <v/>
      </c>
      <c r="AD146" s="261" t="str">
        <f>IF(J146='PLAN DE ESTUDIO'!$XFD$41,"",IF(AE146="","",AC146&amp;K146&amp;L146&amp;M146))</f>
        <v/>
      </c>
      <c r="AE146" s="261" t="str">
        <f>IF(J146='PLAN DE ESTUDIO'!$XFD$41,"",IF(AF146=1,K146&amp;L146&amp;M146,""))</f>
        <v/>
      </c>
      <c r="AF146" s="261">
        <f>COUNTIF($O$1:O146,$O146)</f>
        <v>145</v>
      </c>
      <c r="AG146" s="285" t="str">
        <f>IF(J146='PLAN DE ESTUDIO'!$XFD$41,"",IF(P146="TP","Teórico-Práctica",IF(P146="T","Teórico",IF(P146="P","Práctica",""))))</f>
        <v/>
      </c>
      <c r="AH146" s="234" t="str">
        <f t="shared" si="5"/>
        <v xml:space="preserve"> </v>
      </c>
    </row>
    <row r="147" spans="10:34" x14ac:dyDescent="0.3">
      <c r="J147" s="412"/>
      <c r="K147" s="281" t="str">
        <f>IF($B$3="","",IF($B$3="PREGRADO",DATA!Q148,""))</f>
        <v/>
      </c>
      <c r="L147" s="281" t="str">
        <f>IF($B$3="","",IF($B$3="PREGRADO",DATA!R148,""))</f>
        <v/>
      </c>
      <c r="M147" s="281" t="str">
        <f>IF($B$3="","",IF($B$3="PREGRADO",DATA!S148,""))</f>
        <v/>
      </c>
      <c r="N147" s="412"/>
      <c r="O147" s="281" t="str">
        <f>IF($B$3="","",IF($B$3="PREGRADO",DATA!T148,""))</f>
        <v/>
      </c>
      <c r="P147" s="281" t="str">
        <f>IF($B$3="","",IF($B$3="PREGRADO",DATA!U148,""))</f>
        <v/>
      </c>
      <c r="Q147" s="412"/>
      <c r="R147" s="425"/>
      <c r="S147" s="281" t="str">
        <f>IF($B$3="","",IF($B$3="PREGRADO",DATA!W148,""))</f>
        <v/>
      </c>
      <c r="T147" s="283" t="str" cm="1">
        <f t="array" ref="T147">IF($B$9="","",_xlfn.IFS($B$9="PRESENCIAL",_xlfn.XLOOKUP($S147,DATA!$B$4:$B$8,DATA!$D$4:$D$8,"",0,),$B$9="VIRTUAL",_xlfn.XLOOKUP($S147,DATA!$G$4:$G$8,DATA!$I$4:$I$8,"",0),$B$9="DISTANCIA",_xlfn.XLOOKUP($S147,DATA!$L$4:$L$8,DATA!$N$4:$N$8,"",0)))</f>
        <v/>
      </c>
      <c r="U147" s="283" t="str" cm="1">
        <f t="array" ref="U147">IF($B$9="","",_xlfn.IFS($B$9="PRESENCIAL",_xlfn.XLOOKUP($S147,DATA!$B$4:$B$8,DATA!$E$4:$E$8,"",0,),$B$9="VIRTUAL",_xlfn.XLOOKUP($S147,DATA!$G$4:$G$8,DATA!$J$4:$J$8,"",0),$B$9="DISTANCIA",_xlfn.XLOOKUP($S147,DATA!$L$4:$L$8,DATA!$O$4:$O$8,"",0)))</f>
        <v/>
      </c>
      <c r="V147" s="261" t="str">
        <f t="shared" si="4"/>
        <v/>
      </c>
      <c r="W147" s="282"/>
      <c r="X147" s="282"/>
      <c r="Y147" s="282"/>
      <c r="Z147" s="282"/>
      <c r="AA147" s="282"/>
      <c r="AB147" s="284"/>
      <c r="AC147" s="262" t="str">
        <f>IF(AE147="","",COUNTIF($AE$1:AE147,AE147))</f>
        <v/>
      </c>
      <c r="AD147" s="261" t="str">
        <f>IF(J147='PLAN DE ESTUDIO'!$XFD$41,"",IF(AE147="","",AC147&amp;K147&amp;L147&amp;M147))</f>
        <v/>
      </c>
      <c r="AE147" s="261" t="str">
        <f>IF(J147='PLAN DE ESTUDIO'!$XFD$41,"",IF(AF147=1,K147&amp;L147&amp;M147,""))</f>
        <v/>
      </c>
      <c r="AF147" s="261">
        <f>COUNTIF($O$1:O147,$O147)</f>
        <v>146</v>
      </c>
      <c r="AG147" s="285" t="str">
        <f>IF(J147='PLAN DE ESTUDIO'!$XFD$41,"",IF(P147="TP","Teórico-Práctica",IF(P147="T","Teórico",IF(P147="P","Práctica",""))))</f>
        <v/>
      </c>
      <c r="AH147" s="234" t="str">
        <f t="shared" si="5"/>
        <v xml:space="preserve"> </v>
      </c>
    </row>
    <row r="148" spans="10:34" x14ac:dyDescent="0.3">
      <c r="J148" s="412"/>
      <c r="K148" s="281" t="str">
        <f>IF($B$3="","",IF($B$3="PREGRADO",DATA!Q149,""))</f>
        <v/>
      </c>
      <c r="L148" s="281" t="str">
        <f>IF($B$3="","",IF($B$3="PREGRADO",DATA!R149,""))</f>
        <v/>
      </c>
      <c r="M148" s="281" t="str">
        <f>IF($B$3="","",IF($B$3="PREGRADO",DATA!S149,""))</f>
        <v/>
      </c>
      <c r="N148" s="412"/>
      <c r="O148" s="281" t="str">
        <f>IF($B$3="","",IF($B$3="PREGRADO",DATA!T149,""))</f>
        <v/>
      </c>
      <c r="P148" s="281" t="str">
        <f>IF($B$3="","",IF($B$3="PREGRADO",DATA!U149,""))</f>
        <v/>
      </c>
      <c r="Q148" s="412"/>
      <c r="R148" s="425"/>
      <c r="S148" s="281" t="str">
        <f>IF($B$3="","",IF($B$3="PREGRADO",DATA!W149,""))</f>
        <v/>
      </c>
      <c r="T148" s="283" t="str" cm="1">
        <f t="array" ref="T148">IF($B$9="","",_xlfn.IFS($B$9="PRESENCIAL",_xlfn.XLOOKUP($S148,DATA!$B$4:$B$8,DATA!$D$4:$D$8,"",0,),$B$9="VIRTUAL",_xlfn.XLOOKUP($S148,DATA!$G$4:$G$8,DATA!$I$4:$I$8,"",0),$B$9="DISTANCIA",_xlfn.XLOOKUP($S148,DATA!$L$4:$L$8,DATA!$N$4:$N$8,"",0)))</f>
        <v/>
      </c>
      <c r="U148" s="283" t="str" cm="1">
        <f t="array" ref="U148">IF($B$9="","",_xlfn.IFS($B$9="PRESENCIAL",_xlfn.XLOOKUP($S148,DATA!$B$4:$B$8,DATA!$E$4:$E$8,"",0,),$B$9="VIRTUAL",_xlfn.XLOOKUP($S148,DATA!$G$4:$G$8,DATA!$J$4:$J$8,"",0),$B$9="DISTANCIA",_xlfn.XLOOKUP($S148,DATA!$L$4:$L$8,DATA!$O$4:$O$8,"",0)))</f>
        <v/>
      </c>
      <c r="V148" s="261" t="str">
        <f t="shared" si="4"/>
        <v/>
      </c>
      <c r="W148" s="282"/>
      <c r="X148" s="282"/>
      <c r="Y148" s="282"/>
      <c r="Z148" s="282"/>
      <c r="AA148" s="282"/>
      <c r="AB148" s="284"/>
      <c r="AC148" s="262" t="str">
        <f>IF(AE148="","",COUNTIF($AE$1:AE148,AE148))</f>
        <v/>
      </c>
      <c r="AD148" s="261" t="str">
        <f>IF(J148='PLAN DE ESTUDIO'!$XFD$41,"",IF(AE148="","",AC148&amp;K148&amp;L148&amp;M148))</f>
        <v/>
      </c>
      <c r="AE148" s="261" t="str">
        <f>IF(J148='PLAN DE ESTUDIO'!$XFD$41,"",IF(AF148=1,K148&amp;L148&amp;M148,""))</f>
        <v/>
      </c>
      <c r="AF148" s="261">
        <f>COUNTIF($O$1:O148,$O148)</f>
        <v>147</v>
      </c>
      <c r="AG148" s="285" t="str">
        <f>IF(J148='PLAN DE ESTUDIO'!$XFD$41,"",IF(P148="TP","Teórico-Práctica",IF(P148="T","Teórico",IF(P148="P","Práctica",""))))</f>
        <v/>
      </c>
      <c r="AH148" s="234" t="str">
        <f t="shared" si="5"/>
        <v xml:space="preserve"> </v>
      </c>
    </row>
    <row r="149" spans="10:34" x14ac:dyDescent="0.3">
      <c r="J149" s="412"/>
      <c r="K149" s="281" t="str">
        <f>IF($B$3="","",IF($B$3="PREGRADO",DATA!Q150,""))</f>
        <v/>
      </c>
      <c r="L149" s="281" t="str">
        <f>IF($B$3="","",IF($B$3="PREGRADO",DATA!R150,""))</f>
        <v/>
      </c>
      <c r="M149" s="281" t="str">
        <f>IF($B$3="","",IF($B$3="PREGRADO",DATA!S150,""))</f>
        <v/>
      </c>
      <c r="N149" s="412"/>
      <c r="O149" s="281" t="str">
        <f>IF($B$3="","",IF($B$3="PREGRADO",DATA!T150,""))</f>
        <v/>
      </c>
      <c r="P149" s="281" t="str">
        <f>IF($B$3="","",IF($B$3="PREGRADO",DATA!U150,""))</f>
        <v/>
      </c>
      <c r="Q149" s="412"/>
      <c r="R149" s="425"/>
      <c r="S149" s="281" t="str">
        <f>IF($B$3="","",IF($B$3="PREGRADO",DATA!W150,""))</f>
        <v/>
      </c>
      <c r="T149" s="283" t="str" cm="1">
        <f t="array" ref="T149">IF($B$9="","",_xlfn.IFS($B$9="PRESENCIAL",_xlfn.XLOOKUP($S149,DATA!$B$4:$B$8,DATA!$D$4:$D$8,"",0,),$B$9="VIRTUAL",_xlfn.XLOOKUP($S149,DATA!$G$4:$G$8,DATA!$I$4:$I$8,"",0),$B$9="DISTANCIA",_xlfn.XLOOKUP($S149,DATA!$L$4:$L$8,DATA!$N$4:$N$8,"",0)))</f>
        <v/>
      </c>
      <c r="U149" s="283" t="str" cm="1">
        <f t="array" ref="U149">IF($B$9="","",_xlfn.IFS($B$9="PRESENCIAL",_xlfn.XLOOKUP($S149,DATA!$B$4:$B$8,DATA!$E$4:$E$8,"",0,),$B$9="VIRTUAL",_xlfn.XLOOKUP($S149,DATA!$G$4:$G$8,DATA!$J$4:$J$8,"",0),$B$9="DISTANCIA",_xlfn.XLOOKUP($S149,DATA!$L$4:$L$8,DATA!$O$4:$O$8,"",0)))</f>
        <v/>
      </c>
      <c r="V149" s="261" t="str">
        <f t="shared" si="4"/>
        <v/>
      </c>
      <c r="W149" s="282"/>
      <c r="X149" s="282"/>
      <c r="Y149" s="282"/>
      <c r="Z149" s="282"/>
      <c r="AA149" s="282"/>
      <c r="AB149" s="284"/>
      <c r="AC149" s="262" t="str">
        <f>IF(AE149="","",COUNTIF($AE$1:AE149,AE149))</f>
        <v/>
      </c>
      <c r="AD149" s="261" t="str">
        <f>IF(J149='PLAN DE ESTUDIO'!$XFD$41,"",IF(AE149="","",AC149&amp;K149&amp;L149&amp;M149))</f>
        <v/>
      </c>
      <c r="AE149" s="261" t="str">
        <f>IF(J149='PLAN DE ESTUDIO'!$XFD$41,"",IF(AF149=1,K149&amp;L149&amp;M149,""))</f>
        <v/>
      </c>
      <c r="AF149" s="261">
        <f>COUNTIF($O$1:O149,$O149)</f>
        <v>148</v>
      </c>
      <c r="AG149" s="285" t="str">
        <f>IF(J149='PLAN DE ESTUDIO'!$XFD$41,"",IF(P149="TP","Teórico-Práctica",IF(P149="T","Teórico",IF(P149="P","Práctica",""))))</f>
        <v/>
      </c>
      <c r="AH149" s="234" t="str">
        <f t="shared" si="5"/>
        <v xml:space="preserve"> </v>
      </c>
    </row>
    <row r="150" spans="10:34" x14ac:dyDescent="0.3">
      <c r="J150" s="412"/>
      <c r="K150" s="281" t="str">
        <f>IF($B$3="","",IF($B$3="PREGRADO",DATA!Q151,""))</f>
        <v/>
      </c>
      <c r="L150" s="281" t="str">
        <f>IF($B$3="","",IF($B$3="PREGRADO",DATA!R151,""))</f>
        <v/>
      </c>
      <c r="M150" s="281" t="str">
        <f>IF($B$3="","",IF($B$3="PREGRADO",DATA!S151,""))</f>
        <v/>
      </c>
      <c r="N150" s="412"/>
      <c r="O150" s="281" t="str">
        <f>IF($B$3="","",IF($B$3="PREGRADO",DATA!T151,""))</f>
        <v/>
      </c>
      <c r="P150" s="281" t="str">
        <f>IF($B$3="","",IF($B$3="PREGRADO",DATA!U151,""))</f>
        <v/>
      </c>
      <c r="Q150" s="412"/>
      <c r="R150" s="425"/>
      <c r="S150" s="281" t="str">
        <f>IF($B$3="","",IF($B$3="PREGRADO",DATA!W151,""))</f>
        <v/>
      </c>
      <c r="T150" s="283" t="str" cm="1">
        <f t="array" ref="T150">IF($B$9="","",_xlfn.IFS($B$9="PRESENCIAL",_xlfn.XLOOKUP($S150,DATA!$B$4:$B$8,DATA!$D$4:$D$8,"",0,),$B$9="VIRTUAL",_xlfn.XLOOKUP($S150,DATA!$G$4:$G$8,DATA!$I$4:$I$8,"",0),$B$9="DISTANCIA",_xlfn.XLOOKUP($S150,DATA!$L$4:$L$8,DATA!$N$4:$N$8,"",0)))</f>
        <v/>
      </c>
      <c r="U150" s="283" t="str" cm="1">
        <f t="array" ref="U150">IF($B$9="","",_xlfn.IFS($B$9="PRESENCIAL",_xlfn.XLOOKUP($S150,DATA!$B$4:$B$8,DATA!$E$4:$E$8,"",0,),$B$9="VIRTUAL",_xlfn.XLOOKUP($S150,DATA!$G$4:$G$8,DATA!$J$4:$J$8,"",0),$B$9="DISTANCIA",_xlfn.XLOOKUP($S150,DATA!$L$4:$L$8,DATA!$O$4:$O$8,"",0)))</f>
        <v/>
      </c>
      <c r="V150" s="261" t="str">
        <f t="shared" si="4"/>
        <v/>
      </c>
      <c r="W150" s="282"/>
      <c r="X150" s="282"/>
      <c r="Y150" s="282"/>
      <c r="Z150" s="282"/>
      <c r="AA150" s="282"/>
      <c r="AB150" s="284"/>
      <c r="AC150" s="262" t="str">
        <f>IF(AE150="","",COUNTIF($AE$1:AE150,AE150))</f>
        <v/>
      </c>
      <c r="AD150" s="261" t="str">
        <f>IF(J150='PLAN DE ESTUDIO'!$XFD$41,"",IF(AE150="","",AC150&amp;K150&amp;L150&amp;M150))</f>
        <v/>
      </c>
      <c r="AE150" s="261" t="str">
        <f>IF(J150='PLAN DE ESTUDIO'!$XFD$41,"",IF(AF150=1,K150&amp;L150&amp;M150,""))</f>
        <v/>
      </c>
      <c r="AF150" s="261">
        <f>COUNTIF($O$1:O150,$O150)</f>
        <v>149</v>
      </c>
      <c r="AG150" s="285" t="str">
        <f>IF(J150='PLAN DE ESTUDIO'!$XFD$41,"",IF(P150="TP","Teórico-Práctica",IF(P150="T","Teórico",IF(P150="P","Práctica",""))))</f>
        <v/>
      </c>
      <c r="AH150" s="234" t="str">
        <f t="shared" si="5"/>
        <v xml:space="preserve"> </v>
      </c>
    </row>
    <row r="151" spans="10:34" x14ac:dyDescent="0.3">
      <c r="J151" s="412"/>
      <c r="K151" s="281" t="str">
        <f>IF($B$3="","",IF($B$3="PREGRADO",DATA!Q152,""))</f>
        <v/>
      </c>
      <c r="L151" s="281" t="str">
        <f>IF($B$3="","",IF($B$3="PREGRADO",DATA!R152,""))</f>
        <v/>
      </c>
      <c r="M151" s="281" t="str">
        <f>IF($B$3="","",IF($B$3="PREGRADO",DATA!S152,""))</f>
        <v/>
      </c>
      <c r="N151" s="412"/>
      <c r="O151" s="281" t="str">
        <f>IF($B$3="","",IF($B$3="PREGRADO",DATA!T152,""))</f>
        <v/>
      </c>
      <c r="P151" s="281" t="str">
        <f>IF($B$3="","",IF($B$3="PREGRADO",DATA!U152,""))</f>
        <v/>
      </c>
      <c r="Q151" s="412"/>
      <c r="R151" s="425"/>
      <c r="S151" s="281" t="str">
        <f>IF($B$3="","",IF($B$3="PREGRADO",DATA!W152,""))</f>
        <v/>
      </c>
      <c r="T151" s="283" t="str" cm="1">
        <f t="array" ref="T151">IF($B$9="","",_xlfn.IFS($B$9="PRESENCIAL",_xlfn.XLOOKUP($S151,DATA!$B$4:$B$8,DATA!$D$4:$D$8,"",0,),$B$9="VIRTUAL",_xlfn.XLOOKUP($S151,DATA!$G$4:$G$8,DATA!$I$4:$I$8,"",0),$B$9="DISTANCIA",_xlfn.XLOOKUP($S151,DATA!$L$4:$L$8,DATA!$N$4:$N$8,"",0)))</f>
        <v/>
      </c>
      <c r="U151" s="283" t="str" cm="1">
        <f t="array" ref="U151">IF($B$9="","",_xlfn.IFS($B$9="PRESENCIAL",_xlfn.XLOOKUP($S151,DATA!$B$4:$B$8,DATA!$E$4:$E$8,"",0,),$B$9="VIRTUAL",_xlfn.XLOOKUP($S151,DATA!$G$4:$G$8,DATA!$J$4:$J$8,"",0),$B$9="DISTANCIA",_xlfn.XLOOKUP($S151,DATA!$L$4:$L$8,DATA!$O$4:$O$8,"",0)))</f>
        <v/>
      </c>
      <c r="V151" s="261" t="str">
        <f t="shared" si="4"/>
        <v/>
      </c>
      <c r="W151" s="282"/>
      <c r="X151" s="282"/>
      <c r="Y151" s="282"/>
      <c r="Z151" s="282"/>
      <c r="AA151" s="282"/>
      <c r="AB151" s="284"/>
      <c r="AC151" s="262" t="str">
        <f>IF(AE151="","",COUNTIF($AE$1:AE151,AE151))</f>
        <v/>
      </c>
      <c r="AD151" s="261" t="str">
        <f>IF(J151='PLAN DE ESTUDIO'!$XFD$41,"",IF(AE151="","",AC151&amp;K151&amp;L151&amp;M151))</f>
        <v/>
      </c>
      <c r="AE151" s="261" t="str">
        <f>IF(J151='PLAN DE ESTUDIO'!$XFD$41,"",IF(AF151=1,K151&amp;L151&amp;M151,""))</f>
        <v/>
      </c>
      <c r="AF151" s="261">
        <f>COUNTIF($O$1:O151,$O151)</f>
        <v>150</v>
      </c>
      <c r="AG151" s="285" t="str">
        <f>IF(J151='PLAN DE ESTUDIO'!$XFD$41,"",IF(P151="TP","Teórico-Práctica",IF(P151="T","Teórico",IF(P151="P","Práctica",""))))</f>
        <v/>
      </c>
      <c r="AH151" s="234" t="str">
        <f t="shared" si="5"/>
        <v xml:space="preserve"> </v>
      </c>
    </row>
    <row r="152" spans="10:34" x14ac:dyDescent="0.3">
      <c r="J152" s="412"/>
      <c r="K152" s="281" t="str">
        <f>IF($B$3="","",IF($B$3="PREGRADO",DATA!Q153,""))</f>
        <v/>
      </c>
      <c r="L152" s="281" t="str">
        <f>IF($B$3="","",IF($B$3="PREGRADO",DATA!R153,""))</f>
        <v/>
      </c>
      <c r="M152" s="281" t="str">
        <f>IF($B$3="","",IF($B$3="PREGRADO",DATA!S153,""))</f>
        <v/>
      </c>
      <c r="N152" s="412"/>
      <c r="O152" s="281" t="str">
        <f>IF($B$3="","",IF($B$3="PREGRADO",DATA!T153,""))</f>
        <v/>
      </c>
      <c r="P152" s="281" t="str">
        <f>IF($B$3="","",IF($B$3="PREGRADO",DATA!U153,""))</f>
        <v/>
      </c>
      <c r="Q152" s="412"/>
      <c r="R152" s="425"/>
      <c r="S152" s="281" t="str">
        <f>IF($B$3="","",IF($B$3="PREGRADO",DATA!W153,""))</f>
        <v/>
      </c>
      <c r="T152" s="283" t="str" cm="1">
        <f t="array" ref="T152">IF($B$9="","",_xlfn.IFS($B$9="PRESENCIAL",_xlfn.XLOOKUP($S152,DATA!$B$4:$B$8,DATA!$D$4:$D$8,"",0,),$B$9="VIRTUAL",_xlfn.XLOOKUP($S152,DATA!$G$4:$G$8,DATA!$I$4:$I$8,"",0),$B$9="DISTANCIA",_xlfn.XLOOKUP($S152,DATA!$L$4:$L$8,DATA!$N$4:$N$8,"",0)))</f>
        <v/>
      </c>
      <c r="U152" s="283" t="str" cm="1">
        <f t="array" ref="U152">IF($B$9="","",_xlfn.IFS($B$9="PRESENCIAL",_xlfn.XLOOKUP($S152,DATA!$B$4:$B$8,DATA!$E$4:$E$8,"",0,),$B$9="VIRTUAL",_xlfn.XLOOKUP($S152,DATA!$G$4:$G$8,DATA!$J$4:$J$8,"",0),$B$9="DISTANCIA",_xlfn.XLOOKUP($S152,DATA!$L$4:$L$8,DATA!$O$4:$O$8,"",0)))</f>
        <v/>
      </c>
      <c r="V152" s="261" t="str">
        <f t="shared" si="4"/>
        <v/>
      </c>
      <c r="W152" s="282"/>
      <c r="X152" s="282"/>
      <c r="Y152" s="282"/>
      <c r="Z152" s="282"/>
      <c r="AA152" s="282"/>
      <c r="AB152" s="284"/>
      <c r="AC152" s="262" t="str">
        <f>IF(AE152="","",COUNTIF($AE$1:AE152,AE152))</f>
        <v/>
      </c>
      <c r="AD152" s="261" t="str">
        <f>IF(J152='PLAN DE ESTUDIO'!$XFD$41,"",IF(AE152="","",AC152&amp;K152&amp;L152&amp;M152))</f>
        <v/>
      </c>
      <c r="AE152" s="261" t="str">
        <f>IF(J152='PLAN DE ESTUDIO'!$XFD$41,"",IF(AF152=1,K152&amp;L152&amp;M152,""))</f>
        <v/>
      </c>
      <c r="AF152" s="261">
        <f>COUNTIF($O$1:O152,$O152)</f>
        <v>151</v>
      </c>
      <c r="AG152" s="285" t="str">
        <f>IF(J152='PLAN DE ESTUDIO'!$XFD$41,"",IF(P152="TP","Teórico-Práctica",IF(P152="T","Teórico",IF(P152="P","Práctica",""))))</f>
        <v/>
      </c>
      <c r="AH152" s="234" t="str">
        <f t="shared" si="5"/>
        <v xml:space="preserve"> </v>
      </c>
    </row>
    <row r="153" spans="10:34" x14ac:dyDescent="0.3">
      <c r="J153" s="412"/>
      <c r="K153" s="281" t="str">
        <f>IF($B$3="","",IF($B$3="PREGRADO",DATA!Q154,""))</f>
        <v/>
      </c>
      <c r="L153" s="281" t="str">
        <f>IF($B$3="","",IF($B$3="PREGRADO",DATA!R154,""))</f>
        <v/>
      </c>
      <c r="M153" s="281" t="str">
        <f>IF($B$3="","",IF($B$3="PREGRADO",DATA!S154,""))</f>
        <v/>
      </c>
      <c r="N153" s="412"/>
      <c r="O153" s="281" t="str">
        <f>IF($B$3="","",IF($B$3="PREGRADO",DATA!T154,""))</f>
        <v/>
      </c>
      <c r="P153" s="281" t="str">
        <f>IF($B$3="","",IF($B$3="PREGRADO",DATA!U154,""))</f>
        <v/>
      </c>
      <c r="Q153" s="412"/>
      <c r="R153" s="425"/>
      <c r="S153" s="281" t="str">
        <f>IF($B$3="","",IF($B$3="PREGRADO",DATA!W154,""))</f>
        <v/>
      </c>
      <c r="T153" s="283" t="str" cm="1">
        <f t="array" ref="T153">IF($B$9="","",_xlfn.IFS($B$9="PRESENCIAL",_xlfn.XLOOKUP($S153,DATA!$B$4:$B$8,DATA!$D$4:$D$8,"",0,),$B$9="VIRTUAL",_xlfn.XLOOKUP($S153,DATA!$G$4:$G$8,DATA!$I$4:$I$8,"",0),$B$9="DISTANCIA",_xlfn.XLOOKUP($S153,DATA!$L$4:$L$8,DATA!$N$4:$N$8,"",0)))</f>
        <v/>
      </c>
      <c r="U153" s="283" t="str" cm="1">
        <f t="array" ref="U153">IF($B$9="","",_xlfn.IFS($B$9="PRESENCIAL",_xlfn.XLOOKUP($S153,DATA!$B$4:$B$8,DATA!$E$4:$E$8,"",0,),$B$9="VIRTUAL",_xlfn.XLOOKUP($S153,DATA!$G$4:$G$8,DATA!$J$4:$J$8,"",0),$B$9="DISTANCIA",_xlfn.XLOOKUP($S153,DATA!$L$4:$L$8,DATA!$O$4:$O$8,"",0)))</f>
        <v/>
      </c>
      <c r="V153" s="261" t="str">
        <f t="shared" si="4"/>
        <v/>
      </c>
      <c r="W153" s="282"/>
      <c r="X153" s="282"/>
      <c r="Y153" s="282"/>
      <c r="Z153" s="282"/>
      <c r="AA153" s="282"/>
      <c r="AB153" s="284"/>
      <c r="AC153" s="262" t="str">
        <f>IF(AE153="","",COUNTIF($AE$1:AE153,AE153))</f>
        <v/>
      </c>
      <c r="AD153" s="261" t="str">
        <f>IF(J153='PLAN DE ESTUDIO'!$XFD$41,"",IF(AE153="","",AC153&amp;K153&amp;L153&amp;M153))</f>
        <v/>
      </c>
      <c r="AE153" s="261" t="str">
        <f>IF(J153='PLAN DE ESTUDIO'!$XFD$41,"",IF(AF153=1,K153&amp;L153&amp;M153,""))</f>
        <v/>
      </c>
      <c r="AF153" s="261">
        <f>COUNTIF($O$1:O153,$O153)</f>
        <v>152</v>
      </c>
      <c r="AG153" s="285" t="str">
        <f>IF(J153='PLAN DE ESTUDIO'!$XFD$41,"",IF(P153="TP","Teórico-Práctica",IF(P153="T","Teórico",IF(P153="P","Práctica",""))))</f>
        <v/>
      </c>
      <c r="AH153" s="234" t="str">
        <f t="shared" si="5"/>
        <v xml:space="preserve"> </v>
      </c>
    </row>
    <row r="154" spans="10:34" x14ac:dyDescent="0.3">
      <c r="J154" s="412"/>
      <c r="K154" s="281" t="str">
        <f>IF($B$3="","",IF($B$3="PREGRADO",DATA!Q155,""))</f>
        <v/>
      </c>
      <c r="L154" s="281" t="str">
        <f>IF($B$3="","",IF($B$3="PREGRADO",DATA!R155,""))</f>
        <v/>
      </c>
      <c r="M154" s="281" t="str">
        <f>IF($B$3="","",IF($B$3="PREGRADO",DATA!S155,""))</f>
        <v/>
      </c>
      <c r="N154" s="412"/>
      <c r="O154" s="281" t="str">
        <f>IF($B$3="","",IF($B$3="PREGRADO",DATA!T155,""))</f>
        <v/>
      </c>
      <c r="P154" s="281" t="str">
        <f>IF($B$3="","",IF($B$3="PREGRADO",DATA!U155,""))</f>
        <v/>
      </c>
      <c r="Q154" s="412"/>
      <c r="R154" s="425"/>
      <c r="S154" s="281" t="str">
        <f>IF($B$3="","",IF($B$3="PREGRADO",DATA!W155,""))</f>
        <v/>
      </c>
      <c r="T154" s="283" t="str" cm="1">
        <f t="array" ref="T154">IF($B$9="","",_xlfn.IFS($B$9="PRESENCIAL",_xlfn.XLOOKUP($S154,DATA!$B$4:$B$8,DATA!$D$4:$D$8,"",0,),$B$9="VIRTUAL",_xlfn.XLOOKUP($S154,DATA!$G$4:$G$8,DATA!$I$4:$I$8,"",0),$B$9="DISTANCIA",_xlfn.XLOOKUP($S154,DATA!$L$4:$L$8,DATA!$N$4:$N$8,"",0)))</f>
        <v/>
      </c>
      <c r="U154" s="283" t="str" cm="1">
        <f t="array" ref="U154">IF($B$9="","",_xlfn.IFS($B$9="PRESENCIAL",_xlfn.XLOOKUP($S154,DATA!$B$4:$B$8,DATA!$E$4:$E$8,"",0,),$B$9="VIRTUAL",_xlfn.XLOOKUP($S154,DATA!$G$4:$G$8,DATA!$J$4:$J$8,"",0),$B$9="DISTANCIA",_xlfn.XLOOKUP($S154,DATA!$L$4:$L$8,DATA!$O$4:$O$8,"",0)))</f>
        <v/>
      </c>
      <c r="V154" s="261" t="str">
        <f t="shared" si="4"/>
        <v/>
      </c>
      <c r="W154" s="282"/>
      <c r="X154" s="282"/>
      <c r="Y154" s="282"/>
      <c r="Z154" s="282"/>
      <c r="AA154" s="282"/>
      <c r="AB154" s="284"/>
      <c r="AC154" s="262" t="str">
        <f>IF(AE154="","",COUNTIF($AE$1:AE154,AE154))</f>
        <v/>
      </c>
      <c r="AD154" s="261" t="str">
        <f>IF(J154='PLAN DE ESTUDIO'!$XFD$41,"",IF(AE154="","",AC154&amp;K154&amp;L154&amp;M154))</f>
        <v/>
      </c>
      <c r="AE154" s="261" t="str">
        <f>IF(J154='PLAN DE ESTUDIO'!$XFD$41,"",IF(AF154=1,K154&amp;L154&amp;M154,""))</f>
        <v/>
      </c>
      <c r="AF154" s="261">
        <f>COUNTIF($O$1:O154,$O154)</f>
        <v>153</v>
      </c>
      <c r="AG154" s="285" t="str">
        <f>IF(J154='PLAN DE ESTUDIO'!$XFD$41,"",IF(P154="TP","Teórico-Práctica",IF(P154="T","Teórico",IF(P154="P","Práctica",""))))</f>
        <v/>
      </c>
      <c r="AH154" s="234" t="str">
        <f t="shared" si="5"/>
        <v xml:space="preserve"> </v>
      </c>
    </row>
    <row r="155" spans="10:34" x14ac:dyDescent="0.3">
      <c r="J155" s="412"/>
      <c r="K155" s="281" t="str">
        <f>IF($B$3="","",IF($B$3="PREGRADO",DATA!Q156,""))</f>
        <v/>
      </c>
      <c r="L155" s="281" t="str">
        <f>IF($B$3="","",IF($B$3="PREGRADO",DATA!R156,""))</f>
        <v/>
      </c>
      <c r="M155" s="281" t="str">
        <f>IF($B$3="","",IF($B$3="PREGRADO",DATA!S156,""))</f>
        <v/>
      </c>
      <c r="N155" s="412"/>
      <c r="O155" s="281" t="str">
        <f>IF($B$3="","",IF($B$3="PREGRADO",DATA!T156,""))</f>
        <v/>
      </c>
      <c r="P155" s="281" t="str">
        <f>IF($B$3="","",IF($B$3="PREGRADO",DATA!U156,""))</f>
        <v/>
      </c>
      <c r="Q155" s="412"/>
      <c r="R155" s="425"/>
      <c r="S155" s="281" t="str">
        <f>IF($B$3="","",IF($B$3="PREGRADO",DATA!W156,""))</f>
        <v/>
      </c>
      <c r="T155" s="283" t="str" cm="1">
        <f t="array" ref="T155">IF($B$9="","",_xlfn.IFS($B$9="PRESENCIAL",_xlfn.XLOOKUP($S155,DATA!$B$4:$B$8,DATA!$D$4:$D$8,"",0,),$B$9="VIRTUAL",_xlfn.XLOOKUP($S155,DATA!$G$4:$G$8,DATA!$I$4:$I$8,"",0),$B$9="DISTANCIA",_xlfn.XLOOKUP($S155,DATA!$L$4:$L$8,DATA!$N$4:$N$8,"",0)))</f>
        <v/>
      </c>
      <c r="U155" s="283" t="str" cm="1">
        <f t="array" ref="U155">IF($B$9="","",_xlfn.IFS($B$9="PRESENCIAL",_xlfn.XLOOKUP($S155,DATA!$B$4:$B$8,DATA!$E$4:$E$8,"",0,),$B$9="VIRTUAL",_xlfn.XLOOKUP($S155,DATA!$G$4:$G$8,DATA!$J$4:$J$8,"",0),$B$9="DISTANCIA",_xlfn.XLOOKUP($S155,DATA!$L$4:$L$8,DATA!$O$4:$O$8,"",0)))</f>
        <v/>
      </c>
      <c r="V155" s="261" t="str">
        <f t="shared" si="4"/>
        <v/>
      </c>
      <c r="W155" s="282"/>
      <c r="X155" s="282"/>
      <c r="Y155" s="282"/>
      <c r="Z155" s="282"/>
      <c r="AA155" s="282"/>
      <c r="AB155" s="284"/>
      <c r="AC155" s="262" t="str">
        <f>IF(AE155="","",COUNTIF($AE$1:AE155,AE155))</f>
        <v/>
      </c>
      <c r="AD155" s="261" t="str">
        <f>IF(J155='PLAN DE ESTUDIO'!$XFD$41,"",IF(AE155="","",AC155&amp;K155&amp;L155&amp;M155))</f>
        <v/>
      </c>
      <c r="AE155" s="261" t="str">
        <f>IF(J155='PLAN DE ESTUDIO'!$XFD$41,"",IF(AF155=1,K155&amp;L155&amp;M155,""))</f>
        <v/>
      </c>
      <c r="AF155" s="261">
        <f>COUNTIF($O$1:O155,$O155)</f>
        <v>154</v>
      </c>
      <c r="AG155" s="285" t="str">
        <f>IF(J155='PLAN DE ESTUDIO'!$XFD$41,"",IF(P155="TP","Teórico-Práctica",IF(P155="T","Teórico",IF(P155="P","Práctica",""))))</f>
        <v/>
      </c>
      <c r="AH155" s="234" t="str">
        <f t="shared" si="5"/>
        <v xml:space="preserve"> </v>
      </c>
    </row>
    <row r="156" spans="10:34" x14ac:dyDescent="0.3">
      <c r="J156" s="412"/>
      <c r="K156" s="281" t="str">
        <f>IF($B$3="","",IF($B$3="PREGRADO",DATA!Q157,""))</f>
        <v/>
      </c>
      <c r="L156" s="281" t="str">
        <f>IF($B$3="","",IF($B$3="PREGRADO",DATA!R157,""))</f>
        <v/>
      </c>
      <c r="M156" s="281" t="str">
        <f>IF($B$3="","",IF($B$3="PREGRADO",DATA!S157,""))</f>
        <v/>
      </c>
      <c r="N156" s="412"/>
      <c r="O156" s="281" t="str">
        <f>IF($B$3="","",IF($B$3="PREGRADO",DATA!T157,""))</f>
        <v/>
      </c>
      <c r="P156" s="281" t="str">
        <f>IF($B$3="","",IF($B$3="PREGRADO",DATA!U157,""))</f>
        <v/>
      </c>
      <c r="Q156" s="412"/>
      <c r="R156" s="425"/>
      <c r="S156" s="281" t="str">
        <f>IF($B$3="","",IF($B$3="PREGRADO",DATA!W157,""))</f>
        <v/>
      </c>
      <c r="T156" s="283" t="str" cm="1">
        <f t="array" ref="T156">IF($B$9="","",_xlfn.IFS($B$9="PRESENCIAL",_xlfn.XLOOKUP($S156,DATA!$B$4:$B$8,DATA!$D$4:$D$8,"",0,),$B$9="VIRTUAL",_xlfn.XLOOKUP($S156,DATA!$G$4:$G$8,DATA!$I$4:$I$8,"",0),$B$9="DISTANCIA",_xlfn.XLOOKUP($S156,DATA!$L$4:$L$8,DATA!$N$4:$N$8,"",0)))</f>
        <v/>
      </c>
      <c r="U156" s="283" t="str" cm="1">
        <f t="array" ref="U156">IF($B$9="","",_xlfn.IFS($B$9="PRESENCIAL",_xlfn.XLOOKUP($S156,DATA!$B$4:$B$8,DATA!$E$4:$E$8,"",0,),$B$9="VIRTUAL",_xlfn.XLOOKUP($S156,DATA!$G$4:$G$8,DATA!$J$4:$J$8,"",0),$B$9="DISTANCIA",_xlfn.XLOOKUP($S156,DATA!$L$4:$L$8,DATA!$O$4:$O$8,"",0)))</f>
        <v/>
      </c>
      <c r="V156" s="261" t="str">
        <f t="shared" si="4"/>
        <v/>
      </c>
      <c r="W156" s="282"/>
      <c r="X156" s="282"/>
      <c r="Y156" s="282"/>
      <c r="Z156" s="282"/>
      <c r="AA156" s="282"/>
      <c r="AB156" s="284"/>
      <c r="AC156" s="262" t="str">
        <f>IF(AE156="","",COUNTIF($AE$1:AE156,AE156))</f>
        <v/>
      </c>
      <c r="AD156" s="261" t="str">
        <f>IF(J156='PLAN DE ESTUDIO'!$XFD$41,"",IF(AE156="","",AC156&amp;K156&amp;L156&amp;M156))</f>
        <v/>
      </c>
      <c r="AE156" s="261" t="str">
        <f>IF(J156='PLAN DE ESTUDIO'!$XFD$41,"",IF(AF156=1,K156&amp;L156&amp;M156,""))</f>
        <v/>
      </c>
      <c r="AF156" s="261">
        <f>COUNTIF($O$1:O156,$O156)</f>
        <v>155</v>
      </c>
      <c r="AG156" s="285" t="str">
        <f>IF(J156='PLAN DE ESTUDIO'!$XFD$41,"",IF(P156="TP","Teórico-Práctica",IF(P156="T","Teórico",IF(P156="P","Práctica",""))))</f>
        <v/>
      </c>
      <c r="AH156" s="234" t="str">
        <f t="shared" si="5"/>
        <v xml:space="preserve"> </v>
      </c>
    </row>
    <row r="157" spans="10:34" x14ac:dyDescent="0.3">
      <c r="J157" s="412"/>
      <c r="K157" s="281" t="str">
        <f>IF($B$3="","",IF($B$3="PREGRADO",DATA!Q158,""))</f>
        <v/>
      </c>
      <c r="L157" s="281" t="str">
        <f>IF($B$3="","",IF($B$3="PREGRADO",DATA!R158,""))</f>
        <v/>
      </c>
      <c r="M157" s="281" t="str">
        <f>IF($B$3="","",IF($B$3="PREGRADO",DATA!S158,""))</f>
        <v/>
      </c>
      <c r="N157" s="412"/>
      <c r="O157" s="281" t="str">
        <f>IF($B$3="","",IF($B$3="PREGRADO",DATA!T158,""))</f>
        <v/>
      </c>
      <c r="P157" s="281" t="str">
        <f>IF($B$3="","",IF($B$3="PREGRADO",DATA!U158,""))</f>
        <v/>
      </c>
      <c r="Q157" s="412"/>
      <c r="R157" s="425"/>
      <c r="S157" s="281" t="str">
        <f>IF($B$3="","",IF($B$3="PREGRADO",DATA!W158,""))</f>
        <v/>
      </c>
      <c r="T157" s="283" t="str" cm="1">
        <f t="array" ref="T157">IF($B$9="","",_xlfn.IFS($B$9="PRESENCIAL",_xlfn.XLOOKUP($S157,DATA!$B$4:$B$8,DATA!$D$4:$D$8,"",0,),$B$9="VIRTUAL",_xlfn.XLOOKUP($S157,DATA!$G$4:$G$8,DATA!$I$4:$I$8,"",0),$B$9="DISTANCIA",_xlfn.XLOOKUP($S157,DATA!$L$4:$L$8,DATA!$N$4:$N$8,"",0)))</f>
        <v/>
      </c>
      <c r="U157" s="283" t="str" cm="1">
        <f t="array" ref="U157">IF($B$9="","",_xlfn.IFS($B$9="PRESENCIAL",_xlfn.XLOOKUP($S157,DATA!$B$4:$B$8,DATA!$E$4:$E$8,"",0,),$B$9="VIRTUAL",_xlfn.XLOOKUP($S157,DATA!$G$4:$G$8,DATA!$J$4:$J$8,"",0),$B$9="DISTANCIA",_xlfn.XLOOKUP($S157,DATA!$L$4:$L$8,DATA!$O$4:$O$8,"",0)))</f>
        <v/>
      </c>
      <c r="V157" s="261" t="str">
        <f t="shared" si="4"/>
        <v/>
      </c>
      <c r="W157" s="282"/>
      <c r="X157" s="282"/>
      <c r="Y157" s="282"/>
      <c r="Z157" s="282"/>
      <c r="AA157" s="282"/>
      <c r="AB157" s="284"/>
      <c r="AC157" s="262" t="str">
        <f>IF(AE157="","",COUNTIF($AE$1:AE157,AE157))</f>
        <v/>
      </c>
      <c r="AD157" s="261" t="str">
        <f>IF(J157='PLAN DE ESTUDIO'!$XFD$41,"",IF(AE157="","",AC157&amp;K157&amp;L157&amp;M157))</f>
        <v/>
      </c>
      <c r="AE157" s="261" t="str">
        <f>IF(J157='PLAN DE ESTUDIO'!$XFD$41,"",IF(AF157=1,K157&amp;L157&amp;M157,""))</f>
        <v/>
      </c>
      <c r="AF157" s="261">
        <f>COUNTIF($O$1:O157,$O157)</f>
        <v>156</v>
      </c>
      <c r="AG157" s="285" t="str">
        <f>IF(J157='PLAN DE ESTUDIO'!$XFD$41,"",IF(P157="TP","Teórico-Práctica",IF(P157="T","Teórico",IF(P157="P","Práctica",""))))</f>
        <v/>
      </c>
      <c r="AH157" s="234" t="str">
        <f t="shared" si="5"/>
        <v xml:space="preserve"> </v>
      </c>
    </row>
    <row r="158" spans="10:34" x14ac:dyDescent="0.3">
      <c r="J158" s="412"/>
      <c r="K158" s="281" t="str">
        <f>IF($B$3="","",IF($B$3="PREGRADO",DATA!Q159,""))</f>
        <v/>
      </c>
      <c r="L158" s="281" t="str">
        <f>IF($B$3="","",IF($B$3="PREGRADO",DATA!R159,""))</f>
        <v/>
      </c>
      <c r="M158" s="281" t="str">
        <f>IF($B$3="","",IF($B$3="PREGRADO",DATA!S159,""))</f>
        <v/>
      </c>
      <c r="N158" s="412"/>
      <c r="O158" s="281" t="str">
        <f>IF($B$3="","",IF($B$3="PREGRADO",DATA!T159,""))</f>
        <v/>
      </c>
      <c r="P158" s="281" t="str">
        <f>IF($B$3="","",IF($B$3="PREGRADO",DATA!U159,""))</f>
        <v/>
      </c>
      <c r="Q158" s="412"/>
      <c r="R158" s="425"/>
      <c r="S158" s="281" t="str">
        <f>IF($B$3="","",IF($B$3="PREGRADO",DATA!W159,""))</f>
        <v/>
      </c>
      <c r="T158" s="283" t="str" cm="1">
        <f t="array" ref="T158">IF($B$9="","",_xlfn.IFS($B$9="PRESENCIAL",_xlfn.XLOOKUP($S158,DATA!$B$4:$B$8,DATA!$D$4:$D$8,"",0,),$B$9="VIRTUAL",_xlfn.XLOOKUP($S158,DATA!$G$4:$G$8,DATA!$I$4:$I$8,"",0),$B$9="DISTANCIA",_xlfn.XLOOKUP($S158,DATA!$L$4:$L$8,DATA!$N$4:$N$8,"",0)))</f>
        <v/>
      </c>
      <c r="U158" s="283" t="str" cm="1">
        <f t="array" ref="U158">IF($B$9="","",_xlfn.IFS($B$9="PRESENCIAL",_xlfn.XLOOKUP($S158,DATA!$B$4:$B$8,DATA!$E$4:$E$8,"",0,),$B$9="VIRTUAL",_xlfn.XLOOKUP($S158,DATA!$G$4:$G$8,DATA!$J$4:$J$8,"",0),$B$9="DISTANCIA",_xlfn.XLOOKUP($S158,DATA!$L$4:$L$8,DATA!$O$4:$O$8,"",0)))</f>
        <v/>
      </c>
      <c r="V158" s="261" t="str">
        <f t="shared" si="4"/>
        <v/>
      </c>
      <c r="W158" s="282"/>
      <c r="X158" s="282"/>
      <c r="Y158" s="282"/>
      <c r="Z158" s="282"/>
      <c r="AA158" s="282"/>
      <c r="AB158" s="284"/>
      <c r="AC158" s="262" t="str">
        <f>IF(AE158="","",COUNTIF($AE$1:AE158,AE158))</f>
        <v/>
      </c>
      <c r="AD158" s="261" t="str">
        <f>IF(J158='PLAN DE ESTUDIO'!$XFD$41,"",IF(AE158="","",AC158&amp;K158&amp;L158&amp;M158))</f>
        <v/>
      </c>
      <c r="AE158" s="261" t="str">
        <f>IF(J158='PLAN DE ESTUDIO'!$XFD$41,"",IF(AF158=1,K158&amp;L158&amp;M158,""))</f>
        <v/>
      </c>
      <c r="AF158" s="261">
        <f>COUNTIF($O$1:O158,$O158)</f>
        <v>157</v>
      </c>
      <c r="AG158" s="285" t="str">
        <f>IF(J158='PLAN DE ESTUDIO'!$XFD$41,"",IF(P158="TP","Teórico-Práctica",IF(P158="T","Teórico",IF(P158="P","Práctica",""))))</f>
        <v/>
      </c>
      <c r="AH158" s="234" t="str">
        <f t="shared" si="5"/>
        <v xml:space="preserve"> </v>
      </c>
    </row>
    <row r="159" spans="10:34" x14ac:dyDescent="0.3">
      <c r="J159" s="412"/>
      <c r="K159" s="281" t="str">
        <f>IF($B$3="","",IF($B$3="PREGRADO",DATA!Q160,""))</f>
        <v/>
      </c>
      <c r="L159" s="281" t="str">
        <f>IF($B$3="","",IF($B$3="PREGRADO",DATA!R160,""))</f>
        <v/>
      </c>
      <c r="M159" s="281" t="str">
        <f>IF($B$3="","",IF($B$3="PREGRADO",DATA!S160,""))</f>
        <v/>
      </c>
      <c r="N159" s="412"/>
      <c r="O159" s="281" t="str">
        <f>IF($B$3="","",IF($B$3="PREGRADO",DATA!T160,""))</f>
        <v/>
      </c>
      <c r="P159" s="281" t="str">
        <f>IF($B$3="","",IF($B$3="PREGRADO",DATA!U160,""))</f>
        <v/>
      </c>
      <c r="Q159" s="412"/>
      <c r="R159" s="425"/>
      <c r="S159" s="281" t="str">
        <f>IF($B$3="","",IF($B$3="PREGRADO",DATA!W160,""))</f>
        <v/>
      </c>
      <c r="T159" s="283" t="str" cm="1">
        <f t="array" ref="T159">IF($B$9="","",_xlfn.IFS($B$9="PRESENCIAL",_xlfn.XLOOKUP($S159,DATA!$B$4:$B$8,DATA!$D$4:$D$8,"",0,),$B$9="VIRTUAL",_xlfn.XLOOKUP($S159,DATA!$G$4:$G$8,DATA!$I$4:$I$8,"",0),$B$9="DISTANCIA",_xlfn.XLOOKUP($S159,DATA!$L$4:$L$8,DATA!$N$4:$N$8,"",0)))</f>
        <v/>
      </c>
      <c r="U159" s="283" t="str" cm="1">
        <f t="array" ref="U159">IF($B$9="","",_xlfn.IFS($B$9="PRESENCIAL",_xlfn.XLOOKUP($S159,DATA!$B$4:$B$8,DATA!$E$4:$E$8,"",0,),$B$9="VIRTUAL",_xlfn.XLOOKUP($S159,DATA!$G$4:$G$8,DATA!$J$4:$J$8,"",0),$B$9="DISTANCIA",_xlfn.XLOOKUP($S159,DATA!$L$4:$L$8,DATA!$O$4:$O$8,"",0)))</f>
        <v/>
      </c>
      <c r="V159" s="261" t="str">
        <f t="shared" si="4"/>
        <v/>
      </c>
      <c r="W159" s="282"/>
      <c r="X159" s="282"/>
      <c r="Y159" s="282"/>
      <c r="Z159" s="282"/>
      <c r="AA159" s="282"/>
      <c r="AB159" s="284"/>
      <c r="AC159" s="262" t="str">
        <f>IF(AE159="","",COUNTIF($AE$1:AE159,AE159))</f>
        <v/>
      </c>
      <c r="AD159" s="261" t="str">
        <f>IF(J159='PLAN DE ESTUDIO'!$XFD$41,"",IF(AE159="","",AC159&amp;K159&amp;L159&amp;M159))</f>
        <v/>
      </c>
      <c r="AE159" s="261" t="str">
        <f>IF(J159='PLAN DE ESTUDIO'!$XFD$41,"",IF(AF159=1,K159&amp;L159&amp;M159,""))</f>
        <v/>
      </c>
      <c r="AF159" s="261">
        <f>COUNTIF($O$1:O159,$O159)</f>
        <v>158</v>
      </c>
      <c r="AG159" s="285" t="str">
        <f>IF(J159='PLAN DE ESTUDIO'!$XFD$41,"",IF(P159="TP","Teórico-Práctica",IF(P159="T","Teórico",IF(P159="P","Práctica",""))))</f>
        <v/>
      </c>
      <c r="AH159" s="234" t="str">
        <f t="shared" si="5"/>
        <v xml:space="preserve"> </v>
      </c>
    </row>
    <row r="160" spans="10:34" x14ac:dyDescent="0.3">
      <c r="J160" s="412"/>
      <c r="K160" s="281" t="str">
        <f>IF($B$3="","",IF($B$3="PREGRADO",DATA!Q161,""))</f>
        <v/>
      </c>
      <c r="L160" s="281" t="str">
        <f>IF($B$3="","",IF($B$3="PREGRADO",DATA!R161,""))</f>
        <v/>
      </c>
      <c r="M160" s="281" t="str">
        <f>IF($B$3="","",IF($B$3="PREGRADO",DATA!S161,""))</f>
        <v/>
      </c>
      <c r="N160" s="412"/>
      <c r="O160" s="281" t="str">
        <f>IF($B$3="","",IF($B$3="PREGRADO",DATA!T161,""))</f>
        <v/>
      </c>
      <c r="P160" s="281" t="str">
        <f>IF($B$3="","",IF($B$3="PREGRADO",DATA!U161,""))</f>
        <v/>
      </c>
      <c r="Q160" s="412"/>
      <c r="R160" s="425"/>
      <c r="S160" s="281" t="str">
        <f>IF($B$3="","",IF($B$3="PREGRADO",DATA!W161,""))</f>
        <v/>
      </c>
      <c r="T160" s="283" t="str" cm="1">
        <f t="array" ref="T160">IF($B$9="","",_xlfn.IFS($B$9="PRESENCIAL",_xlfn.XLOOKUP($S160,DATA!$B$4:$B$8,DATA!$D$4:$D$8,"",0,),$B$9="VIRTUAL",_xlfn.XLOOKUP($S160,DATA!$G$4:$G$8,DATA!$I$4:$I$8,"",0),$B$9="DISTANCIA",_xlfn.XLOOKUP($S160,DATA!$L$4:$L$8,DATA!$N$4:$N$8,"",0)))</f>
        <v/>
      </c>
      <c r="U160" s="283" t="str" cm="1">
        <f t="array" ref="U160">IF($B$9="","",_xlfn.IFS($B$9="PRESENCIAL",_xlfn.XLOOKUP($S160,DATA!$B$4:$B$8,DATA!$E$4:$E$8,"",0,),$B$9="VIRTUAL",_xlfn.XLOOKUP($S160,DATA!$G$4:$G$8,DATA!$J$4:$J$8,"",0),$B$9="DISTANCIA",_xlfn.XLOOKUP($S160,DATA!$L$4:$L$8,DATA!$O$4:$O$8,"",0)))</f>
        <v/>
      </c>
      <c r="V160" s="261" t="str">
        <f t="shared" si="4"/>
        <v/>
      </c>
      <c r="W160" s="282"/>
      <c r="X160" s="282"/>
      <c r="Y160" s="282"/>
      <c r="Z160" s="282"/>
      <c r="AA160" s="282"/>
      <c r="AB160" s="284"/>
      <c r="AC160" s="262" t="str">
        <f>IF(AE160="","",COUNTIF($AE$1:AE160,AE160))</f>
        <v/>
      </c>
      <c r="AD160" s="261" t="str">
        <f>IF(J160='PLAN DE ESTUDIO'!$XFD$41,"",IF(AE160="","",AC160&amp;K160&amp;L160&amp;M160))</f>
        <v/>
      </c>
      <c r="AE160" s="261" t="str">
        <f>IF(J160='PLAN DE ESTUDIO'!$XFD$41,"",IF(AF160=1,K160&amp;L160&amp;M160,""))</f>
        <v/>
      </c>
      <c r="AF160" s="261">
        <f>COUNTIF($O$1:O160,$O160)</f>
        <v>159</v>
      </c>
      <c r="AG160" s="285" t="str">
        <f>IF(J160='PLAN DE ESTUDIO'!$XFD$41,"",IF(P160="TP","Teórico-Práctica",IF(P160="T","Teórico",IF(P160="P","Práctica",""))))</f>
        <v/>
      </c>
      <c r="AH160" s="234" t="str">
        <f t="shared" si="5"/>
        <v xml:space="preserve"> </v>
      </c>
    </row>
    <row r="161" spans="10:34" x14ac:dyDescent="0.3">
      <c r="J161" s="412"/>
      <c r="K161" s="281" t="str">
        <f>IF($B$3="","",IF($B$3="PREGRADO",DATA!Q162,""))</f>
        <v/>
      </c>
      <c r="L161" s="281" t="str">
        <f>IF($B$3="","",IF($B$3="PREGRADO",DATA!R162,""))</f>
        <v/>
      </c>
      <c r="M161" s="281" t="str">
        <f>IF($B$3="","",IF($B$3="PREGRADO",DATA!S162,""))</f>
        <v/>
      </c>
      <c r="N161" s="412"/>
      <c r="O161" s="281" t="str">
        <f>IF($B$3="","",IF($B$3="PREGRADO",DATA!T162,""))</f>
        <v/>
      </c>
      <c r="P161" s="281" t="str">
        <f>IF($B$3="","",IF($B$3="PREGRADO",DATA!U162,""))</f>
        <v/>
      </c>
      <c r="Q161" s="412"/>
      <c r="R161" s="425"/>
      <c r="S161" s="281" t="str">
        <f>IF($B$3="","",IF($B$3="PREGRADO",DATA!W162,""))</f>
        <v/>
      </c>
      <c r="T161" s="283" t="str" cm="1">
        <f t="array" ref="T161">IF($B$9="","",_xlfn.IFS($B$9="PRESENCIAL",_xlfn.XLOOKUP($S161,DATA!$B$4:$B$8,DATA!$D$4:$D$8,"",0,),$B$9="VIRTUAL",_xlfn.XLOOKUP($S161,DATA!$G$4:$G$8,DATA!$I$4:$I$8,"",0),$B$9="DISTANCIA",_xlfn.XLOOKUP($S161,DATA!$L$4:$L$8,DATA!$N$4:$N$8,"",0)))</f>
        <v/>
      </c>
      <c r="U161" s="283" t="str" cm="1">
        <f t="array" ref="U161">IF($B$9="","",_xlfn.IFS($B$9="PRESENCIAL",_xlfn.XLOOKUP($S161,DATA!$B$4:$B$8,DATA!$E$4:$E$8,"",0,),$B$9="VIRTUAL",_xlfn.XLOOKUP($S161,DATA!$G$4:$G$8,DATA!$J$4:$J$8,"",0),$B$9="DISTANCIA",_xlfn.XLOOKUP($S161,DATA!$L$4:$L$8,DATA!$O$4:$O$8,"",0)))</f>
        <v/>
      </c>
      <c r="V161" s="261" t="str">
        <f t="shared" si="4"/>
        <v/>
      </c>
      <c r="W161" s="282"/>
      <c r="X161" s="282"/>
      <c r="Y161" s="282"/>
      <c r="Z161" s="282"/>
      <c r="AA161" s="282"/>
      <c r="AB161" s="284"/>
      <c r="AC161" s="262" t="str">
        <f>IF(AE161="","",COUNTIF($AE$1:AE161,AE161))</f>
        <v/>
      </c>
      <c r="AD161" s="261" t="str">
        <f>IF(J161='PLAN DE ESTUDIO'!$XFD$41,"",IF(AE161="","",AC161&amp;K161&amp;L161&amp;M161))</f>
        <v/>
      </c>
      <c r="AE161" s="261" t="str">
        <f>IF(J161='PLAN DE ESTUDIO'!$XFD$41,"",IF(AF161=1,K161&amp;L161&amp;M161,""))</f>
        <v/>
      </c>
      <c r="AF161" s="261">
        <f>COUNTIF($O$1:O161,$O161)</f>
        <v>160</v>
      </c>
      <c r="AG161" s="285" t="str">
        <f>IF(J161='PLAN DE ESTUDIO'!$XFD$41,"",IF(P161="TP","Teórico-Práctica",IF(P161="T","Teórico",IF(P161="P","Práctica",""))))</f>
        <v/>
      </c>
      <c r="AH161" s="234" t="str">
        <f t="shared" si="5"/>
        <v xml:space="preserve"> </v>
      </c>
    </row>
    <row r="162" spans="10:34" x14ac:dyDescent="0.3">
      <c r="J162" s="412"/>
      <c r="K162" s="281" t="str">
        <f>IF($B$3="","",IF($B$3="PREGRADO",DATA!Q163,""))</f>
        <v/>
      </c>
      <c r="L162" s="281" t="str">
        <f>IF($B$3="","",IF($B$3="PREGRADO",DATA!R163,""))</f>
        <v/>
      </c>
      <c r="M162" s="281" t="str">
        <f>IF($B$3="","",IF($B$3="PREGRADO",DATA!S163,""))</f>
        <v/>
      </c>
      <c r="N162" s="412"/>
      <c r="O162" s="281" t="str">
        <f>IF($B$3="","",IF($B$3="PREGRADO",DATA!T163,""))</f>
        <v/>
      </c>
      <c r="P162" s="281" t="str">
        <f>IF($B$3="","",IF($B$3="PREGRADO",DATA!U163,""))</f>
        <v/>
      </c>
      <c r="Q162" s="412"/>
      <c r="R162" s="425"/>
      <c r="S162" s="281" t="str">
        <f>IF($B$3="","",IF($B$3="PREGRADO",DATA!W163,""))</f>
        <v/>
      </c>
      <c r="T162" s="283" t="str" cm="1">
        <f t="array" ref="T162">IF($B$9="","",_xlfn.IFS($B$9="PRESENCIAL",_xlfn.XLOOKUP($S162,DATA!$B$4:$B$8,DATA!$D$4:$D$8,"",0,),$B$9="VIRTUAL",_xlfn.XLOOKUP($S162,DATA!$G$4:$G$8,DATA!$I$4:$I$8,"",0),$B$9="DISTANCIA",_xlfn.XLOOKUP($S162,DATA!$L$4:$L$8,DATA!$N$4:$N$8,"",0)))</f>
        <v/>
      </c>
      <c r="U162" s="283" t="str" cm="1">
        <f t="array" ref="U162">IF($B$9="","",_xlfn.IFS($B$9="PRESENCIAL",_xlfn.XLOOKUP($S162,DATA!$B$4:$B$8,DATA!$E$4:$E$8,"",0,),$B$9="VIRTUAL",_xlfn.XLOOKUP($S162,DATA!$G$4:$G$8,DATA!$J$4:$J$8,"",0),$B$9="DISTANCIA",_xlfn.XLOOKUP($S162,DATA!$L$4:$L$8,DATA!$O$4:$O$8,"",0)))</f>
        <v/>
      </c>
      <c r="V162" s="261" t="str">
        <f t="shared" si="4"/>
        <v/>
      </c>
      <c r="W162" s="282"/>
      <c r="X162" s="282"/>
      <c r="Y162" s="282"/>
      <c r="Z162" s="282"/>
      <c r="AA162" s="282"/>
      <c r="AB162" s="284"/>
      <c r="AC162" s="262" t="str">
        <f>IF(AE162="","",COUNTIF($AE$1:AE162,AE162))</f>
        <v/>
      </c>
      <c r="AD162" s="261" t="str">
        <f>IF(J162='PLAN DE ESTUDIO'!$XFD$41,"",IF(AE162="","",AC162&amp;K162&amp;L162&amp;M162))</f>
        <v/>
      </c>
      <c r="AE162" s="261" t="str">
        <f>IF(J162='PLAN DE ESTUDIO'!$XFD$41,"",IF(AF162=1,K162&amp;L162&amp;M162,""))</f>
        <v/>
      </c>
      <c r="AF162" s="261">
        <f>COUNTIF($O$1:O162,$O162)</f>
        <v>161</v>
      </c>
      <c r="AG162" s="285" t="str">
        <f>IF(J162='PLAN DE ESTUDIO'!$XFD$41,"",IF(P162="TP","Teórico-Práctica",IF(P162="T","Teórico",IF(P162="P","Práctica",""))))</f>
        <v/>
      </c>
      <c r="AH162" s="234" t="str">
        <f t="shared" si="5"/>
        <v xml:space="preserve"> </v>
      </c>
    </row>
    <row r="163" spans="10:34" x14ac:dyDescent="0.3">
      <c r="J163" s="412"/>
      <c r="K163" s="281" t="str">
        <f>IF($B$3="","",IF($B$3="PREGRADO",DATA!Q164,""))</f>
        <v/>
      </c>
      <c r="L163" s="281" t="str">
        <f>IF($B$3="","",IF($B$3="PREGRADO",DATA!R164,""))</f>
        <v/>
      </c>
      <c r="M163" s="281" t="str">
        <f>IF($B$3="","",IF($B$3="PREGRADO",DATA!S164,""))</f>
        <v/>
      </c>
      <c r="N163" s="412"/>
      <c r="O163" s="281" t="str">
        <f>IF($B$3="","",IF($B$3="PREGRADO",DATA!T164,""))</f>
        <v/>
      </c>
      <c r="P163" s="281" t="str">
        <f>IF($B$3="","",IF($B$3="PREGRADO",DATA!U164,""))</f>
        <v/>
      </c>
      <c r="Q163" s="412"/>
      <c r="R163" s="425"/>
      <c r="S163" s="281" t="str">
        <f>IF($B$3="","",IF($B$3="PREGRADO",DATA!W164,""))</f>
        <v/>
      </c>
      <c r="T163" s="283" t="str" cm="1">
        <f t="array" ref="T163">IF($B$9="","",_xlfn.IFS($B$9="PRESENCIAL",_xlfn.XLOOKUP($S163,DATA!$B$4:$B$8,DATA!$D$4:$D$8,"",0,),$B$9="VIRTUAL",_xlfn.XLOOKUP($S163,DATA!$G$4:$G$8,DATA!$I$4:$I$8,"",0),$B$9="DISTANCIA",_xlfn.XLOOKUP($S163,DATA!$L$4:$L$8,DATA!$N$4:$N$8,"",0)))</f>
        <v/>
      </c>
      <c r="U163" s="283" t="str" cm="1">
        <f t="array" ref="U163">IF($B$9="","",_xlfn.IFS($B$9="PRESENCIAL",_xlfn.XLOOKUP($S163,DATA!$B$4:$B$8,DATA!$E$4:$E$8,"",0,),$B$9="VIRTUAL",_xlfn.XLOOKUP($S163,DATA!$G$4:$G$8,DATA!$J$4:$J$8,"",0),$B$9="DISTANCIA",_xlfn.XLOOKUP($S163,DATA!$L$4:$L$8,DATA!$O$4:$O$8,"",0)))</f>
        <v/>
      </c>
      <c r="V163" s="261" t="str">
        <f t="shared" si="4"/>
        <v/>
      </c>
      <c r="W163" s="282"/>
      <c r="X163" s="282"/>
      <c r="Y163" s="282"/>
      <c r="Z163" s="282"/>
      <c r="AA163" s="282"/>
      <c r="AB163" s="284"/>
      <c r="AC163" s="262" t="str">
        <f>IF(AE163="","",COUNTIF($AE$1:AE163,AE163))</f>
        <v/>
      </c>
      <c r="AD163" s="261" t="str">
        <f>IF(J163='PLAN DE ESTUDIO'!$XFD$41,"",IF(AE163="","",AC163&amp;K163&amp;L163&amp;M163))</f>
        <v/>
      </c>
      <c r="AE163" s="261" t="str">
        <f>IF(J163='PLAN DE ESTUDIO'!$XFD$41,"",IF(AF163=1,K163&amp;L163&amp;M163,""))</f>
        <v/>
      </c>
      <c r="AF163" s="261">
        <f>COUNTIF($O$1:O163,$O163)</f>
        <v>162</v>
      </c>
      <c r="AG163" s="285" t="str">
        <f>IF(J163='PLAN DE ESTUDIO'!$XFD$41,"",IF(P163="TP","Teórico-Práctica",IF(P163="T","Teórico",IF(P163="P","Práctica",""))))</f>
        <v/>
      </c>
      <c r="AH163" s="234" t="str">
        <f t="shared" si="5"/>
        <v xml:space="preserve"> </v>
      </c>
    </row>
    <row r="164" spans="10:34" x14ac:dyDescent="0.3">
      <c r="J164" s="412"/>
      <c r="K164" s="281" t="str">
        <f>IF($B$3="","",IF($B$3="PREGRADO",DATA!Q165,""))</f>
        <v/>
      </c>
      <c r="L164" s="281" t="str">
        <f>IF($B$3="","",IF($B$3="PREGRADO",DATA!R165,""))</f>
        <v/>
      </c>
      <c r="M164" s="281" t="str">
        <f>IF($B$3="","",IF($B$3="PREGRADO",DATA!S165,""))</f>
        <v/>
      </c>
      <c r="N164" s="412"/>
      <c r="O164" s="281" t="str">
        <f>IF($B$3="","",IF($B$3="PREGRADO",DATA!T165,""))</f>
        <v/>
      </c>
      <c r="P164" s="281" t="str">
        <f>IF($B$3="","",IF($B$3="PREGRADO",DATA!U165,""))</f>
        <v/>
      </c>
      <c r="Q164" s="412"/>
      <c r="R164" s="425"/>
      <c r="S164" s="281" t="str">
        <f>IF($B$3="","",IF($B$3="PREGRADO",DATA!W165,""))</f>
        <v/>
      </c>
      <c r="T164" s="283" t="str" cm="1">
        <f t="array" ref="T164">IF($B$9="","",_xlfn.IFS($B$9="PRESENCIAL",_xlfn.XLOOKUP($S164,DATA!$B$4:$B$8,DATA!$D$4:$D$8,"",0,),$B$9="VIRTUAL",_xlfn.XLOOKUP($S164,DATA!$G$4:$G$8,DATA!$I$4:$I$8,"",0),$B$9="DISTANCIA",_xlfn.XLOOKUP($S164,DATA!$L$4:$L$8,DATA!$N$4:$N$8,"",0)))</f>
        <v/>
      </c>
      <c r="U164" s="283" t="str" cm="1">
        <f t="array" ref="U164">IF($B$9="","",_xlfn.IFS($B$9="PRESENCIAL",_xlfn.XLOOKUP($S164,DATA!$B$4:$B$8,DATA!$E$4:$E$8,"",0,),$B$9="VIRTUAL",_xlfn.XLOOKUP($S164,DATA!$G$4:$G$8,DATA!$J$4:$J$8,"",0),$B$9="DISTANCIA",_xlfn.XLOOKUP($S164,DATA!$L$4:$L$8,DATA!$O$4:$O$8,"",0)))</f>
        <v/>
      </c>
      <c r="V164" s="261" t="str">
        <f t="shared" si="4"/>
        <v/>
      </c>
      <c r="W164" s="282"/>
      <c r="X164" s="282"/>
      <c r="Y164" s="282"/>
      <c r="Z164" s="282"/>
      <c r="AA164" s="282"/>
      <c r="AB164" s="284"/>
      <c r="AC164" s="262" t="str">
        <f>IF(AE164="","",COUNTIF($AE$1:AE164,AE164))</f>
        <v/>
      </c>
      <c r="AD164" s="261" t="str">
        <f>IF(J164='PLAN DE ESTUDIO'!$XFD$41,"",IF(AE164="","",AC164&amp;K164&amp;L164&amp;M164))</f>
        <v/>
      </c>
      <c r="AE164" s="261" t="str">
        <f>IF(J164='PLAN DE ESTUDIO'!$XFD$41,"",IF(AF164=1,K164&amp;L164&amp;M164,""))</f>
        <v/>
      </c>
      <c r="AF164" s="261">
        <f>COUNTIF($O$1:O164,$O164)</f>
        <v>163</v>
      </c>
      <c r="AG164" s="285" t="str">
        <f>IF(J164='PLAN DE ESTUDIO'!$XFD$41,"",IF(P164="TP","Teórico-Práctica",IF(P164="T","Teórico",IF(P164="P","Práctica",""))))</f>
        <v/>
      </c>
      <c r="AH164" s="234" t="str">
        <f t="shared" si="5"/>
        <v xml:space="preserve"> </v>
      </c>
    </row>
    <row r="165" spans="10:34" x14ac:dyDescent="0.3">
      <c r="J165" s="412"/>
      <c r="K165" s="281" t="str">
        <f>IF($B$3="","",IF($B$3="PREGRADO",DATA!Q166,""))</f>
        <v/>
      </c>
      <c r="L165" s="281" t="str">
        <f>IF($B$3="","",IF($B$3="PREGRADO",DATA!R166,""))</f>
        <v/>
      </c>
      <c r="M165" s="281" t="str">
        <f>IF($B$3="","",IF($B$3="PREGRADO",DATA!S166,""))</f>
        <v/>
      </c>
      <c r="N165" s="412"/>
      <c r="O165" s="281" t="str">
        <f>IF($B$3="","",IF($B$3="PREGRADO",DATA!T166,""))</f>
        <v/>
      </c>
      <c r="P165" s="281" t="str">
        <f>IF($B$3="","",IF($B$3="PREGRADO",DATA!U166,""))</f>
        <v/>
      </c>
      <c r="Q165" s="412"/>
      <c r="R165" s="425"/>
      <c r="S165" s="281" t="str">
        <f>IF($B$3="","",IF($B$3="PREGRADO",DATA!W166,""))</f>
        <v/>
      </c>
      <c r="T165" s="283" t="str" cm="1">
        <f t="array" ref="T165">IF($B$9="","",_xlfn.IFS($B$9="PRESENCIAL",_xlfn.XLOOKUP($S165,DATA!$B$4:$B$8,DATA!$D$4:$D$8,"",0,),$B$9="VIRTUAL",_xlfn.XLOOKUP($S165,DATA!$G$4:$G$8,DATA!$I$4:$I$8,"",0),$B$9="DISTANCIA",_xlfn.XLOOKUP($S165,DATA!$L$4:$L$8,DATA!$N$4:$N$8,"",0)))</f>
        <v/>
      </c>
      <c r="U165" s="283" t="str" cm="1">
        <f t="array" ref="U165">IF($B$9="","",_xlfn.IFS($B$9="PRESENCIAL",_xlfn.XLOOKUP($S165,DATA!$B$4:$B$8,DATA!$E$4:$E$8,"",0,),$B$9="VIRTUAL",_xlfn.XLOOKUP($S165,DATA!$G$4:$G$8,DATA!$J$4:$J$8,"",0),$B$9="DISTANCIA",_xlfn.XLOOKUP($S165,DATA!$L$4:$L$8,DATA!$O$4:$O$8,"",0)))</f>
        <v/>
      </c>
      <c r="V165" s="261" t="str">
        <f t="shared" si="4"/>
        <v/>
      </c>
      <c r="W165" s="282"/>
      <c r="X165" s="282"/>
      <c r="Y165" s="282"/>
      <c r="Z165" s="282"/>
      <c r="AA165" s="282"/>
      <c r="AB165" s="284"/>
      <c r="AC165" s="262" t="str">
        <f>IF(AE165="","",COUNTIF($AE$1:AE165,AE165))</f>
        <v/>
      </c>
      <c r="AD165" s="261" t="str">
        <f>IF(J165='PLAN DE ESTUDIO'!$XFD$41,"",IF(AE165="","",AC165&amp;K165&amp;L165&amp;M165))</f>
        <v/>
      </c>
      <c r="AE165" s="261" t="str">
        <f>IF(J165='PLAN DE ESTUDIO'!$XFD$41,"",IF(AF165=1,K165&amp;L165&amp;M165,""))</f>
        <v/>
      </c>
      <c r="AF165" s="261">
        <f>COUNTIF($O$1:O165,$O165)</f>
        <v>164</v>
      </c>
      <c r="AG165" s="285" t="str">
        <f>IF(J165='PLAN DE ESTUDIO'!$XFD$41,"",IF(P165="TP","Teórico-Práctica",IF(P165="T","Teórico",IF(P165="P","Práctica",""))))</f>
        <v/>
      </c>
      <c r="AH165" s="234" t="str">
        <f t="shared" si="5"/>
        <v xml:space="preserve"> </v>
      </c>
    </row>
    <row r="166" spans="10:34" x14ac:dyDescent="0.3">
      <c r="J166" s="412"/>
      <c r="K166" s="281" t="str">
        <f>IF($B$3="","",IF($B$3="PREGRADO",DATA!Q167,""))</f>
        <v/>
      </c>
      <c r="L166" s="281" t="str">
        <f>IF($B$3="","",IF($B$3="PREGRADO",DATA!R167,""))</f>
        <v/>
      </c>
      <c r="M166" s="281" t="str">
        <f>IF($B$3="","",IF($B$3="PREGRADO",DATA!S167,""))</f>
        <v/>
      </c>
      <c r="N166" s="412"/>
      <c r="O166" s="281" t="str">
        <f>IF($B$3="","",IF($B$3="PREGRADO",DATA!T167,""))</f>
        <v/>
      </c>
      <c r="P166" s="281" t="str">
        <f>IF($B$3="","",IF($B$3="PREGRADO",DATA!U167,""))</f>
        <v/>
      </c>
      <c r="Q166" s="412"/>
      <c r="R166" s="425"/>
      <c r="S166" s="281" t="str">
        <f>IF($B$3="","",IF($B$3="PREGRADO",DATA!W167,""))</f>
        <v/>
      </c>
      <c r="T166" s="283" t="str" cm="1">
        <f t="array" ref="T166">IF($B$9="","",_xlfn.IFS($B$9="PRESENCIAL",_xlfn.XLOOKUP($S166,DATA!$B$4:$B$8,DATA!$D$4:$D$8,"",0,),$B$9="VIRTUAL",_xlfn.XLOOKUP($S166,DATA!$G$4:$G$8,DATA!$I$4:$I$8,"",0),$B$9="DISTANCIA",_xlfn.XLOOKUP($S166,DATA!$L$4:$L$8,DATA!$N$4:$N$8,"",0)))</f>
        <v/>
      </c>
      <c r="U166" s="283" t="str" cm="1">
        <f t="array" ref="U166">IF($B$9="","",_xlfn.IFS($B$9="PRESENCIAL",_xlfn.XLOOKUP($S166,DATA!$B$4:$B$8,DATA!$E$4:$E$8,"",0,),$B$9="VIRTUAL",_xlfn.XLOOKUP($S166,DATA!$G$4:$G$8,DATA!$J$4:$J$8,"",0),$B$9="DISTANCIA",_xlfn.XLOOKUP($S166,DATA!$L$4:$L$8,DATA!$O$4:$O$8,"",0)))</f>
        <v/>
      </c>
      <c r="V166" s="261" t="str">
        <f t="shared" si="4"/>
        <v/>
      </c>
      <c r="W166" s="282"/>
      <c r="X166" s="282"/>
      <c r="Y166" s="282"/>
      <c r="Z166" s="282"/>
      <c r="AA166" s="282"/>
      <c r="AB166" s="284"/>
      <c r="AC166" s="262" t="str">
        <f>IF(AE166="","",COUNTIF($AE$1:AE166,AE166))</f>
        <v/>
      </c>
      <c r="AD166" s="261" t="str">
        <f>IF(J166='PLAN DE ESTUDIO'!$XFD$41,"",IF(AE166="","",AC166&amp;K166&amp;L166&amp;M166))</f>
        <v/>
      </c>
      <c r="AE166" s="261" t="str">
        <f>IF(J166='PLAN DE ESTUDIO'!$XFD$41,"",IF(AF166=1,K166&amp;L166&amp;M166,""))</f>
        <v/>
      </c>
      <c r="AF166" s="261">
        <f>COUNTIF($O$1:O166,$O166)</f>
        <v>165</v>
      </c>
      <c r="AG166" s="285" t="str">
        <f>IF(J166='PLAN DE ESTUDIO'!$XFD$41,"",IF(P166="TP","Teórico-Práctica",IF(P166="T","Teórico",IF(P166="P","Práctica",""))))</f>
        <v/>
      </c>
      <c r="AH166" s="234" t="str">
        <f t="shared" si="5"/>
        <v xml:space="preserve"> </v>
      </c>
    </row>
    <row r="167" spans="10:34" x14ac:dyDescent="0.3">
      <c r="J167" s="412"/>
      <c r="K167" s="232"/>
      <c r="L167" s="232"/>
      <c r="M167" s="232"/>
      <c r="N167" s="412"/>
      <c r="P167" s="231"/>
      <c r="Q167" s="412"/>
      <c r="R167" s="425"/>
      <c r="S167" s="442"/>
      <c r="T167" s="283" t="str" cm="1">
        <f t="array" ref="T167">IF($B$9="","",_xlfn.IFS($B$9="PRESENCIAL",_xlfn.XLOOKUP($S167,DATA!$B$4:$B$8,DATA!$D$4:$D$8,"",0,),$B$9="VIRTUAL",_xlfn.XLOOKUP($S167,DATA!$G$4:$G$8,DATA!$I$4:$I$8,"",0),$B$9="DISTANCIA",_xlfn.XLOOKUP($S167,DATA!$L$4:$L$8,DATA!$N$4:$N$8,"",0)))</f>
        <v/>
      </c>
      <c r="U167" s="283" t="str" cm="1">
        <f t="array" ref="U167">IF($B$9="","",_xlfn.IFS($B$9="PRESENCIAL",_xlfn.XLOOKUP($S167,DATA!$B$4:$B$8,DATA!$E$4:$E$8,"",0,),$B$9="VIRTUAL",_xlfn.XLOOKUP($S167,DATA!$G$4:$G$8,DATA!$J$4:$J$8,"",0),$B$9="DISTANCIA",_xlfn.XLOOKUP($S167,DATA!$L$4:$L$8,DATA!$O$4:$O$8,"",0)))</f>
        <v/>
      </c>
      <c r="V167" s="261" t="str">
        <f t="shared" si="4"/>
        <v/>
      </c>
      <c r="W167" s="282"/>
      <c r="X167" s="282"/>
      <c r="Y167" s="282"/>
      <c r="Z167" s="282"/>
      <c r="AA167" s="282"/>
      <c r="AB167" s="284"/>
      <c r="AC167" s="262" t="str">
        <f>IF(AE167="","",COUNTIF($AE$1:AE167,AE167))</f>
        <v/>
      </c>
      <c r="AD167" s="261" t="str">
        <f>IF(J167='PLAN DE ESTUDIO'!$XFD$41,"",IF(AE167="","",AC167&amp;K167&amp;L167&amp;M167))</f>
        <v/>
      </c>
      <c r="AE167" s="261" t="str">
        <f>IF(J167='PLAN DE ESTUDIO'!$XFD$41,"",IF(AF167=1,K167&amp;L167&amp;M167,""))</f>
        <v/>
      </c>
      <c r="AF167" s="261">
        <f>COUNTIF($O$1:O167,$O167)</f>
        <v>0</v>
      </c>
      <c r="AG167" s="285" t="str">
        <f>IF(J167='PLAN DE ESTUDIO'!$XFD$41,"",IF(P167="TP","Teórico-Práctica",IF(P167="T","Teórico",IF(P167="P","Práctica",""))))</f>
        <v/>
      </c>
      <c r="AH167" s="234" t="str">
        <f t="shared" si="5"/>
        <v xml:space="preserve"> </v>
      </c>
    </row>
    <row r="168" spans="10:34" x14ac:dyDescent="0.3">
      <c r="J168" s="412"/>
      <c r="K168" s="232"/>
      <c r="L168" s="232"/>
      <c r="M168" s="232"/>
      <c r="N168" s="412"/>
      <c r="P168" s="231"/>
      <c r="Q168" s="412"/>
      <c r="R168" s="425"/>
      <c r="S168" s="442"/>
      <c r="T168" s="283" t="str" cm="1">
        <f t="array" ref="T168">IF($B$9="","",_xlfn.IFS($B$9="PRESENCIAL",_xlfn.XLOOKUP($S168,DATA!$B$4:$B$8,DATA!$D$4:$D$8,"",0,),$B$9="VIRTUAL",_xlfn.XLOOKUP($S168,DATA!$G$4:$G$8,DATA!$I$4:$I$8,"",0),$B$9="DISTANCIA",_xlfn.XLOOKUP($S168,DATA!$L$4:$L$8,DATA!$N$4:$N$8,"",0)))</f>
        <v/>
      </c>
      <c r="U168" s="283" t="str" cm="1">
        <f t="array" ref="U168">IF($B$9="","",_xlfn.IFS($B$9="PRESENCIAL",_xlfn.XLOOKUP($S168,DATA!$B$4:$B$8,DATA!$E$4:$E$8,"",0,),$B$9="VIRTUAL",_xlfn.XLOOKUP($S168,DATA!$G$4:$G$8,DATA!$J$4:$J$8,"",0),$B$9="DISTANCIA",_xlfn.XLOOKUP($S168,DATA!$L$4:$L$8,DATA!$O$4:$O$8,"",0)))</f>
        <v/>
      </c>
      <c r="V168" s="261" t="str">
        <f t="shared" ref="V168:V231" si="6">IF($U168="","",T168+U168)</f>
        <v/>
      </c>
      <c r="W168" s="282"/>
      <c r="X168" s="282"/>
      <c r="Y168" s="282"/>
      <c r="Z168" s="282"/>
      <c r="AA168" s="282"/>
      <c r="AB168" s="284"/>
      <c r="AC168" s="262" t="str">
        <f>IF(AE168="","",COUNTIF($AE$1:AE168,AE168))</f>
        <v/>
      </c>
      <c r="AD168" s="261" t="str">
        <f>IF(J168='PLAN DE ESTUDIO'!$XFD$41,"",IF(AE168="","",AC168&amp;K168&amp;L168&amp;M168))</f>
        <v/>
      </c>
      <c r="AE168" s="261" t="str">
        <f>IF(J168='PLAN DE ESTUDIO'!$XFD$41,"",IF(AF168=1,K168&amp;L168&amp;M168,""))</f>
        <v/>
      </c>
      <c r="AF168" s="261">
        <f>COUNTIF($O$1:O168,$O168)</f>
        <v>0</v>
      </c>
      <c r="AG168" s="285" t="str">
        <f>IF(J168='PLAN DE ESTUDIO'!$XFD$41,"",IF(P168="TP","Teórico-Práctica",IF(P168="T","Teórico",IF(P168="P","Práctica",""))))</f>
        <v/>
      </c>
      <c r="AH168" s="234" t="str">
        <f t="shared" ref="AH168:AH231" si="7">IF(AC168&lt;&gt;1," ",S168)</f>
        <v xml:space="preserve"> </v>
      </c>
    </row>
    <row r="169" spans="10:34" x14ac:dyDescent="0.3">
      <c r="J169" s="412"/>
      <c r="K169" s="232"/>
      <c r="L169" s="232"/>
      <c r="M169" s="232"/>
      <c r="N169" s="412"/>
      <c r="P169" s="231"/>
      <c r="Q169" s="412"/>
      <c r="R169" s="425"/>
      <c r="S169" s="442"/>
      <c r="T169" s="283" t="str" cm="1">
        <f t="array" ref="T169">IF($B$9="","",_xlfn.IFS($B$9="PRESENCIAL",_xlfn.XLOOKUP($S169,DATA!$B$4:$B$8,DATA!$D$4:$D$8,"",0,),$B$9="VIRTUAL",_xlfn.XLOOKUP($S169,DATA!$G$4:$G$8,DATA!$I$4:$I$8,"",0),$B$9="DISTANCIA",_xlfn.XLOOKUP($S169,DATA!$L$4:$L$8,DATA!$N$4:$N$8,"",0)))</f>
        <v/>
      </c>
      <c r="U169" s="283" t="str" cm="1">
        <f t="array" ref="U169">IF($B$9="","",_xlfn.IFS($B$9="PRESENCIAL",_xlfn.XLOOKUP($S169,DATA!$B$4:$B$8,DATA!$E$4:$E$8,"",0,),$B$9="VIRTUAL",_xlfn.XLOOKUP($S169,DATA!$G$4:$G$8,DATA!$J$4:$J$8,"",0),$B$9="DISTANCIA",_xlfn.XLOOKUP($S169,DATA!$L$4:$L$8,DATA!$O$4:$O$8,"",0)))</f>
        <v/>
      </c>
      <c r="V169" s="261" t="str">
        <f t="shared" si="6"/>
        <v/>
      </c>
      <c r="W169" s="282"/>
      <c r="X169" s="282"/>
      <c r="Y169" s="282"/>
      <c r="Z169" s="282"/>
      <c r="AA169" s="282"/>
      <c r="AB169" s="284"/>
      <c r="AC169" s="262" t="str">
        <f>IF(AE169="","",COUNTIF($AE$1:AE169,AE169))</f>
        <v/>
      </c>
      <c r="AD169" s="261" t="str">
        <f>IF(J169='PLAN DE ESTUDIO'!$XFD$41,"",IF(AE169="","",AC169&amp;K169&amp;L169&amp;M169))</f>
        <v/>
      </c>
      <c r="AE169" s="261" t="str">
        <f>IF(J169='PLAN DE ESTUDIO'!$XFD$41,"",IF(AF169=1,K169&amp;L169&amp;M169,""))</f>
        <v/>
      </c>
      <c r="AF169" s="261">
        <f>COUNTIF($O$1:O169,$O169)</f>
        <v>0</v>
      </c>
      <c r="AG169" s="285" t="str">
        <f>IF(J169='PLAN DE ESTUDIO'!$XFD$41,"",IF(P169="TP","Teórico-Práctica",IF(P169="T","Teórico",IF(P169="P","Práctica",""))))</f>
        <v/>
      </c>
      <c r="AH169" s="234" t="str">
        <f t="shared" si="7"/>
        <v xml:space="preserve"> </v>
      </c>
    </row>
    <row r="170" spans="10:34" x14ac:dyDescent="0.3">
      <c r="J170" s="412"/>
      <c r="K170" s="232"/>
      <c r="L170" s="232"/>
      <c r="M170" s="232"/>
      <c r="N170" s="412"/>
      <c r="P170" s="231"/>
      <c r="Q170" s="412"/>
      <c r="R170" s="425"/>
      <c r="S170" s="442"/>
      <c r="T170" s="283" t="str" cm="1">
        <f t="array" ref="T170">IF($B$9="","",_xlfn.IFS($B$9="PRESENCIAL",_xlfn.XLOOKUP($S170,DATA!$B$4:$B$8,DATA!$D$4:$D$8,"",0,),$B$9="VIRTUAL",_xlfn.XLOOKUP($S170,DATA!$G$4:$G$8,DATA!$I$4:$I$8,"",0),$B$9="DISTANCIA",_xlfn.XLOOKUP($S170,DATA!$L$4:$L$8,DATA!$N$4:$N$8,"",0)))</f>
        <v/>
      </c>
      <c r="U170" s="283" t="str" cm="1">
        <f t="array" ref="U170">IF($B$9="","",_xlfn.IFS($B$9="PRESENCIAL",_xlfn.XLOOKUP($S170,DATA!$B$4:$B$8,DATA!$E$4:$E$8,"",0,),$B$9="VIRTUAL",_xlfn.XLOOKUP($S170,DATA!$G$4:$G$8,DATA!$J$4:$J$8,"",0),$B$9="DISTANCIA",_xlfn.XLOOKUP($S170,DATA!$L$4:$L$8,DATA!$O$4:$O$8,"",0)))</f>
        <v/>
      </c>
      <c r="V170" s="261" t="str">
        <f t="shared" si="6"/>
        <v/>
      </c>
      <c r="W170" s="282"/>
      <c r="X170" s="282"/>
      <c r="Y170" s="282"/>
      <c r="Z170" s="282"/>
      <c r="AA170" s="282"/>
      <c r="AB170" s="284"/>
      <c r="AC170" s="262" t="str">
        <f>IF(AE170="","",COUNTIF($AE$1:AE170,AE170))</f>
        <v/>
      </c>
      <c r="AD170" s="261" t="str">
        <f>IF(J170='PLAN DE ESTUDIO'!$XFD$41,"",IF(AE170="","",AC170&amp;K170&amp;L170&amp;M170))</f>
        <v/>
      </c>
      <c r="AE170" s="261" t="str">
        <f>IF(J170='PLAN DE ESTUDIO'!$XFD$41,"",IF(AF170=1,K170&amp;L170&amp;M170,""))</f>
        <v/>
      </c>
      <c r="AF170" s="261">
        <f>COUNTIF($O$1:O170,$O170)</f>
        <v>0</v>
      </c>
      <c r="AG170" s="285" t="str">
        <f>IF(J170='PLAN DE ESTUDIO'!$XFD$41,"",IF(P170="TP","Teórico-Práctica",IF(P170="T","Teórico",IF(P170="P","Práctica",""))))</f>
        <v/>
      </c>
      <c r="AH170" s="234" t="str">
        <f t="shared" si="7"/>
        <v xml:space="preserve"> </v>
      </c>
    </row>
    <row r="171" spans="10:34" x14ac:dyDescent="0.3">
      <c r="J171" s="412"/>
      <c r="K171" s="232"/>
      <c r="L171" s="232"/>
      <c r="M171" s="232"/>
      <c r="N171" s="412"/>
      <c r="P171" s="231"/>
      <c r="Q171" s="412"/>
      <c r="R171" s="425"/>
      <c r="S171" s="442"/>
      <c r="T171" s="283" t="str" cm="1">
        <f t="array" ref="T171">IF($B$9="","",_xlfn.IFS($B$9="PRESENCIAL",_xlfn.XLOOKUP($S171,DATA!$B$4:$B$8,DATA!$D$4:$D$8,"",0,),$B$9="VIRTUAL",_xlfn.XLOOKUP($S171,DATA!$G$4:$G$8,DATA!$I$4:$I$8,"",0),$B$9="DISTANCIA",_xlfn.XLOOKUP($S171,DATA!$L$4:$L$8,DATA!$N$4:$N$8,"",0)))</f>
        <v/>
      </c>
      <c r="U171" s="283" t="str" cm="1">
        <f t="array" ref="U171">IF($B$9="","",_xlfn.IFS($B$9="PRESENCIAL",_xlfn.XLOOKUP($S171,DATA!$B$4:$B$8,DATA!$E$4:$E$8,"",0,),$B$9="VIRTUAL",_xlfn.XLOOKUP($S171,DATA!$G$4:$G$8,DATA!$J$4:$J$8,"",0),$B$9="DISTANCIA",_xlfn.XLOOKUP($S171,DATA!$L$4:$L$8,DATA!$O$4:$O$8,"",0)))</f>
        <v/>
      </c>
      <c r="V171" s="261" t="str">
        <f t="shared" si="6"/>
        <v/>
      </c>
      <c r="W171" s="282"/>
      <c r="X171" s="282"/>
      <c r="Y171" s="282"/>
      <c r="Z171" s="282"/>
      <c r="AA171" s="282"/>
      <c r="AB171" s="284"/>
      <c r="AC171" s="262" t="str">
        <f>IF(AE171="","",COUNTIF($AE$1:AE171,AE171))</f>
        <v/>
      </c>
      <c r="AD171" s="261" t="str">
        <f>IF(J171='PLAN DE ESTUDIO'!$XFD$41,"",IF(AE171="","",AC171&amp;K171&amp;L171&amp;M171))</f>
        <v/>
      </c>
      <c r="AE171" s="261" t="str">
        <f>IF(J171='PLAN DE ESTUDIO'!$XFD$41,"",IF(AF171=1,K171&amp;L171&amp;M171,""))</f>
        <v/>
      </c>
      <c r="AF171" s="261">
        <f>COUNTIF($O$1:O171,$O171)</f>
        <v>0</v>
      </c>
      <c r="AG171" s="285" t="str">
        <f>IF(J171='PLAN DE ESTUDIO'!$XFD$41,"",IF(P171="TP","Teórico-Práctica",IF(P171="T","Teórico",IF(P171="P","Práctica",""))))</f>
        <v/>
      </c>
      <c r="AH171" s="234" t="str">
        <f t="shared" si="7"/>
        <v xml:space="preserve"> </v>
      </c>
    </row>
    <row r="172" spans="10:34" x14ac:dyDescent="0.3">
      <c r="J172" s="412"/>
      <c r="K172" s="232"/>
      <c r="L172" s="232"/>
      <c r="M172" s="232"/>
      <c r="N172" s="412"/>
      <c r="P172" s="231"/>
      <c r="Q172" s="412"/>
      <c r="R172" s="425"/>
      <c r="S172" s="442"/>
      <c r="T172" s="283" t="str" cm="1">
        <f t="array" ref="T172">IF($B$9="","",_xlfn.IFS($B$9="PRESENCIAL",_xlfn.XLOOKUP($S172,DATA!$B$4:$B$8,DATA!$D$4:$D$8,"",0,),$B$9="VIRTUAL",_xlfn.XLOOKUP($S172,DATA!$G$4:$G$8,DATA!$I$4:$I$8,"",0),$B$9="DISTANCIA",_xlfn.XLOOKUP($S172,DATA!$L$4:$L$8,DATA!$N$4:$N$8,"",0)))</f>
        <v/>
      </c>
      <c r="U172" s="283" t="str" cm="1">
        <f t="array" ref="U172">IF($B$9="","",_xlfn.IFS($B$9="PRESENCIAL",_xlfn.XLOOKUP($S172,DATA!$B$4:$B$8,DATA!$E$4:$E$8,"",0,),$B$9="VIRTUAL",_xlfn.XLOOKUP($S172,DATA!$G$4:$G$8,DATA!$J$4:$J$8,"",0),$B$9="DISTANCIA",_xlfn.XLOOKUP($S172,DATA!$L$4:$L$8,DATA!$O$4:$O$8,"",0)))</f>
        <v/>
      </c>
      <c r="V172" s="261" t="str">
        <f t="shared" si="6"/>
        <v/>
      </c>
      <c r="W172" s="282"/>
      <c r="X172" s="282"/>
      <c r="Y172" s="282"/>
      <c r="Z172" s="282"/>
      <c r="AA172" s="282"/>
      <c r="AB172" s="284"/>
      <c r="AC172" s="262" t="str">
        <f>IF(AE172="","",COUNTIF($AE$1:AE172,AE172))</f>
        <v/>
      </c>
      <c r="AD172" s="261" t="str">
        <f>IF(J172='PLAN DE ESTUDIO'!$XFD$41,"",IF(AE172="","",AC172&amp;K172&amp;L172&amp;M172))</f>
        <v/>
      </c>
      <c r="AE172" s="261" t="str">
        <f>IF(J172='PLAN DE ESTUDIO'!$XFD$41,"",IF(AF172=1,K172&amp;L172&amp;M172,""))</f>
        <v/>
      </c>
      <c r="AF172" s="261">
        <f>COUNTIF($O$1:O172,$O172)</f>
        <v>0</v>
      </c>
      <c r="AG172" s="285" t="str">
        <f>IF(J172='PLAN DE ESTUDIO'!$XFD$41,"",IF(P172="TP","Teórico-Práctica",IF(P172="T","Teórico",IF(P172="P","Práctica",""))))</f>
        <v/>
      </c>
      <c r="AH172" s="234" t="str">
        <f t="shared" si="7"/>
        <v xml:space="preserve"> </v>
      </c>
    </row>
    <row r="173" spans="10:34" x14ac:dyDescent="0.3">
      <c r="J173" s="412"/>
      <c r="K173" s="232"/>
      <c r="L173" s="232"/>
      <c r="M173" s="232"/>
      <c r="N173" s="412"/>
      <c r="P173" s="231"/>
      <c r="Q173" s="412"/>
      <c r="R173" s="425"/>
      <c r="S173" s="442"/>
      <c r="T173" s="283" t="str" cm="1">
        <f t="array" ref="T173">IF($B$9="","",_xlfn.IFS($B$9="PRESENCIAL",_xlfn.XLOOKUP($S173,DATA!$B$4:$B$8,DATA!$D$4:$D$8,"",0,),$B$9="VIRTUAL",_xlfn.XLOOKUP($S173,DATA!$G$4:$G$8,DATA!$I$4:$I$8,"",0),$B$9="DISTANCIA",_xlfn.XLOOKUP($S173,DATA!$L$4:$L$8,DATA!$N$4:$N$8,"",0)))</f>
        <v/>
      </c>
      <c r="U173" s="283" t="str" cm="1">
        <f t="array" ref="U173">IF($B$9="","",_xlfn.IFS($B$9="PRESENCIAL",_xlfn.XLOOKUP($S173,DATA!$B$4:$B$8,DATA!$E$4:$E$8,"",0,),$B$9="VIRTUAL",_xlfn.XLOOKUP($S173,DATA!$G$4:$G$8,DATA!$J$4:$J$8,"",0),$B$9="DISTANCIA",_xlfn.XLOOKUP($S173,DATA!$L$4:$L$8,DATA!$O$4:$O$8,"",0)))</f>
        <v/>
      </c>
      <c r="V173" s="261" t="str">
        <f t="shared" si="6"/>
        <v/>
      </c>
      <c r="W173" s="282"/>
      <c r="X173" s="282"/>
      <c r="Y173" s="282"/>
      <c r="Z173" s="282"/>
      <c r="AA173" s="282"/>
      <c r="AB173" s="284"/>
      <c r="AC173" s="262" t="str">
        <f>IF(AE173="","",COUNTIF($AE$1:AE173,AE173))</f>
        <v/>
      </c>
      <c r="AD173" s="261" t="str">
        <f>IF(J173='PLAN DE ESTUDIO'!$XFD$41,"",IF(AE173="","",AC173&amp;K173&amp;L173&amp;M173))</f>
        <v/>
      </c>
      <c r="AE173" s="261" t="str">
        <f>IF(J173='PLAN DE ESTUDIO'!$XFD$41,"",IF(AF173=1,K173&amp;L173&amp;M173,""))</f>
        <v/>
      </c>
      <c r="AF173" s="261">
        <f>COUNTIF($O$1:O173,$O173)</f>
        <v>0</v>
      </c>
      <c r="AG173" s="285" t="str">
        <f>IF(J173='PLAN DE ESTUDIO'!$XFD$41,"",IF(P173="TP","Teórico-Práctica",IF(P173="T","Teórico",IF(P173="P","Práctica",""))))</f>
        <v/>
      </c>
      <c r="AH173" s="234" t="str">
        <f t="shared" si="7"/>
        <v xml:space="preserve"> </v>
      </c>
    </row>
    <row r="174" spans="10:34" x14ac:dyDescent="0.3">
      <c r="J174" s="412"/>
      <c r="K174" s="232"/>
      <c r="L174" s="232"/>
      <c r="M174" s="232"/>
      <c r="N174" s="412"/>
      <c r="P174" s="231"/>
      <c r="Q174" s="412"/>
      <c r="R174" s="425"/>
      <c r="S174" s="442"/>
      <c r="T174" s="283" t="str" cm="1">
        <f t="array" ref="T174">IF($B$9="","",_xlfn.IFS($B$9="PRESENCIAL",_xlfn.XLOOKUP($S174,DATA!$B$4:$B$8,DATA!$D$4:$D$8,"",0,),$B$9="VIRTUAL",_xlfn.XLOOKUP($S174,DATA!$G$4:$G$8,DATA!$I$4:$I$8,"",0),$B$9="DISTANCIA",_xlfn.XLOOKUP($S174,DATA!$L$4:$L$8,DATA!$N$4:$N$8,"",0)))</f>
        <v/>
      </c>
      <c r="U174" s="283" t="str" cm="1">
        <f t="array" ref="U174">IF($B$9="","",_xlfn.IFS($B$9="PRESENCIAL",_xlfn.XLOOKUP($S174,DATA!$B$4:$B$8,DATA!$E$4:$E$8,"",0,),$B$9="VIRTUAL",_xlfn.XLOOKUP($S174,DATA!$G$4:$G$8,DATA!$J$4:$J$8,"",0),$B$9="DISTANCIA",_xlfn.XLOOKUP($S174,DATA!$L$4:$L$8,DATA!$O$4:$O$8,"",0)))</f>
        <v/>
      </c>
      <c r="V174" s="261" t="str">
        <f t="shared" si="6"/>
        <v/>
      </c>
      <c r="W174" s="282"/>
      <c r="X174" s="282"/>
      <c r="Y174" s="282"/>
      <c r="Z174" s="282"/>
      <c r="AA174" s="282"/>
      <c r="AB174" s="284"/>
      <c r="AC174" s="262" t="str">
        <f>IF(AE174="","",COUNTIF($AE$1:AE174,AE174))</f>
        <v/>
      </c>
      <c r="AD174" s="261" t="str">
        <f>IF(J174='PLAN DE ESTUDIO'!$XFD$41,"",IF(AE174="","",AC174&amp;K174&amp;L174&amp;M174))</f>
        <v/>
      </c>
      <c r="AE174" s="261" t="str">
        <f>IF(J174='PLAN DE ESTUDIO'!$XFD$41,"",IF(AF174=1,K174&amp;L174&amp;M174,""))</f>
        <v/>
      </c>
      <c r="AF174" s="261">
        <f>COUNTIF($O$1:O174,$O174)</f>
        <v>0</v>
      </c>
      <c r="AG174" s="285" t="str">
        <f>IF(J174='PLAN DE ESTUDIO'!$XFD$41,"",IF(P174="TP","Teórico-Práctica",IF(P174="T","Teórico",IF(P174="P","Práctica",""))))</f>
        <v/>
      </c>
      <c r="AH174" s="234" t="str">
        <f t="shared" si="7"/>
        <v xml:space="preserve"> </v>
      </c>
    </row>
    <row r="175" spans="10:34" x14ac:dyDescent="0.3">
      <c r="J175" s="412"/>
      <c r="K175" s="232"/>
      <c r="L175" s="232"/>
      <c r="M175" s="232"/>
      <c r="N175" s="412"/>
      <c r="P175" s="231"/>
      <c r="Q175" s="412"/>
      <c r="R175" s="425"/>
      <c r="S175" s="442"/>
      <c r="T175" s="283" t="str" cm="1">
        <f t="array" ref="T175">IF($B$9="","",_xlfn.IFS($B$9="PRESENCIAL",_xlfn.XLOOKUP($S175,DATA!$B$4:$B$8,DATA!$D$4:$D$8,"",0,),$B$9="VIRTUAL",_xlfn.XLOOKUP($S175,DATA!$G$4:$G$8,DATA!$I$4:$I$8,"",0),$B$9="DISTANCIA",_xlfn.XLOOKUP($S175,DATA!$L$4:$L$8,DATA!$N$4:$N$8,"",0)))</f>
        <v/>
      </c>
      <c r="U175" s="283" t="str" cm="1">
        <f t="array" ref="U175">IF($B$9="","",_xlfn.IFS($B$9="PRESENCIAL",_xlfn.XLOOKUP($S175,DATA!$B$4:$B$8,DATA!$E$4:$E$8,"",0,),$B$9="VIRTUAL",_xlfn.XLOOKUP($S175,DATA!$G$4:$G$8,DATA!$J$4:$J$8,"",0),$B$9="DISTANCIA",_xlfn.XLOOKUP($S175,DATA!$L$4:$L$8,DATA!$O$4:$O$8,"",0)))</f>
        <v/>
      </c>
      <c r="V175" s="261" t="str">
        <f t="shared" si="6"/>
        <v/>
      </c>
      <c r="W175" s="282"/>
      <c r="X175" s="282"/>
      <c r="Y175" s="282"/>
      <c r="Z175" s="282"/>
      <c r="AA175" s="282"/>
      <c r="AB175" s="284"/>
      <c r="AC175" s="262" t="str">
        <f>IF(AE175="","",COUNTIF($AE$1:AE175,AE175))</f>
        <v/>
      </c>
      <c r="AD175" s="261" t="str">
        <f>IF(J175='PLAN DE ESTUDIO'!$XFD$41,"",IF(AE175="","",AC175&amp;K175&amp;L175&amp;M175))</f>
        <v/>
      </c>
      <c r="AE175" s="261" t="str">
        <f>IF(J175='PLAN DE ESTUDIO'!$XFD$41,"",IF(AF175=1,K175&amp;L175&amp;M175,""))</f>
        <v/>
      </c>
      <c r="AF175" s="261">
        <f>COUNTIF($O$1:O175,$O175)</f>
        <v>0</v>
      </c>
      <c r="AG175" s="285" t="str">
        <f>IF(J175='PLAN DE ESTUDIO'!$XFD$41,"",IF(P175="TP","Teórico-Práctica",IF(P175="T","Teórico",IF(P175="P","Práctica",""))))</f>
        <v/>
      </c>
      <c r="AH175" s="234" t="str">
        <f t="shared" si="7"/>
        <v xml:space="preserve"> </v>
      </c>
    </row>
    <row r="176" spans="10:34" x14ac:dyDescent="0.3">
      <c r="J176" s="412"/>
      <c r="K176" s="232"/>
      <c r="L176" s="232"/>
      <c r="M176" s="232"/>
      <c r="N176" s="412"/>
      <c r="P176" s="231"/>
      <c r="Q176" s="412"/>
      <c r="R176" s="425"/>
      <c r="S176" s="442"/>
      <c r="T176" s="283" t="str" cm="1">
        <f t="array" ref="T176">IF($B$9="","",_xlfn.IFS($B$9="PRESENCIAL",_xlfn.XLOOKUP($S176,DATA!$B$4:$B$8,DATA!$D$4:$D$8,"",0,),$B$9="VIRTUAL",_xlfn.XLOOKUP($S176,DATA!$G$4:$G$8,DATA!$I$4:$I$8,"",0),$B$9="DISTANCIA",_xlfn.XLOOKUP($S176,DATA!$L$4:$L$8,DATA!$N$4:$N$8,"",0)))</f>
        <v/>
      </c>
      <c r="U176" s="283" t="str" cm="1">
        <f t="array" ref="U176">IF($B$9="","",_xlfn.IFS($B$9="PRESENCIAL",_xlfn.XLOOKUP($S176,DATA!$B$4:$B$8,DATA!$E$4:$E$8,"",0,),$B$9="VIRTUAL",_xlfn.XLOOKUP($S176,DATA!$G$4:$G$8,DATA!$J$4:$J$8,"",0),$B$9="DISTANCIA",_xlfn.XLOOKUP($S176,DATA!$L$4:$L$8,DATA!$O$4:$O$8,"",0)))</f>
        <v/>
      </c>
      <c r="V176" s="261" t="str">
        <f t="shared" si="6"/>
        <v/>
      </c>
      <c r="W176" s="282"/>
      <c r="X176" s="282"/>
      <c r="Y176" s="282"/>
      <c r="Z176" s="282"/>
      <c r="AA176" s="282"/>
      <c r="AB176" s="284"/>
      <c r="AC176" s="262" t="str">
        <f>IF(AE176="","",COUNTIF($AE$1:AE176,AE176))</f>
        <v/>
      </c>
      <c r="AD176" s="261" t="str">
        <f>IF(J176='PLAN DE ESTUDIO'!$XFD$41,"",IF(AE176="","",AC176&amp;K176&amp;L176&amp;M176))</f>
        <v/>
      </c>
      <c r="AE176" s="261" t="str">
        <f>IF(J176='PLAN DE ESTUDIO'!$XFD$41,"",IF(AF176=1,K176&amp;L176&amp;M176,""))</f>
        <v/>
      </c>
      <c r="AF176" s="261">
        <f>COUNTIF($O$1:O176,$O176)</f>
        <v>0</v>
      </c>
      <c r="AG176" s="285" t="str">
        <f>IF(J176='PLAN DE ESTUDIO'!$XFD$41,"",IF(P176="TP","Teórico-Práctica",IF(P176="T","Teórico",IF(P176="P","Práctica",""))))</f>
        <v/>
      </c>
      <c r="AH176" s="234" t="str">
        <f t="shared" si="7"/>
        <v xml:space="preserve"> </v>
      </c>
    </row>
    <row r="177" spans="10:34" x14ac:dyDescent="0.3">
      <c r="J177" s="412"/>
      <c r="K177" s="232"/>
      <c r="L177" s="232"/>
      <c r="M177" s="232"/>
      <c r="N177" s="412"/>
      <c r="P177" s="231"/>
      <c r="Q177" s="412"/>
      <c r="R177" s="425"/>
      <c r="S177" s="442"/>
      <c r="T177" s="283" t="str" cm="1">
        <f t="array" ref="T177">IF($B$9="","",_xlfn.IFS($B$9="PRESENCIAL",_xlfn.XLOOKUP($S177,DATA!$B$4:$B$8,DATA!$D$4:$D$8,"",0,),$B$9="VIRTUAL",_xlfn.XLOOKUP($S177,DATA!$G$4:$G$8,DATA!$I$4:$I$8,"",0),$B$9="DISTANCIA",_xlfn.XLOOKUP($S177,DATA!$L$4:$L$8,DATA!$N$4:$N$8,"",0)))</f>
        <v/>
      </c>
      <c r="U177" s="283" t="str" cm="1">
        <f t="array" ref="U177">IF($B$9="","",_xlfn.IFS($B$9="PRESENCIAL",_xlfn.XLOOKUP($S177,DATA!$B$4:$B$8,DATA!$E$4:$E$8,"",0,),$B$9="VIRTUAL",_xlfn.XLOOKUP($S177,DATA!$G$4:$G$8,DATA!$J$4:$J$8,"",0),$B$9="DISTANCIA",_xlfn.XLOOKUP($S177,DATA!$L$4:$L$8,DATA!$O$4:$O$8,"",0)))</f>
        <v/>
      </c>
      <c r="V177" s="261" t="str">
        <f t="shared" si="6"/>
        <v/>
      </c>
      <c r="W177" s="282"/>
      <c r="X177" s="282"/>
      <c r="Y177" s="282"/>
      <c r="Z177" s="282"/>
      <c r="AA177" s="282"/>
      <c r="AB177" s="284"/>
      <c r="AC177" s="262" t="str">
        <f>IF(AE177="","",COUNTIF($AE$1:AE177,AE177))</f>
        <v/>
      </c>
      <c r="AD177" s="261" t="str">
        <f>IF(J177='PLAN DE ESTUDIO'!$XFD$41,"",IF(AE177="","",AC177&amp;K177&amp;L177&amp;M177))</f>
        <v/>
      </c>
      <c r="AE177" s="261" t="str">
        <f>IF(J177='PLAN DE ESTUDIO'!$XFD$41,"",IF(AF177=1,K177&amp;L177&amp;M177,""))</f>
        <v/>
      </c>
      <c r="AF177" s="261">
        <f>COUNTIF($O$1:O177,$O177)</f>
        <v>0</v>
      </c>
      <c r="AG177" s="285" t="str">
        <f>IF(J177='PLAN DE ESTUDIO'!$XFD$41,"",IF(P177="TP","Teórico-Práctica",IF(P177="T","Teórico",IF(P177="P","Práctica",""))))</f>
        <v/>
      </c>
      <c r="AH177" s="234" t="str">
        <f t="shared" si="7"/>
        <v xml:space="preserve"> </v>
      </c>
    </row>
    <row r="178" spans="10:34" x14ac:dyDescent="0.3">
      <c r="J178" s="412"/>
      <c r="K178" s="232"/>
      <c r="L178" s="232"/>
      <c r="M178" s="232"/>
      <c r="N178" s="412"/>
      <c r="P178" s="231"/>
      <c r="Q178" s="412"/>
      <c r="R178" s="425"/>
      <c r="S178" s="442"/>
      <c r="T178" s="283" t="str" cm="1">
        <f t="array" ref="T178">IF($B$9="","",_xlfn.IFS($B$9="PRESENCIAL",_xlfn.XLOOKUP($S178,DATA!$B$4:$B$8,DATA!$D$4:$D$8,"",0,),$B$9="VIRTUAL",_xlfn.XLOOKUP($S178,DATA!$G$4:$G$8,DATA!$I$4:$I$8,"",0),$B$9="DISTANCIA",_xlfn.XLOOKUP($S178,DATA!$L$4:$L$8,DATA!$N$4:$N$8,"",0)))</f>
        <v/>
      </c>
      <c r="U178" s="283" t="str" cm="1">
        <f t="array" ref="U178">IF($B$9="","",_xlfn.IFS($B$9="PRESENCIAL",_xlfn.XLOOKUP($S178,DATA!$B$4:$B$8,DATA!$E$4:$E$8,"",0,),$B$9="VIRTUAL",_xlfn.XLOOKUP($S178,DATA!$G$4:$G$8,DATA!$J$4:$J$8,"",0),$B$9="DISTANCIA",_xlfn.XLOOKUP($S178,DATA!$L$4:$L$8,DATA!$O$4:$O$8,"",0)))</f>
        <v/>
      </c>
      <c r="V178" s="261" t="str">
        <f t="shared" si="6"/>
        <v/>
      </c>
      <c r="W178" s="282"/>
      <c r="X178" s="282"/>
      <c r="Y178" s="282"/>
      <c r="Z178" s="282"/>
      <c r="AA178" s="282"/>
      <c r="AB178" s="284"/>
      <c r="AC178" s="262" t="str">
        <f>IF(AE178="","",COUNTIF($AE$1:AE178,AE178))</f>
        <v/>
      </c>
      <c r="AD178" s="261" t="str">
        <f>IF(J178='PLAN DE ESTUDIO'!$XFD$41,"",IF(AE178="","",AC178&amp;K178&amp;L178&amp;M178))</f>
        <v/>
      </c>
      <c r="AE178" s="261" t="str">
        <f>IF(J178='PLAN DE ESTUDIO'!$XFD$41,"",IF(AF178=1,K178&amp;L178&amp;M178,""))</f>
        <v/>
      </c>
      <c r="AF178" s="261">
        <f>COUNTIF($O$1:O178,$O178)</f>
        <v>0</v>
      </c>
      <c r="AG178" s="285" t="str">
        <f>IF(J178='PLAN DE ESTUDIO'!$XFD$41,"",IF(P178="TP","Teórico-Práctica",IF(P178="T","Teórico",IF(P178="P","Práctica",""))))</f>
        <v/>
      </c>
      <c r="AH178" s="234" t="str">
        <f t="shared" si="7"/>
        <v xml:space="preserve"> </v>
      </c>
    </row>
    <row r="179" spans="10:34" x14ac:dyDescent="0.3">
      <c r="J179" s="412"/>
      <c r="K179" s="232"/>
      <c r="L179" s="232"/>
      <c r="M179" s="232"/>
      <c r="N179" s="412"/>
      <c r="P179" s="231"/>
      <c r="Q179" s="412"/>
      <c r="R179" s="425"/>
      <c r="S179" s="442"/>
      <c r="T179" s="283" t="str" cm="1">
        <f t="array" ref="T179">IF($B$9="","",_xlfn.IFS($B$9="PRESENCIAL",_xlfn.XLOOKUP($S179,DATA!$B$4:$B$8,DATA!$D$4:$D$8,"",0,),$B$9="VIRTUAL",_xlfn.XLOOKUP($S179,DATA!$G$4:$G$8,DATA!$I$4:$I$8,"",0),$B$9="DISTANCIA",_xlfn.XLOOKUP($S179,DATA!$L$4:$L$8,DATA!$N$4:$N$8,"",0)))</f>
        <v/>
      </c>
      <c r="U179" s="283" t="str" cm="1">
        <f t="array" ref="U179">IF($B$9="","",_xlfn.IFS($B$9="PRESENCIAL",_xlfn.XLOOKUP($S179,DATA!$B$4:$B$8,DATA!$E$4:$E$8,"",0,),$B$9="VIRTUAL",_xlfn.XLOOKUP($S179,DATA!$G$4:$G$8,DATA!$J$4:$J$8,"",0),$B$9="DISTANCIA",_xlfn.XLOOKUP($S179,DATA!$L$4:$L$8,DATA!$O$4:$O$8,"",0)))</f>
        <v/>
      </c>
      <c r="V179" s="261" t="str">
        <f t="shared" si="6"/>
        <v/>
      </c>
      <c r="W179" s="282"/>
      <c r="X179" s="282"/>
      <c r="Y179" s="282"/>
      <c r="Z179" s="282"/>
      <c r="AA179" s="282"/>
      <c r="AB179" s="284"/>
      <c r="AC179" s="262" t="str">
        <f>IF(AE179="","",COUNTIF($AE$1:AE179,AE179))</f>
        <v/>
      </c>
      <c r="AD179" s="261" t="str">
        <f>IF(J179='PLAN DE ESTUDIO'!$XFD$41,"",IF(AE179="","",AC179&amp;K179&amp;L179&amp;M179))</f>
        <v/>
      </c>
      <c r="AE179" s="261" t="str">
        <f>IF(J179='PLAN DE ESTUDIO'!$XFD$41,"",IF(AF179=1,K179&amp;L179&amp;M179,""))</f>
        <v/>
      </c>
      <c r="AF179" s="261">
        <f>COUNTIF($O$1:O179,$O179)</f>
        <v>0</v>
      </c>
      <c r="AG179" s="285" t="str">
        <f>IF(J179='PLAN DE ESTUDIO'!$XFD$41,"",IF(P179="TP","Teórico-Práctica",IF(P179="T","Teórico",IF(P179="P","Práctica",""))))</f>
        <v/>
      </c>
      <c r="AH179" s="234" t="str">
        <f t="shared" si="7"/>
        <v xml:space="preserve"> </v>
      </c>
    </row>
    <row r="180" spans="10:34" x14ac:dyDescent="0.3">
      <c r="J180" s="412"/>
      <c r="K180" s="232"/>
      <c r="L180" s="232"/>
      <c r="M180" s="232"/>
      <c r="N180" s="412"/>
      <c r="P180" s="231"/>
      <c r="Q180" s="412"/>
      <c r="R180" s="425"/>
      <c r="S180" s="442"/>
      <c r="T180" s="283" t="str" cm="1">
        <f t="array" ref="T180">IF($B$9="","",_xlfn.IFS($B$9="PRESENCIAL",_xlfn.XLOOKUP($S180,DATA!$B$4:$B$8,DATA!$D$4:$D$8,"",0,),$B$9="VIRTUAL",_xlfn.XLOOKUP($S180,DATA!$G$4:$G$8,DATA!$I$4:$I$8,"",0),$B$9="DISTANCIA",_xlfn.XLOOKUP($S180,DATA!$L$4:$L$8,DATA!$N$4:$N$8,"",0)))</f>
        <v/>
      </c>
      <c r="U180" s="283" t="str" cm="1">
        <f t="array" ref="U180">IF($B$9="","",_xlfn.IFS($B$9="PRESENCIAL",_xlfn.XLOOKUP($S180,DATA!$B$4:$B$8,DATA!$E$4:$E$8,"",0,),$B$9="VIRTUAL",_xlfn.XLOOKUP($S180,DATA!$G$4:$G$8,DATA!$J$4:$J$8,"",0),$B$9="DISTANCIA",_xlfn.XLOOKUP($S180,DATA!$L$4:$L$8,DATA!$O$4:$O$8,"",0)))</f>
        <v/>
      </c>
      <c r="V180" s="261" t="str">
        <f t="shared" si="6"/>
        <v/>
      </c>
      <c r="W180" s="282"/>
      <c r="X180" s="282"/>
      <c r="Y180" s="282"/>
      <c r="Z180" s="282"/>
      <c r="AA180" s="282"/>
      <c r="AB180" s="284"/>
      <c r="AC180" s="262" t="str">
        <f>IF(AE180="","",COUNTIF($AE$1:AE180,AE180))</f>
        <v/>
      </c>
      <c r="AD180" s="261" t="str">
        <f>IF(J180='PLAN DE ESTUDIO'!$XFD$41,"",IF(AE180="","",AC180&amp;K180&amp;L180&amp;M180))</f>
        <v/>
      </c>
      <c r="AE180" s="261" t="str">
        <f>IF(J180='PLAN DE ESTUDIO'!$XFD$41,"",IF(AF180=1,K180&amp;L180&amp;M180,""))</f>
        <v/>
      </c>
      <c r="AF180" s="261">
        <f>COUNTIF($O$1:O180,$O180)</f>
        <v>0</v>
      </c>
      <c r="AG180" s="285" t="str">
        <f>IF(J180='PLAN DE ESTUDIO'!$XFD$41,"",IF(P180="TP","Teórico-Práctica",IF(P180="T","Teórico",IF(P180="P","Práctica",""))))</f>
        <v/>
      </c>
      <c r="AH180" s="234" t="str">
        <f t="shared" si="7"/>
        <v xml:space="preserve"> </v>
      </c>
    </row>
    <row r="181" spans="10:34" x14ac:dyDescent="0.3">
      <c r="J181" s="412"/>
      <c r="K181" s="232"/>
      <c r="L181" s="232"/>
      <c r="M181" s="232"/>
      <c r="N181" s="412"/>
      <c r="P181" s="231"/>
      <c r="Q181" s="412"/>
      <c r="R181" s="425"/>
      <c r="S181" s="442"/>
      <c r="T181" s="283" t="str" cm="1">
        <f t="array" ref="T181">IF($B$9="","",_xlfn.IFS($B$9="PRESENCIAL",_xlfn.XLOOKUP($S181,DATA!$B$4:$B$8,DATA!$D$4:$D$8,"",0,),$B$9="VIRTUAL",_xlfn.XLOOKUP($S181,DATA!$G$4:$G$8,DATA!$I$4:$I$8,"",0),$B$9="DISTANCIA",_xlfn.XLOOKUP($S181,DATA!$L$4:$L$8,DATA!$N$4:$N$8,"",0)))</f>
        <v/>
      </c>
      <c r="U181" s="283" t="str" cm="1">
        <f t="array" ref="U181">IF($B$9="","",_xlfn.IFS($B$9="PRESENCIAL",_xlfn.XLOOKUP($S181,DATA!$B$4:$B$8,DATA!$E$4:$E$8,"",0,),$B$9="VIRTUAL",_xlfn.XLOOKUP($S181,DATA!$G$4:$G$8,DATA!$J$4:$J$8,"",0),$B$9="DISTANCIA",_xlfn.XLOOKUP($S181,DATA!$L$4:$L$8,DATA!$O$4:$O$8,"",0)))</f>
        <v/>
      </c>
      <c r="V181" s="261" t="str">
        <f t="shared" si="6"/>
        <v/>
      </c>
      <c r="W181" s="282"/>
      <c r="X181" s="282"/>
      <c r="Y181" s="282"/>
      <c r="Z181" s="282"/>
      <c r="AA181" s="282"/>
      <c r="AB181" s="284"/>
      <c r="AC181" s="262" t="str">
        <f>IF(AE181="","",COUNTIF($AE$1:AE181,AE181))</f>
        <v/>
      </c>
      <c r="AD181" s="261" t="str">
        <f>IF(J181='PLAN DE ESTUDIO'!$XFD$41,"",IF(AE181="","",AC181&amp;K181&amp;L181&amp;M181))</f>
        <v/>
      </c>
      <c r="AE181" s="261" t="str">
        <f>IF(J181='PLAN DE ESTUDIO'!$XFD$41,"",IF(AF181=1,K181&amp;L181&amp;M181,""))</f>
        <v/>
      </c>
      <c r="AF181" s="261">
        <f>COUNTIF($O$1:O181,$O181)</f>
        <v>0</v>
      </c>
      <c r="AG181" s="285" t="str">
        <f>IF(J181='PLAN DE ESTUDIO'!$XFD$41,"",IF(P181="TP","Teórico-Práctica",IF(P181="T","Teórico",IF(P181="P","Práctica",""))))</f>
        <v/>
      </c>
      <c r="AH181" s="234" t="str">
        <f t="shared" si="7"/>
        <v xml:space="preserve"> </v>
      </c>
    </row>
    <row r="182" spans="10:34" x14ac:dyDescent="0.3">
      <c r="J182" s="412"/>
      <c r="K182" s="232"/>
      <c r="L182" s="232"/>
      <c r="M182" s="232"/>
      <c r="N182" s="412"/>
      <c r="P182" s="231"/>
      <c r="Q182" s="412"/>
      <c r="R182" s="425"/>
      <c r="S182" s="442"/>
      <c r="T182" s="283" t="str" cm="1">
        <f t="array" ref="T182">IF($B$9="","",_xlfn.IFS($B$9="PRESENCIAL",_xlfn.XLOOKUP($S182,DATA!$B$4:$B$8,DATA!$D$4:$D$8,"",0,),$B$9="VIRTUAL",_xlfn.XLOOKUP($S182,DATA!$G$4:$G$8,DATA!$I$4:$I$8,"",0),$B$9="DISTANCIA",_xlfn.XLOOKUP($S182,DATA!$L$4:$L$8,DATA!$N$4:$N$8,"",0)))</f>
        <v/>
      </c>
      <c r="U182" s="283" t="str" cm="1">
        <f t="array" ref="U182">IF($B$9="","",_xlfn.IFS($B$9="PRESENCIAL",_xlfn.XLOOKUP($S182,DATA!$B$4:$B$8,DATA!$E$4:$E$8,"",0,),$B$9="VIRTUAL",_xlfn.XLOOKUP($S182,DATA!$G$4:$G$8,DATA!$J$4:$J$8,"",0),$B$9="DISTANCIA",_xlfn.XLOOKUP($S182,DATA!$L$4:$L$8,DATA!$O$4:$O$8,"",0)))</f>
        <v/>
      </c>
      <c r="V182" s="261" t="str">
        <f t="shared" si="6"/>
        <v/>
      </c>
      <c r="W182" s="282"/>
      <c r="X182" s="282"/>
      <c r="Y182" s="282"/>
      <c r="Z182" s="282"/>
      <c r="AA182" s="282"/>
      <c r="AB182" s="284"/>
      <c r="AC182" s="262" t="str">
        <f>IF(AE182="","",COUNTIF($AE$1:AE182,AE182))</f>
        <v/>
      </c>
      <c r="AD182" s="261" t="str">
        <f>IF(J182='PLAN DE ESTUDIO'!$XFD$41,"",IF(AE182="","",AC182&amp;K182&amp;L182&amp;M182))</f>
        <v/>
      </c>
      <c r="AE182" s="261" t="str">
        <f>IF(J182='PLAN DE ESTUDIO'!$XFD$41,"",IF(AF182=1,K182&amp;L182&amp;M182,""))</f>
        <v/>
      </c>
      <c r="AF182" s="261">
        <f>COUNTIF($O$1:O182,$O182)</f>
        <v>0</v>
      </c>
      <c r="AG182" s="285" t="str">
        <f>IF(J182='PLAN DE ESTUDIO'!$XFD$41,"",IF(P182="TP","Teórico-Práctica",IF(P182="T","Teórico",IF(P182="P","Práctica",""))))</f>
        <v/>
      </c>
      <c r="AH182" s="234" t="str">
        <f t="shared" si="7"/>
        <v xml:space="preserve"> </v>
      </c>
    </row>
    <row r="183" spans="10:34" x14ac:dyDescent="0.3">
      <c r="J183" s="412"/>
      <c r="K183" s="232"/>
      <c r="L183" s="232"/>
      <c r="M183" s="232"/>
      <c r="N183" s="412"/>
      <c r="P183" s="231"/>
      <c r="Q183" s="412"/>
      <c r="R183" s="425"/>
      <c r="S183" s="442"/>
      <c r="T183" s="283" t="str" cm="1">
        <f t="array" ref="T183">IF($B$9="","",_xlfn.IFS($B$9="PRESENCIAL",_xlfn.XLOOKUP($S183,DATA!$B$4:$B$8,DATA!$D$4:$D$8,"",0,),$B$9="VIRTUAL",_xlfn.XLOOKUP($S183,DATA!$G$4:$G$8,DATA!$I$4:$I$8,"",0),$B$9="DISTANCIA",_xlfn.XLOOKUP($S183,DATA!$L$4:$L$8,DATA!$N$4:$N$8,"",0)))</f>
        <v/>
      </c>
      <c r="U183" s="283" t="str" cm="1">
        <f t="array" ref="U183">IF($B$9="","",_xlfn.IFS($B$9="PRESENCIAL",_xlfn.XLOOKUP($S183,DATA!$B$4:$B$8,DATA!$E$4:$E$8,"",0,),$B$9="VIRTUAL",_xlfn.XLOOKUP($S183,DATA!$G$4:$G$8,DATA!$J$4:$J$8,"",0),$B$9="DISTANCIA",_xlfn.XLOOKUP($S183,DATA!$L$4:$L$8,DATA!$O$4:$O$8,"",0)))</f>
        <v/>
      </c>
      <c r="V183" s="261" t="str">
        <f t="shared" si="6"/>
        <v/>
      </c>
      <c r="W183" s="282"/>
      <c r="X183" s="282"/>
      <c r="Y183" s="282"/>
      <c r="Z183" s="282"/>
      <c r="AA183" s="282"/>
      <c r="AB183" s="284"/>
      <c r="AC183" s="262" t="str">
        <f>IF(AE183="","",COUNTIF($AE$1:AE183,AE183))</f>
        <v/>
      </c>
      <c r="AD183" s="261" t="str">
        <f>IF(J183='PLAN DE ESTUDIO'!$XFD$41,"",IF(AE183="","",AC183&amp;K183&amp;L183&amp;M183))</f>
        <v/>
      </c>
      <c r="AE183" s="261" t="str">
        <f>IF(J183='PLAN DE ESTUDIO'!$XFD$41,"",IF(AF183=1,K183&amp;L183&amp;M183,""))</f>
        <v/>
      </c>
      <c r="AF183" s="261">
        <f>COUNTIF($O$1:O183,$O183)</f>
        <v>0</v>
      </c>
      <c r="AG183" s="285" t="str">
        <f>IF(J183='PLAN DE ESTUDIO'!$XFD$41,"",IF(P183="TP","Teórico-Práctica",IF(P183="T","Teórico",IF(P183="P","Práctica",""))))</f>
        <v/>
      </c>
      <c r="AH183" s="234" t="str">
        <f t="shared" si="7"/>
        <v xml:space="preserve"> </v>
      </c>
    </row>
    <row r="184" spans="10:34" x14ac:dyDescent="0.3">
      <c r="J184" s="412"/>
      <c r="K184" s="232"/>
      <c r="L184" s="232"/>
      <c r="M184" s="232"/>
      <c r="N184" s="412"/>
      <c r="P184" s="231"/>
      <c r="Q184" s="412"/>
      <c r="R184" s="425"/>
      <c r="S184" s="442"/>
      <c r="T184" s="283" t="str" cm="1">
        <f t="array" ref="T184">IF($B$9="","",_xlfn.IFS($B$9="PRESENCIAL",_xlfn.XLOOKUP($S184,DATA!$B$4:$B$8,DATA!$D$4:$D$8,"",0,),$B$9="VIRTUAL",_xlfn.XLOOKUP($S184,DATA!$G$4:$G$8,DATA!$I$4:$I$8,"",0),$B$9="DISTANCIA",_xlfn.XLOOKUP($S184,DATA!$L$4:$L$8,DATA!$N$4:$N$8,"",0)))</f>
        <v/>
      </c>
      <c r="U184" s="283" t="str" cm="1">
        <f t="array" ref="U184">IF($B$9="","",_xlfn.IFS($B$9="PRESENCIAL",_xlfn.XLOOKUP($S184,DATA!$B$4:$B$8,DATA!$E$4:$E$8,"",0,),$B$9="VIRTUAL",_xlfn.XLOOKUP($S184,DATA!$G$4:$G$8,DATA!$J$4:$J$8,"",0),$B$9="DISTANCIA",_xlfn.XLOOKUP($S184,DATA!$L$4:$L$8,DATA!$O$4:$O$8,"",0)))</f>
        <v/>
      </c>
      <c r="V184" s="261" t="str">
        <f t="shared" si="6"/>
        <v/>
      </c>
      <c r="W184" s="282"/>
      <c r="X184" s="282"/>
      <c r="Y184" s="282"/>
      <c r="Z184" s="282"/>
      <c r="AA184" s="282"/>
      <c r="AB184" s="284"/>
      <c r="AC184" s="262" t="str">
        <f>IF(AE184="","",COUNTIF($AE$1:AE184,AE184))</f>
        <v/>
      </c>
      <c r="AD184" s="261" t="str">
        <f>IF(J184='PLAN DE ESTUDIO'!$XFD$41,"",IF(AE184="","",AC184&amp;K184&amp;L184&amp;M184))</f>
        <v/>
      </c>
      <c r="AE184" s="261" t="str">
        <f>IF(J184='PLAN DE ESTUDIO'!$XFD$41,"",IF(AF184=1,K184&amp;L184&amp;M184,""))</f>
        <v/>
      </c>
      <c r="AF184" s="261">
        <f>COUNTIF($O$1:O184,$O184)</f>
        <v>0</v>
      </c>
      <c r="AG184" s="285" t="str">
        <f>IF(J184='PLAN DE ESTUDIO'!$XFD$41,"",IF(P184="TP","Teórico-Práctica",IF(P184="T","Teórico",IF(P184="P","Práctica",""))))</f>
        <v/>
      </c>
      <c r="AH184" s="234" t="str">
        <f t="shared" si="7"/>
        <v xml:space="preserve"> </v>
      </c>
    </row>
    <row r="185" spans="10:34" x14ac:dyDescent="0.3">
      <c r="J185" s="412"/>
      <c r="K185" s="232"/>
      <c r="L185" s="232"/>
      <c r="M185" s="232"/>
      <c r="N185" s="412"/>
      <c r="P185" s="231"/>
      <c r="Q185" s="412"/>
      <c r="R185" s="425"/>
      <c r="S185" s="442"/>
      <c r="T185" s="283" t="str" cm="1">
        <f t="array" ref="T185">IF($B$9="","",_xlfn.IFS($B$9="PRESENCIAL",_xlfn.XLOOKUP($S185,DATA!$B$4:$B$8,DATA!$D$4:$D$8,"",0,),$B$9="VIRTUAL",_xlfn.XLOOKUP($S185,DATA!$G$4:$G$8,DATA!$I$4:$I$8,"",0),$B$9="DISTANCIA",_xlfn.XLOOKUP($S185,DATA!$L$4:$L$8,DATA!$N$4:$N$8,"",0)))</f>
        <v/>
      </c>
      <c r="U185" s="283" t="str" cm="1">
        <f t="array" ref="U185">IF($B$9="","",_xlfn.IFS($B$9="PRESENCIAL",_xlfn.XLOOKUP($S185,DATA!$B$4:$B$8,DATA!$E$4:$E$8,"",0,),$B$9="VIRTUAL",_xlfn.XLOOKUP($S185,DATA!$G$4:$G$8,DATA!$J$4:$J$8,"",0),$B$9="DISTANCIA",_xlfn.XLOOKUP($S185,DATA!$L$4:$L$8,DATA!$O$4:$O$8,"",0)))</f>
        <v/>
      </c>
      <c r="V185" s="261" t="str">
        <f t="shared" si="6"/>
        <v/>
      </c>
      <c r="W185" s="282"/>
      <c r="X185" s="282"/>
      <c r="Y185" s="282"/>
      <c r="Z185" s="282"/>
      <c r="AA185" s="282"/>
      <c r="AB185" s="284"/>
      <c r="AC185" s="262" t="str">
        <f>IF(AE185="","",COUNTIF($AE$1:AE185,AE185))</f>
        <v/>
      </c>
      <c r="AD185" s="261" t="str">
        <f>IF(J185='PLAN DE ESTUDIO'!$XFD$41,"",IF(AE185="","",AC185&amp;K185&amp;L185&amp;M185))</f>
        <v/>
      </c>
      <c r="AE185" s="261" t="str">
        <f>IF(J185='PLAN DE ESTUDIO'!$XFD$41,"",IF(AF185=1,K185&amp;L185&amp;M185,""))</f>
        <v/>
      </c>
      <c r="AF185" s="261">
        <f>COUNTIF($O$1:O185,$O185)</f>
        <v>0</v>
      </c>
      <c r="AG185" s="285" t="str">
        <f>IF(J185='PLAN DE ESTUDIO'!$XFD$41,"",IF(P185="TP","Teórico-Práctica",IF(P185="T","Teórico",IF(P185="P","Práctica",""))))</f>
        <v/>
      </c>
      <c r="AH185" s="234" t="str">
        <f t="shared" si="7"/>
        <v xml:space="preserve"> </v>
      </c>
    </row>
    <row r="186" spans="10:34" x14ac:dyDescent="0.3">
      <c r="J186" s="412"/>
      <c r="K186" s="232"/>
      <c r="L186" s="232"/>
      <c r="M186" s="232"/>
      <c r="N186" s="412"/>
      <c r="P186" s="231"/>
      <c r="Q186" s="412"/>
      <c r="R186" s="425"/>
      <c r="S186" s="442"/>
      <c r="T186" s="283" t="str" cm="1">
        <f t="array" ref="T186">IF($B$9="","",_xlfn.IFS($B$9="PRESENCIAL",_xlfn.XLOOKUP($S186,DATA!$B$4:$B$8,DATA!$D$4:$D$8,"",0,),$B$9="VIRTUAL",_xlfn.XLOOKUP($S186,DATA!$G$4:$G$8,DATA!$I$4:$I$8,"",0),$B$9="DISTANCIA",_xlfn.XLOOKUP($S186,DATA!$L$4:$L$8,DATA!$N$4:$N$8,"",0)))</f>
        <v/>
      </c>
      <c r="U186" s="283" t="str" cm="1">
        <f t="array" ref="U186">IF($B$9="","",_xlfn.IFS($B$9="PRESENCIAL",_xlfn.XLOOKUP($S186,DATA!$B$4:$B$8,DATA!$E$4:$E$8,"",0,),$B$9="VIRTUAL",_xlfn.XLOOKUP($S186,DATA!$G$4:$G$8,DATA!$J$4:$J$8,"",0),$B$9="DISTANCIA",_xlfn.XLOOKUP($S186,DATA!$L$4:$L$8,DATA!$O$4:$O$8,"",0)))</f>
        <v/>
      </c>
      <c r="V186" s="261" t="str">
        <f t="shared" si="6"/>
        <v/>
      </c>
      <c r="W186" s="282"/>
      <c r="X186" s="282"/>
      <c r="Y186" s="282"/>
      <c r="Z186" s="282"/>
      <c r="AA186" s="282"/>
      <c r="AB186" s="284"/>
      <c r="AC186" s="262" t="str">
        <f>IF(AE186="","",COUNTIF($AE$1:AE186,AE186))</f>
        <v/>
      </c>
      <c r="AD186" s="261" t="str">
        <f>IF(J186='PLAN DE ESTUDIO'!$XFD$41,"",IF(AE186="","",AC186&amp;K186&amp;L186&amp;M186))</f>
        <v/>
      </c>
      <c r="AE186" s="261" t="str">
        <f>IF(J186='PLAN DE ESTUDIO'!$XFD$41,"",IF(AF186=1,K186&amp;L186&amp;M186,""))</f>
        <v/>
      </c>
      <c r="AF186" s="261">
        <f>COUNTIF($O$1:O186,$O186)</f>
        <v>0</v>
      </c>
      <c r="AG186" s="285" t="str">
        <f>IF(J186='PLAN DE ESTUDIO'!$XFD$41,"",IF(P186="TP","Teórico-Práctica",IF(P186="T","Teórico",IF(P186="P","Práctica",""))))</f>
        <v/>
      </c>
      <c r="AH186" s="234" t="str">
        <f t="shared" si="7"/>
        <v xml:space="preserve"> </v>
      </c>
    </row>
    <row r="187" spans="10:34" x14ac:dyDescent="0.3">
      <c r="J187" s="412"/>
      <c r="K187" s="232"/>
      <c r="L187" s="232"/>
      <c r="M187" s="232"/>
      <c r="N187" s="412"/>
      <c r="P187" s="231"/>
      <c r="Q187" s="412"/>
      <c r="R187" s="425"/>
      <c r="S187" s="442"/>
      <c r="T187" s="283" t="str" cm="1">
        <f t="array" ref="T187">IF($B$9="","",_xlfn.IFS($B$9="PRESENCIAL",_xlfn.XLOOKUP($S187,DATA!$B$4:$B$8,DATA!$D$4:$D$8,"",0,),$B$9="VIRTUAL",_xlfn.XLOOKUP($S187,DATA!$G$4:$G$8,DATA!$I$4:$I$8,"",0),$B$9="DISTANCIA",_xlfn.XLOOKUP($S187,DATA!$L$4:$L$8,DATA!$N$4:$N$8,"",0)))</f>
        <v/>
      </c>
      <c r="U187" s="283" t="str" cm="1">
        <f t="array" ref="U187">IF($B$9="","",_xlfn.IFS($B$9="PRESENCIAL",_xlfn.XLOOKUP($S187,DATA!$B$4:$B$8,DATA!$E$4:$E$8,"",0,),$B$9="VIRTUAL",_xlfn.XLOOKUP($S187,DATA!$G$4:$G$8,DATA!$J$4:$J$8,"",0),$B$9="DISTANCIA",_xlfn.XLOOKUP($S187,DATA!$L$4:$L$8,DATA!$O$4:$O$8,"",0)))</f>
        <v/>
      </c>
      <c r="V187" s="261" t="str">
        <f t="shared" si="6"/>
        <v/>
      </c>
      <c r="W187" s="282"/>
      <c r="X187" s="282"/>
      <c r="Y187" s="282"/>
      <c r="Z187" s="282"/>
      <c r="AA187" s="282"/>
      <c r="AB187" s="284"/>
      <c r="AC187" s="262" t="str">
        <f>IF(AE187="","",COUNTIF($AE$1:AE187,AE187))</f>
        <v/>
      </c>
      <c r="AD187" s="261" t="str">
        <f>IF(J187='PLAN DE ESTUDIO'!$XFD$41,"",IF(AE187="","",AC187&amp;K187&amp;L187&amp;M187))</f>
        <v/>
      </c>
      <c r="AE187" s="261" t="str">
        <f>IF(J187='PLAN DE ESTUDIO'!$XFD$41,"",IF(AF187=1,K187&amp;L187&amp;M187,""))</f>
        <v/>
      </c>
      <c r="AF187" s="261">
        <f>COUNTIF($O$1:O187,$O187)</f>
        <v>0</v>
      </c>
      <c r="AG187" s="285" t="str">
        <f>IF(J187='PLAN DE ESTUDIO'!$XFD$41,"",IF(P187="TP","Teórico-Práctica",IF(P187="T","Teórico",IF(P187="P","Práctica",""))))</f>
        <v/>
      </c>
      <c r="AH187" s="234" t="str">
        <f t="shared" si="7"/>
        <v xml:space="preserve"> </v>
      </c>
    </row>
    <row r="188" spans="10:34" x14ac:dyDescent="0.3">
      <c r="J188" s="412"/>
      <c r="K188" s="232"/>
      <c r="L188" s="232"/>
      <c r="M188" s="232"/>
      <c r="N188" s="412"/>
      <c r="P188" s="231"/>
      <c r="Q188" s="412"/>
      <c r="R188" s="425"/>
      <c r="S188" s="442"/>
      <c r="T188" s="283" t="str" cm="1">
        <f t="array" ref="T188">IF($B$9="","",_xlfn.IFS($B$9="PRESENCIAL",_xlfn.XLOOKUP($S188,DATA!$B$4:$B$8,DATA!$D$4:$D$8,"",0,),$B$9="VIRTUAL",_xlfn.XLOOKUP($S188,DATA!$G$4:$G$8,DATA!$I$4:$I$8,"",0),$B$9="DISTANCIA",_xlfn.XLOOKUP($S188,DATA!$L$4:$L$8,DATA!$N$4:$N$8,"",0)))</f>
        <v/>
      </c>
      <c r="U188" s="283" t="str" cm="1">
        <f t="array" ref="U188">IF($B$9="","",_xlfn.IFS($B$9="PRESENCIAL",_xlfn.XLOOKUP($S188,DATA!$B$4:$B$8,DATA!$E$4:$E$8,"",0,),$B$9="VIRTUAL",_xlfn.XLOOKUP($S188,DATA!$G$4:$G$8,DATA!$J$4:$J$8,"",0),$B$9="DISTANCIA",_xlfn.XLOOKUP($S188,DATA!$L$4:$L$8,DATA!$O$4:$O$8,"",0)))</f>
        <v/>
      </c>
      <c r="V188" s="261" t="str">
        <f t="shared" si="6"/>
        <v/>
      </c>
      <c r="W188" s="282"/>
      <c r="X188" s="282"/>
      <c r="Y188" s="282"/>
      <c r="Z188" s="282"/>
      <c r="AA188" s="282"/>
      <c r="AB188" s="284"/>
      <c r="AC188" s="262" t="str">
        <f>IF(AE188="","",COUNTIF($AE$1:AE188,AE188))</f>
        <v/>
      </c>
      <c r="AD188" s="261" t="str">
        <f>IF(J188='PLAN DE ESTUDIO'!$XFD$41,"",IF(AE188="","",AC188&amp;K188&amp;L188&amp;M188))</f>
        <v/>
      </c>
      <c r="AE188" s="261" t="str">
        <f>IF(J188='PLAN DE ESTUDIO'!$XFD$41,"",IF(AF188=1,K188&amp;L188&amp;M188,""))</f>
        <v/>
      </c>
      <c r="AF188" s="261">
        <f>COUNTIF($O$1:O188,$O188)</f>
        <v>0</v>
      </c>
      <c r="AG188" s="285" t="str">
        <f>IF(J188='PLAN DE ESTUDIO'!$XFD$41,"",IF(P188="TP","Teórico-Práctica",IF(P188="T","Teórico",IF(P188="P","Práctica",""))))</f>
        <v/>
      </c>
      <c r="AH188" s="234" t="str">
        <f t="shared" si="7"/>
        <v xml:space="preserve"> </v>
      </c>
    </row>
    <row r="189" spans="10:34" x14ac:dyDescent="0.3">
      <c r="J189" s="412"/>
      <c r="K189" s="232"/>
      <c r="L189" s="232"/>
      <c r="M189" s="232"/>
      <c r="N189" s="412"/>
      <c r="P189" s="231"/>
      <c r="Q189" s="412"/>
      <c r="R189" s="425"/>
      <c r="S189" s="442"/>
      <c r="T189" s="283" t="str" cm="1">
        <f t="array" ref="T189">IF($B$9="","",_xlfn.IFS($B$9="PRESENCIAL",_xlfn.XLOOKUP($S189,DATA!$B$4:$B$8,DATA!$D$4:$D$8,"",0,),$B$9="VIRTUAL",_xlfn.XLOOKUP($S189,DATA!$G$4:$G$8,DATA!$I$4:$I$8,"",0),$B$9="DISTANCIA",_xlfn.XLOOKUP($S189,DATA!$L$4:$L$8,DATA!$N$4:$N$8,"",0)))</f>
        <v/>
      </c>
      <c r="U189" s="283" t="str" cm="1">
        <f t="array" ref="U189">IF($B$9="","",_xlfn.IFS($B$9="PRESENCIAL",_xlfn.XLOOKUP($S189,DATA!$B$4:$B$8,DATA!$E$4:$E$8,"",0,),$B$9="VIRTUAL",_xlfn.XLOOKUP($S189,DATA!$G$4:$G$8,DATA!$J$4:$J$8,"",0),$B$9="DISTANCIA",_xlfn.XLOOKUP($S189,DATA!$L$4:$L$8,DATA!$O$4:$O$8,"",0)))</f>
        <v/>
      </c>
      <c r="V189" s="261" t="str">
        <f t="shared" si="6"/>
        <v/>
      </c>
      <c r="W189" s="282"/>
      <c r="X189" s="282"/>
      <c r="Y189" s="282"/>
      <c r="Z189" s="282"/>
      <c r="AA189" s="282"/>
      <c r="AB189" s="284"/>
      <c r="AC189" s="262" t="str">
        <f>IF(AE189="","",COUNTIF($AE$1:AE189,AE189))</f>
        <v/>
      </c>
      <c r="AD189" s="261" t="str">
        <f>IF(J189='PLAN DE ESTUDIO'!$XFD$41,"",IF(AE189="","",AC189&amp;K189&amp;L189&amp;M189))</f>
        <v/>
      </c>
      <c r="AE189" s="261" t="str">
        <f>IF(J189='PLAN DE ESTUDIO'!$XFD$41,"",IF(AF189=1,K189&amp;L189&amp;M189,""))</f>
        <v/>
      </c>
      <c r="AF189" s="261">
        <f>COUNTIF($O$1:O189,$O189)</f>
        <v>0</v>
      </c>
      <c r="AG189" s="285" t="str">
        <f>IF(J189='PLAN DE ESTUDIO'!$XFD$41,"",IF(P189="TP","Teórico-Práctica",IF(P189="T","Teórico",IF(P189="P","Práctica",""))))</f>
        <v/>
      </c>
      <c r="AH189" s="234" t="str">
        <f t="shared" si="7"/>
        <v xml:space="preserve"> </v>
      </c>
    </row>
    <row r="190" spans="10:34" x14ac:dyDescent="0.3">
      <c r="J190" s="412"/>
      <c r="K190" s="232"/>
      <c r="L190" s="232"/>
      <c r="M190" s="232"/>
      <c r="N190" s="412"/>
      <c r="P190" s="231"/>
      <c r="Q190" s="412"/>
      <c r="R190" s="425"/>
      <c r="S190" s="442"/>
      <c r="T190" s="283" t="str" cm="1">
        <f t="array" ref="T190">IF($B$9="","",_xlfn.IFS($B$9="PRESENCIAL",_xlfn.XLOOKUP($S190,DATA!$B$4:$B$8,DATA!$D$4:$D$8,"",0,),$B$9="VIRTUAL",_xlfn.XLOOKUP($S190,DATA!$G$4:$G$8,DATA!$I$4:$I$8,"",0),$B$9="DISTANCIA",_xlfn.XLOOKUP($S190,DATA!$L$4:$L$8,DATA!$N$4:$N$8,"",0)))</f>
        <v/>
      </c>
      <c r="U190" s="283" t="str" cm="1">
        <f t="array" ref="U190">IF($B$9="","",_xlfn.IFS($B$9="PRESENCIAL",_xlfn.XLOOKUP($S190,DATA!$B$4:$B$8,DATA!$E$4:$E$8,"",0,),$B$9="VIRTUAL",_xlfn.XLOOKUP($S190,DATA!$G$4:$G$8,DATA!$J$4:$J$8,"",0),$B$9="DISTANCIA",_xlfn.XLOOKUP($S190,DATA!$L$4:$L$8,DATA!$O$4:$O$8,"",0)))</f>
        <v/>
      </c>
      <c r="V190" s="261" t="str">
        <f t="shared" si="6"/>
        <v/>
      </c>
      <c r="W190" s="282"/>
      <c r="X190" s="282"/>
      <c r="Y190" s="282"/>
      <c r="Z190" s="282"/>
      <c r="AA190" s="282"/>
      <c r="AB190" s="284"/>
      <c r="AC190" s="262" t="str">
        <f>IF(AE190="","",COUNTIF($AE$1:AE190,AE190))</f>
        <v/>
      </c>
      <c r="AD190" s="261" t="str">
        <f>IF(J190='PLAN DE ESTUDIO'!$XFD$41,"",IF(AE190="","",AC190&amp;K190&amp;L190&amp;M190))</f>
        <v/>
      </c>
      <c r="AE190" s="261" t="str">
        <f>IF(J190='PLAN DE ESTUDIO'!$XFD$41,"",IF(AF190=1,K190&amp;L190&amp;M190,""))</f>
        <v/>
      </c>
      <c r="AF190" s="261">
        <f>COUNTIF($O$1:O190,$O190)</f>
        <v>0</v>
      </c>
      <c r="AG190" s="285" t="str">
        <f>IF(J190='PLAN DE ESTUDIO'!$XFD$41,"",IF(P190="TP","Teórico-Práctica",IF(P190="T","Teórico",IF(P190="P","Práctica",""))))</f>
        <v/>
      </c>
      <c r="AH190" s="234" t="str">
        <f t="shared" si="7"/>
        <v xml:space="preserve"> </v>
      </c>
    </row>
    <row r="191" spans="10:34" x14ac:dyDescent="0.3">
      <c r="J191" s="412"/>
      <c r="K191" s="232"/>
      <c r="L191" s="232"/>
      <c r="M191" s="232"/>
      <c r="N191" s="412"/>
      <c r="P191" s="231"/>
      <c r="Q191" s="412"/>
      <c r="R191" s="425"/>
      <c r="S191" s="442"/>
      <c r="T191" s="283" t="str" cm="1">
        <f t="array" ref="T191">IF($B$9="","",_xlfn.IFS($B$9="PRESENCIAL",_xlfn.XLOOKUP($S191,DATA!$B$4:$B$8,DATA!$D$4:$D$8,"",0,),$B$9="VIRTUAL",_xlfn.XLOOKUP($S191,DATA!$G$4:$G$8,DATA!$I$4:$I$8,"",0),$B$9="DISTANCIA",_xlfn.XLOOKUP($S191,DATA!$L$4:$L$8,DATA!$N$4:$N$8,"",0)))</f>
        <v/>
      </c>
      <c r="U191" s="283" t="str" cm="1">
        <f t="array" ref="U191">IF($B$9="","",_xlfn.IFS($B$9="PRESENCIAL",_xlfn.XLOOKUP($S191,DATA!$B$4:$B$8,DATA!$E$4:$E$8,"",0,),$B$9="VIRTUAL",_xlfn.XLOOKUP($S191,DATA!$G$4:$G$8,DATA!$J$4:$J$8,"",0),$B$9="DISTANCIA",_xlfn.XLOOKUP($S191,DATA!$L$4:$L$8,DATA!$O$4:$O$8,"",0)))</f>
        <v/>
      </c>
      <c r="V191" s="261" t="str">
        <f t="shared" si="6"/>
        <v/>
      </c>
      <c r="W191" s="282"/>
      <c r="X191" s="282"/>
      <c r="Y191" s="282"/>
      <c r="Z191" s="282"/>
      <c r="AA191" s="282"/>
      <c r="AB191" s="284"/>
      <c r="AC191" s="262" t="str">
        <f>IF(AE191="","",COUNTIF($AE$1:AE191,AE191))</f>
        <v/>
      </c>
      <c r="AD191" s="261" t="str">
        <f>IF(J191='PLAN DE ESTUDIO'!$XFD$41,"",IF(AE191="","",AC191&amp;K191&amp;L191&amp;M191))</f>
        <v/>
      </c>
      <c r="AE191" s="261" t="str">
        <f>IF(J191='PLAN DE ESTUDIO'!$XFD$41,"",IF(AF191=1,K191&amp;L191&amp;M191,""))</f>
        <v/>
      </c>
      <c r="AF191" s="261">
        <f>COUNTIF($O$1:O191,$O191)</f>
        <v>0</v>
      </c>
      <c r="AG191" s="285" t="str">
        <f>IF(J191='PLAN DE ESTUDIO'!$XFD$41,"",IF(P191="TP","Teórico-Práctica",IF(P191="T","Teórico",IF(P191="P","Práctica",""))))</f>
        <v/>
      </c>
      <c r="AH191" s="234" t="str">
        <f t="shared" si="7"/>
        <v xml:space="preserve"> </v>
      </c>
    </row>
    <row r="192" spans="10:34" x14ac:dyDescent="0.3">
      <c r="J192" s="412"/>
      <c r="K192" s="232"/>
      <c r="L192" s="232"/>
      <c r="M192" s="232"/>
      <c r="N192" s="412"/>
      <c r="P192" s="231"/>
      <c r="Q192" s="412"/>
      <c r="R192" s="425"/>
      <c r="S192" s="442"/>
      <c r="T192" s="283" t="str" cm="1">
        <f t="array" ref="T192">IF($B$9="","",_xlfn.IFS($B$9="PRESENCIAL",_xlfn.XLOOKUP($S192,DATA!$B$4:$B$8,DATA!$D$4:$D$8,"",0,),$B$9="VIRTUAL",_xlfn.XLOOKUP($S192,DATA!$G$4:$G$8,DATA!$I$4:$I$8,"",0),$B$9="DISTANCIA",_xlfn.XLOOKUP($S192,DATA!$L$4:$L$8,DATA!$N$4:$N$8,"",0)))</f>
        <v/>
      </c>
      <c r="U192" s="283" t="str" cm="1">
        <f t="array" ref="U192">IF($B$9="","",_xlfn.IFS($B$9="PRESENCIAL",_xlfn.XLOOKUP($S192,DATA!$B$4:$B$8,DATA!$E$4:$E$8,"",0,),$B$9="VIRTUAL",_xlfn.XLOOKUP($S192,DATA!$G$4:$G$8,DATA!$J$4:$J$8,"",0),$B$9="DISTANCIA",_xlfn.XLOOKUP($S192,DATA!$L$4:$L$8,DATA!$O$4:$O$8,"",0)))</f>
        <v/>
      </c>
      <c r="V192" s="261" t="str">
        <f t="shared" si="6"/>
        <v/>
      </c>
      <c r="W192" s="282"/>
      <c r="X192" s="282"/>
      <c r="Y192" s="282"/>
      <c r="Z192" s="282"/>
      <c r="AA192" s="282"/>
      <c r="AB192" s="284"/>
      <c r="AC192" s="262" t="str">
        <f>IF(AE192="","",COUNTIF($AE$1:AE192,AE192))</f>
        <v/>
      </c>
      <c r="AD192" s="261" t="str">
        <f>IF(J192='PLAN DE ESTUDIO'!$XFD$41,"",IF(AE192="","",AC192&amp;K192&amp;L192&amp;M192))</f>
        <v/>
      </c>
      <c r="AE192" s="261" t="str">
        <f>IF(J192='PLAN DE ESTUDIO'!$XFD$41,"",IF(AF192=1,K192&amp;L192&amp;M192,""))</f>
        <v/>
      </c>
      <c r="AF192" s="261">
        <f>COUNTIF($O$1:O192,$O192)</f>
        <v>0</v>
      </c>
      <c r="AG192" s="285" t="str">
        <f>IF(J192='PLAN DE ESTUDIO'!$XFD$41,"",IF(P192="TP","Teórico-Práctica",IF(P192="T","Teórico",IF(P192="P","Práctica",""))))</f>
        <v/>
      </c>
      <c r="AH192" s="234" t="str">
        <f t="shared" si="7"/>
        <v xml:space="preserve"> </v>
      </c>
    </row>
    <row r="193" spans="10:34" x14ac:dyDescent="0.3">
      <c r="J193" s="412"/>
      <c r="K193" s="232"/>
      <c r="L193" s="232"/>
      <c r="M193" s="232"/>
      <c r="N193" s="412"/>
      <c r="P193" s="231"/>
      <c r="Q193" s="412"/>
      <c r="R193" s="425"/>
      <c r="S193" s="442"/>
      <c r="T193" s="283" t="str" cm="1">
        <f t="array" ref="T193">IF($B$9="","",_xlfn.IFS($B$9="PRESENCIAL",_xlfn.XLOOKUP($S193,DATA!$B$4:$B$8,DATA!$D$4:$D$8,"",0,),$B$9="VIRTUAL",_xlfn.XLOOKUP($S193,DATA!$G$4:$G$8,DATA!$I$4:$I$8,"",0),$B$9="DISTANCIA",_xlfn.XLOOKUP($S193,DATA!$L$4:$L$8,DATA!$N$4:$N$8,"",0)))</f>
        <v/>
      </c>
      <c r="U193" s="283" t="str" cm="1">
        <f t="array" ref="U193">IF($B$9="","",_xlfn.IFS($B$9="PRESENCIAL",_xlfn.XLOOKUP($S193,DATA!$B$4:$B$8,DATA!$E$4:$E$8,"",0,),$B$9="VIRTUAL",_xlfn.XLOOKUP($S193,DATA!$G$4:$G$8,DATA!$J$4:$J$8,"",0),$B$9="DISTANCIA",_xlfn.XLOOKUP($S193,DATA!$L$4:$L$8,DATA!$O$4:$O$8,"",0)))</f>
        <v/>
      </c>
      <c r="V193" s="261" t="str">
        <f t="shared" si="6"/>
        <v/>
      </c>
      <c r="W193" s="282"/>
      <c r="X193" s="282"/>
      <c r="Y193" s="282"/>
      <c r="Z193" s="282"/>
      <c r="AA193" s="282"/>
      <c r="AB193" s="284"/>
      <c r="AC193" s="262" t="str">
        <f>IF(AE193="","",COUNTIF($AE$1:AE193,AE193))</f>
        <v/>
      </c>
      <c r="AD193" s="261" t="str">
        <f>IF(J193='PLAN DE ESTUDIO'!$XFD$41,"",IF(AE193="","",AC193&amp;K193&amp;L193&amp;M193))</f>
        <v/>
      </c>
      <c r="AE193" s="261" t="str">
        <f>IF(J193='PLAN DE ESTUDIO'!$XFD$41,"",IF(AF193=1,K193&amp;L193&amp;M193,""))</f>
        <v/>
      </c>
      <c r="AF193" s="261">
        <f>COUNTIF($O$1:O193,$O193)</f>
        <v>0</v>
      </c>
      <c r="AG193" s="285" t="str">
        <f>IF(J193='PLAN DE ESTUDIO'!$XFD$41,"",IF(P193="TP","Teórico-Práctica",IF(P193="T","Teórico",IF(P193="P","Práctica",""))))</f>
        <v/>
      </c>
      <c r="AH193" s="234" t="str">
        <f t="shared" si="7"/>
        <v xml:space="preserve"> </v>
      </c>
    </row>
    <row r="194" spans="10:34" x14ac:dyDescent="0.3">
      <c r="J194" s="412"/>
      <c r="K194" s="232"/>
      <c r="L194" s="232"/>
      <c r="M194" s="232"/>
      <c r="N194" s="412"/>
      <c r="P194" s="231"/>
      <c r="Q194" s="412"/>
      <c r="R194" s="425"/>
      <c r="S194" s="442"/>
      <c r="T194" s="283" t="str" cm="1">
        <f t="array" ref="T194">IF($B$9="","",_xlfn.IFS($B$9="PRESENCIAL",_xlfn.XLOOKUP($S194,DATA!$B$4:$B$8,DATA!$D$4:$D$8,"",0,),$B$9="VIRTUAL",_xlfn.XLOOKUP($S194,DATA!$G$4:$G$8,DATA!$I$4:$I$8,"",0),$B$9="DISTANCIA",_xlfn.XLOOKUP($S194,DATA!$L$4:$L$8,DATA!$N$4:$N$8,"",0)))</f>
        <v/>
      </c>
      <c r="U194" s="283" t="str" cm="1">
        <f t="array" ref="U194">IF($B$9="","",_xlfn.IFS($B$9="PRESENCIAL",_xlfn.XLOOKUP($S194,DATA!$B$4:$B$8,DATA!$E$4:$E$8,"",0,),$B$9="VIRTUAL",_xlfn.XLOOKUP($S194,DATA!$G$4:$G$8,DATA!$J$4:$J$8,"",0),$B$9="DISTANCIA",_xlfn.XLOOKUP($S194,DATA!$L$4:$L$8,DATA!$O$4:$O$8,"",0)))</f>
        <v/>
      </c>
      <c r="V194" s="261" t="str">
        <f t="shared" si="6"/>
        <v/>
      </c>
      <c r="W194" s="282"/>
      <c r="X194" s="282"/>
      <c r="Y194" s="282"/>
      <c r="Z194" s="282"/>
      <c r="AA194" s="282"/>
      <c r="AB194" s="284"/>
      <c r="AC194" s="262" t="str">
        <f>IF(AE194="","",COUNTIF($AE$1:AE194,AE194))</f>
        <v/>
      </c>
      <c r="AD194" s="261" t="str">
        <f>IF(J194='PLAN DE ESTUDIO'!$XFD$41,"",IF(AE194="","",AC194&amp;K194&amp;L194&amp;M194))</f>
        <v/>
      </c>
      <c r="AE194" s="261" t="str">
        <f>IF(J194='PLAN DE ESTUDIO'!$XFD$41,"",IF(AF194=1,K194&amp;L194&amp;M194,""))</f>
        <v/>
      </c>
      <c r="AF194" s="261">
        <f>COUNTIF($O$1:O194,$O194)</f>
        <v>0</v>
      </c>
      <c r="AG194" s="285" t="str">
        <f>IF(J194='PLAN DE ESTUDIO'!$XFD$41,"",IF(P194="TP","Teórico-Práctica",IF(P194="T","Teórico",IF(P194="P","Práctica",""))))</f>
        <v/>
      </c>
      <c r="AH194" s="234" t="str">
        <f t="shared" si="7"/>
        <v xml:space="preserve"> </v>
      </c>
    </row>
    <row r="195" spans="10:34" x14ac:dyDescent="0.3">
      <c r="J195" s="412"/>
      <c r="K195" s="232"/>
      <c r="L195" s="232"/>
      <c r="M195" s="232"/>
      <c r="N195" s="412"/>
      <c r="P195" s="231"/>
      <c r="Q195" s="412"/>
      <c r="R195" s="425"/>
      <c r="S195" s="442"/>
      <c r="T195" s="283" t="str" cm="1">
        <f t="array" ref="T195">IF($B$9="","",_xlfn.IFS($B$9="PRESENCIAL",_xlfn.XLOOKUP($S195,DATA!$B$4:$B$8,DATA!$D$4:$D$8,"",0,),$B$9="VIRTUAL",_xlfn.XLOOKUP($S195,DATA!$G$4:$G$8,DATA!$I$4:$I$8,"",0),$B$9="DISTANCIA",_xlfn.XLOOKUP($S195,DATA!$L$4:$L$8,DATA!$N$4:$N$8,"",0)))</f>
        <v/>
      </c>
      <c r="U195" s="283" t="str" cm="1">
        <f t="array" ref="U195">IF($B$9="","",_xlfn.IFS($B$9="PRESENCIAL",_xlfn.XLOOKUP($S195,DATA!$B$4:$B$8,DATA!$E$4:$E$8,"",0,),$B$9="VIRTUAL",_xlfn.XLOOKUP($S195,DATA!$G$4:$G$8,DATA!$J$4:$J$8,"",0),$B$9="DISTANCIA",_xlfn.XLOOKUP($S195,DATA!$L$4:$L$8,DATA!$O$4:$O$8,"",0)))</f>
        <v/>
      </c>
      <c r="V195" s="261" t="str">
        <f t="shared" si="6"/>
        <v/>
      </c>
      <c r="W195" s="282"/>
      <c r="X195" s="282"/>
      <c r="Y195" s="282"/>
      <c r="Z195" s="282"/>
      <c r="AA195" s="282"/>
      <c r="AB195" s="284"/>
      <c r="AC195" s="262" t="str">
        <f>IF(AE195="","",COUNTIF($AE$1:AE195,AE195))</f>
        <v/>
      </c>
      <c r="AD195" s="261" t="str">
        <f>IF(J195='PLAN DE ESTUDIO'!$XFD$41,"",IF(AE195="","",AC195&amp;K195&amp;L195&amp;M195))</f>
        <v/>
      </c>
      <c r="AE195" s="261" t="str">
        <f>IF(J195='PLAN DE ESTUDIO'!$XFD$41,"",IF(AF195=1,K195&amp;L195&amp;M195,""))</f>
        <v/>
      </c>
      <c r="AF195" s="261">
        <f>COUNTIF($O$1:O195,$O195)</f>
        <v>0</v>
      </c>
      <c r="AG195" s="285" t="str">
        <f>IF(J195='PLAN DE ESTUDIO'!$XFD$41,"",IF(P195="TP","Teórico-Práctica",IF(P195="T","Teórico",IF(P195="P","Práctica",""))))</f>
        <v/>
      </c>
      <c r="AH195" s="234" t="str">
        <f t="shared" si="7"/>
        <v xml:space="preserve"> </v>
      </c>
    </row>
    <row r="196" spans="10:34" x14ac:dyDescent="0.3">
      <c r="J196" s="412"/>
      <c r="K196" s="232"/>
      <c r="L196" s="232"/>
      <c r="M196" s="232"/>
      <c r="N196" s="412"/>
      <c r="P196" s="231"/>
      <c r="Q196" s="412"/>
      <c r="R196" s="425"/>
      <c r="S196" s="442"/>
      <c r="T196" s="283" t="str" cm="1">
        <f t="array" ref="T196">IF($B$9="","",_xlfn.IFS($B$9="PRESENCIAL",_xlfn.XLOOKUP($S196,DATA!$B$4:$B$8,DATA!$D$4:$D$8,"",0,),$B$9="VIRTUAL",_xlfn.XLOOKUP($S196,DATA!$G$4:$G$8,DATA!$I$4:$I$8,"",0),$B$9="DISTANCIA",_xlfn.XLOOKUP($S196,DATA!$L$4:$L$8,DATA!$N$4:$N$8,"",0)))</f>
        <v/>
      </c>
      <c r="U196" s="283" t="str" cm="1">
        <f t="array" ref="U196">IF($B$9="","",_xlfn.IFS($B$9="PRESENCIAL",_xlfn.XLOOKUP($S196,DATA!$B$4:$B$8,DATA!$E$4:$E$8,"",0,),$B$9="VIRTUAL",_xlfn.XLOOKUP($S196,DATA!$G$4:$G$8,DATA!$J$4:$J$8,"",0),$B$9="DISTANCIA",_xlfn.XLOOKUP($S196,DATA!$L$4:$L$8,DATA!$O$4:$O$8,"",0)))</f>
        <v/>
      </c>
      <c r="V196" s="261" t="str">
        <f t="shared" si="6"/>
        <v/>
      </c>
      <c r="W196" s="282"/>
      <c r="X196" s="282"/>
      <c r="Y196" s="282"/>
      <c r="Z196" s="282"/>
      <c r="AA196" s="282"/>
      <c r="AB196" s="284"/>
      <c r="AC196" s="262" t="str">
        <f>IF(AE196="","",COUNTIF($AE$1:AE196,AE196))</f>
        <v/>
      </c>
      <c r="AD196" s="261" t="str">
        <f>IF(J196='PLAN DE ESTUDIO'!$XFD$41,"",IF(AE196="","",AC196&amp;K196&amp;L196&amp;M196))</f>
        <v/>
      </c>
      <c r="AE196" s="261" t="str">
        <f>IF(J196='PLAN DE ESTUDIO'!$XFD$41,"",IF(AF196=1,K196&amp;L196&amp;M196,""))</f>
        <v/>
      </c>
      <c r="AF196" s="261">
        <f>COUNTIF($O$1:O196,$O196)</f>
        <v>0</v>
      </c>
      <c r="AG196" s="285" t="str">
        <f>IF(J196='PLAN DE ESTUDIO'!$XFD$41,"",IF(P196="TP","Teórico-Práctica",IF(P196="T","Teórico",IF(P196="P","Práctica",""))))</f>
        <v/>
      </c>
      <c r="AH196" s="234" t="str">
        <f t="shared" si="7"/>
        <v xml:space="preserve"> </v>
      </c>
    </row>
    <row r="197" spans="10:34" x14ac:dyDescent="0.3">
      <c r="J197" s="412"/>
      <c r="K197" s="232"/>
      <c r="L197" s="232"/>
      <c r="M197" s="232"/>
      <c r="N197" s="412"/>
      <c r="P197" s="231"/>
      <c r="Q197" s="412"/>
      <c r="R197" s="425"/>
      <c r="S197" s="442"/>
      <c r="T197" s="283" t="str" cm="1">
        <f t="array" ref="T197">IF($B$9="","",_xlfn.IFS($B$9="PRESENCIAL",_xlfn.XLOOKUP($S197,DATA!$B$4:$B$8,DATA!$D$4:$D$8,"",0,),$B$9="VIRTUAL",_xlfn.XLOOKUP($S197,DATA!$G$4:$G$8,DATA!$I$4:$I$8,"",0),$B$9="DISTANCIA",_xlfn.XLOOKUP($S197,DATA!$L$4:$L$8,DATA!$N$4:$N$8,"",0)))</f>
        <v/>
      </c>
      <c r="U197" s="283" t="str" cm="1">
        <f t="array" ref="U197">IF($B$9="","",_xlfn.IFS($B$9="PRESENCIAL",_xlfn.XLOOKUP($S197,DATA!$B$4:$B$8,DATA!$E$4:$E$8,"",0,),$B$9="VIRTUAL",_xlfn.XLOOKUP($S197,DATA!$G$4:$G$8,DATA!$J$4:$J$8,"",0),$B$9="DISTANCIA",_xlfn.XLOOKUP($S197,DATA!$L$4:$L$8,DATA!$O$4:$O$8,"",0)))</f>
        <v/>
      </c>
      <c r="V197" s="261" t="str">
        <f t="shared" si="6"/>
        <v/>
      </c>
      <c r="W197" s="282"/>
      <c r="X197" s="282"/>
      <c r="Y197" s="282"/>
      <c r="Z197" s="282"/>
      <c r="AA197" s="282"/>
      <c r="AB197" s="284"/>
      <c r="AC197" s="262" t="str">
        <f>IF(AE197="","",COUNTIF($AE$1:AE197,AE197))</f>
        <v/>
      </c>
      <c r="AD197" s="261" t="str">
        <f>IF(J197='PLAN DE ESTUDIO'!$XFD$41,"",IF(AE197="","",AC197&amp;K197&amp;L197&amp;M197))</f>
        <v/>
      </c>
      <c r="AE197" s="261" t="str">
        <f>IF(J197='PLAN DE ESTUDIO'!$XFD$41,"",IF(AF197=1,K197&amp;L197&amp;M197,""))</f>
        <v/>
      </c>
      <c r="AF197" s="261">
        <f>COUNTIF($O$1:O197,$O197)</f>
        <v>0</v>
      </c>
      <c r="AG197" s="285" t="str">
        <f>IF(J197='PLAN DE ESTUDIO'!$XFD$41,"",IF(P197="TP","Teórico-Práctica",IF(P197="T","Teórico",IF(P197="P","Práctica",""))))</f>
        <v/>
      </c>
      <c r="AH197" s="234" t="str">
        <f t="shared" si="7"/>
        <v xml:space="preserve"> </v>
      </c>
    </row>
    <row r="198" spans="10:34" x14ac:dyDescent="0.3">
      <c r="J198" s="412"/>
      <c r="K198" s="232"/>
      <c r="L198" s="232"/>
      <c r="M198" s="232"/>
      <c r="N198" s="412"/>
      <c r="P198" s="231"/>
      <c r="Q198" s="412"/>
      <c r="R198" s="425"/>
      <c r="S198" s="442"/>
      <c r="T198" s="283" t="str" cm="1">
        <f t="array" ref="T198">IF($B$9="","",_xlfn.IFS($B$9="PRESENCIAL",_xlfn.XLOOKUP($S198,DATA!$B$4:$B$8,DATA!$D$4:$D$8,"",0,),$B$9="VIRTUAL",_xlfn.XLOOKUP($S198,DATA!$G$4:$G$8,DATA!$I$4:$I$8,"",0),$B$9="DISTANCIA",_xlfn.XLOOKUP($S198,DATA!$L$4:$L$8,DATA!$N$4:$N$8,"",0)))</f>
        <v/>
      </c>
      <c r="U198" s="283" t="str" cm="1">
        <f t="array" ref="U198">IF($B$9="","",_xlfn.IFS($B$9="PRESENCIAL",_xlfn.XLOOKUP($S198,DATA!$B$4:$B$8,DATA!$E$4:$E$8,"",0,),$B$9="VIRTUAL",_xlfn.XLOOKUP($S198,DATA!$G$4:$G$8,DATA!$J$4:$J$8,"",0),$B$9="DISTANCIA",_xlfn.XLOOKUP($S198,DATA!$L$4:$L$8,DATA!$O$4:$O$8,"",0)))</f>
        <v/>
      </c>
      <c r="V198" s="261" t="str">
        <f t="shared" si="6"/>
        <v/>
      </c>
      <c r="W198" s="282"/>
      <c r="X198" s="282"/>
      <c r="Y198" s="282"/>
      <c r="Z198" s="282"/>
      <c r="AA198" s="282"/>
      <c r="AB198" s="284"/>
      <c r="AC198" s="262" t="str">
        <f>IF(AE198="","",COUNTIF($AE$1:AE198,AE198))</f>
        <v/>
      </c>
      <c r="AD198" s="261" t="str">
        <f>IF(J198='PLAN DE ESTUDIO'!$XFD$41,"",IF(AE198="","",AC198&amp;K198&amp;L198&amp;M198))</f>
        <v/>
      </c>
      <c r="AE198" s="261" t="str">
        <f>IF(J198='PLAN DE ESTUDIO'!$XFD$41,"",IF(AF198=1,K198&amp;L198&amp;M198,""))</f>
        <v/>
      </c>
      <c r="AF198" s="261">
        <f>COUNTIF($O$1:O198,$O198)</f>
        <v>0</v>
      </c>
      <c r="AG198" s="285" t="str">
        <f>IF(J198='PLAN DE ESTUDIO'!$XFD$41,"",IF(P198="TP","Teórico-Práctica",IF(P198="T","Teórico",IF(P198="P","Práctica",""))))</f>
        <v/>
      </c>
      <c r="AH198" s="234" t="str">
        <f t="shared" si="7"/>
        <v xml:space="preserve"> </v>
      </c>
    </row>
    <row r="199" spans="10:34" x14ac:dyDescent="0.3">
      <c r="J199" s="412"/>
      <c r="K199" s="232"/>
      <c r="L199" s="232"/>
      <c r="M199" s="232"/>
      <c r="N199" s="412"/>
      <c r="P199" s="231"/>
      <c r="Q199" s="412"/>
      <c r="R199" s="425"/>
      <c r="S199" s="442"/>
      <c r="T199" s="283" t="str" cm="1">
        <f t="array" ref="T199">IF($B$9="","",_xlfn.IFS($B$9="PRESENCIAL",_xlfn.XLOOKUP($S199,DATA!$B$4:$B$8,DATA!$D$4:$D$8,"",0,),$B$9="VIRTUAL",_xlfn.XLOOKUP($S199,DATA!$G$4:$G$8,DATA!$I$4:$I$8,"",0),$B$9="DISTANCIA",_xlfn.XLOOKUP($S199,DATA!$L$4:$L$8,DATA!$N$4:$N$8,"",0)))</f>
        <v/>
      </c>
      <c r="U199" s="283" t="str" cm="1">
        <f t="array" ref="U199">IF($B$9="","",_xlfn.IFS($B$9="PRESENCIAL",_xlfn.XLOOKUP($S199,DATA!$B$4:$B$8,DATA!$E$4:$E$8,"",0,),$B$9="VIRTUAL",_xlfn.XLOOKUP($S199,DATA!$G$4:$G$8,DATA!$J$4:$J$8,"",0),$B$9="DISTANCIA",_xlfn.XLOOKUP($S199,DATA!$L$4:$L$8,DATA!$O$4:$O$8,"",0)))</f>
        <v/>
      </c>
      <c r="V199" s="261" t="str">
        <f t="shared" si="6"/>
        <v/>
      </c>
      <c r="W199" s="282"/>
      <c r="X199" s="282"/>
      <c r="Y199" s="282"/>
      <c r="Z199" s="282"/>
      <c r="AA199" s="282"/>
      <c r="AB199" s="284"/>
      <c r="AC199" s="262" t="str">
        <f>IF(AE199="","",COUNTIF($AE$1:AE199,AE199))</f>
        <v/>
      </c>
      <c r="AD199" s="261" t="str">
        <f>IF(J199='PLAN DE ESTUDIO'!$XFD$41,"",IF(AE199="","",AC199&amp;K199&amp;L199&amp;M199))</f>
        <v/>
      </c>
      <c r="AE199" s="261" t="str">
        <f>IF(J199='PLAN DE ESTUDIO'!$XFD$41,"",IF(AF199=1,K199&amp;L199&amp;M199,""))</f>
        <v/>
      </c>
      <c r="AF199" s="261">
        <f>COUNTIF($O$1:O199,$O199)</f>
        <v>0</v>
      </c>
      <c r="AG199" s="285" t="str">
        <f>IF(J199='PLAN DE ESTUDIO'!$XFD$41,"",IF(P199="TP","Teórico-Práctica",IF(P199="T","Teórico",IF(P199="P","Práctica",""))))</f>
        <v/>
      </c>
      <c r="AH199" s="234" t="str">
        <f t="shared" si="7"/>
        <v xml:space="preserve"> </v>
      </c>
    </row>
    <row r="200" spans="10:34" x14ac:dyDescent="0.3">
      <c r="J200" s="412"/>
      <c r="K200" s="232"/>
      <c r="L200" s="232"/>
      <c r="M200" s="232"/>
      <c r="N200" s="412"/>
      <c r="P200" s="231"/>
      <c r="Q200" s="412"/>
      <c r="R200" s="425"/>
      <c r="S200" s="442"/>
      <c r="T200" s="283" t="str" cm="1">
        <f t="array" ref="T200">IF($B$9="","",_xlfn.IFS($B$9="PRESENCIAL",_xlfn.XLOOKUP($S200,DATA!$B$4:$B$8,DATA!$D$4:$D$8,"",0,),$B$9="VIRTUAL",_xlfn.XLOOKUP($S200,DATA!$G$4:$G$8,DATA!$I$4:$I$8,"",0),$B$9="DISTANCIA",_xlfn.XLOOKUP($S200,DATA!$L$4:$L$8,DATA!$N$4:$N$8,"",0)))</f>
        <v/>
      </c>
      <c r="U200" s="283" t="str" cm="1">
        <f t="array" ref="U200">IF($B$9="","",_xlfn.IFS($B$9="PRESENCIAL",_xlfn.XLOOKUP($S200,DATA!$B$4:$B$8,DATA!$E$4:$E$8,"",0,),$B$9="VIRTUAL",_xlfn.XLOOKUP($S200,DATA!$G$4:$G$8,DATA!$J$4:$J$8,"",0),$B$9="DISTANCIA",_xlfn.XLOOKUP($S200,DATA!$L$4:$L$8,DATA!$O$4:$O$8,"",0)))</f>
        <v/>
      </c>
      <c r="V200" s="261" t="str">
        <f t="shared" si="6"/>
        <v/>
      </c>
      <c r="W200" s="282"/>
      <c r="X200" s="282"/>
      <c r="Y200" s="282"/>
      <c r="Z200" s="282"/>
      <c r="AA200" s="282"/>
      <c r="AB200" s="284"/>
      <c r="AC200" s="262" t="str">
        <f>IF(AE200="","",COUNTIF($AE$1:AE200,AE200))</f>
        <v/>
      </c>
      <c r="AD200" s="261" t="str">
        <f>IF(J200='PLAN DE ESTUDIO'!$XFD$41,"",IF(AE200="","",AC200&amp;K200&amp;L200&amp;M200))</f>
        <v/>
      </c>
      <c r="AE200" s="261" t="str">
        <f>IF(J200='PLAN DE ESTUDIO'!$XFD$41,"",IF(AF200=1,K200&amp;L200&amp;M200,""))</f>
        <v/>
      </c>
      <c r="AF200" s="261">
        <f>COUNTIF($O$1:O200,$O200)</f>
        <v>0</v>
      </c>
      <c r="AG200" s="285" t="str">
        <f>IF(J200='PLAN DE ESTUDIO'!$XFD$41,"",IF(P200="TP","Teórico-Práctica",IF(P200="T","Teórico",IF(P200="P","Práctica",""))))</f>
        <v/>
      </c>
      <c r="AH200" s="234" t="str">
        <f t="shared" si="7"/>
        <v xml:space="preserve"> </v>
      </c>
    </row>
    <row r="201" spans="10:34" x14ac:dyDescent="0.3">
      <c r="J201" s="412"/>
      <c r="K201" s="232"/>
      <c r="L201" s="232"/>
      <c r="M201" s="232"/>
      <c r="N201" s="412"/>
      <c r="P201" s="231"/>
      <c r="Q201" s="412"/>
      <c r="R201" s="425"/>
      <c r="S201" s="442"/>
      <c r="T201" s="283" t="str" cm="1">
        <f t="array" ref="T201">IF($B$9="","",_xlfn.IFS($B$9="PRESENCIAL",_xlfn.XLOOKUP($S201,DATA!$B$4:$B$8,DATA!$D$4:$D$8,"",0,),$B$9="VIRTUAL",_xlfn.XLOOKUP($S201,DATA!$G$4:$G$8,DATA!$I$4:$I$8,"",0),$B$9="DISTANCIA",_xlfn.XLOOKUP($S201,DATA!$L$4:$L$8,DATA!$N$4:$N$8,"",0)))</f>
        <v/>
      </c>
      <c r="U201" s="283" t="str" cm="1">
        <f t="array" ref="U201">IF($B$9="","",_xlfn.IFS($B$9="PRESENCIAL",_xlfn.XLOOKUP($S201,DATA!$B$4:$B$8,DATA!$E$4:$E$8,"",0,),$B$9="VIRTUAL",_xlfn.XLOOKUP($S201,DATA!$G$4:$G$8,DATA!$J$4:$J$8,"",0),$B$9="DISTANCIA",_xlfn.XLOOKUP($S201,DATA!$L$4:$L$8,DATA!$O$4:$O$8,"",0)))</f>
        <v/>
      </c>
      <c r="V201" s="261" t="str">
        <f t="shared" si="6"/>
        <v/>
      </c>
      <c r="W201" s="282"/>
      <c r="X201" s="282"/>
      <c r="Y201" s="282"/>
      <c r="Z201" s="282"/>
      <c r="AA201" s="282"/>
      <c r="AB201" s="284"/>
      <c r="AC201" s="262" t="str">
        <f>IF(AE201="","",COUNTIF($AE$1:AE201,AE201))</f>
        <v/>
      </c>
      <c r="AD201" s="261" t="str">
        <f>IF(J201='PLAN DE ESTUDIO'!$XFD$41,"",IF(AE201="","",AC201&amp;K201&amp;L201&amp;M201))</f>
        <v/>
      </c>
      <c r="AE201" s="261" t="str">
        <f>IF(J201='PLAN DE ESTUDIO'!$XFD$41,"",IF(AF201=1,K201&amp;L201&amp;M201,""))</f>
        <v/>
      </c>
      <c r="AF201" s="261">
        <f>COUNTIF($O$1:O201,$O201)</f>
        <v>0</v>
      </c>
      <c r="AG201" s="285" t="str">
        <f>IF(J201='PLAN DE ESTUDIO'!$XFD$41,"",IF(P201="TP","Teórico-Práctica",IF(P201="T","Teórico",IF(P201="P","Práctica",""))))</f>
        <v/>
      </c>
      <c r="AH201" s="234" t="str">
        <f t="shared" si="7"/>
        <v xml:space="preserve"> </v>
      </c>
    </row>
    <row r="202" spans="10:34" x14ac:dyDescent="0.3">
      <c r="J202" s="412"/>
      <c r="K202" s="232"/>
      <c r="L202" s="232"/>
      <c r="M202" s="232"/>
      <c r="N202" s="412"/>
      <c r="P202" s="231"/>
      <c r="Q202" s="412"/>
      <c r="R202" s="425"/>
      <c r="S202" s="442"/>
      <c r="T202" s="283" t="str" cm="1">
        <f t="array" ref="T202">IF($B$9="","",_xlfn.IFS($B$9="PRESENCIAL",_xlfn.XLOOKUP($S202,DATA!$B$4:$B$8,DATA!$D$4:$D$8,"",0,),$B$9="VIRTUAL",_xlfn.XLOOKUP($S202,DATA!$G$4:$G$8,DATA!$I$4:$I$8,"",0),$B$9="DISTANCIA",_xlfn.XLOOKUP($S202,DATA!$L$4:$L$8,DATA!$N$4:$N$8,"",0)))</f>
        <v/>
      </c>
      <c r="U202" s="283" t="str" cm="1">
        <f t="array" ref="U202">IF($B$9="","",_xlfn.IFS($B$9="PRESENCIAL",_xlfn.XLOOKUP($S202,DATA!$B$4:$B$8,DATA!$E$4:$E$8,"",0,),$B$9="VIRTUAL",_xlfn.XLOOKUP($S202,DATA!$G$4:$G$8,DATA!$J$4:$J$8,"",0),$B$9="DISTANCIA",_xlfn.XLOOKUP($S202,DATA!$L$4:$L$8,DATA!$O$4:$O$8,"",0)))</f>
        <v/>
      </c>
      <c r="V202" s="261" t="str">
        <f t="shared" si="6"/>
        <v/>
      </c>
      <c r="W202" s="282"/>
      <c r="X202" s="282"/>
      <c r="Y202" s="282"/>
      <c r="Z202" s="282"/>
      <c r="AA202" s="282"/>
      <c r="AB202" s="284"/>
      <c r="AC202" s="262" t="str">
        <f>IF(AE202="","",COUNTIF($AE$1:AE202,AE202))</f>
        <v/>
      </c>
      <c r="AD202" s="261" t="str">
        <f>IF(J202='PLAN DE ESTUDIO'!$XFD$41,"",IF(AE202="","",AC202&amp;K202&amp;L202&amp;M202))</f>
        <v/>
      </c>
      <c r="AE202" s="261" t="str">
        <f>IF(J202='PLAN DE ESTUDIO'!$XFD$41,"",IF(AF202=1,K202&amp;L202&amp;M202,""))</f>
        <v/>
      </c>
      <c r="AF202" s="261">
        <f>COUNTIF($O$1:O202,$O202)</f>
        <v>0</v>
      </c>
      <c r="AG202" s="285" t="str">
        <f>IF(J202='PLAN DE ESTUDIO'!$XFD$41,"",IF(P202="TP","Teórico-Práctica",IF(P202="T","Teórico",IF(P202="P","Práctica",""))))</f>
        <v/>
      </c>
      <c r="AH202" s="234" t="str">
        <f t="shared" si="7"/>
        <v xml:space="preserve"> </v>
      </c>
    </row>
    <row r="203" spans="10:34" x14ac:dyDescent="0.3">
      <c r="J203" s="412"/>
      <c r="K203" s="232"/>
      <c r="L203" s="232"/>
      <c r="M203" s="232"/>
      <c r="N203" s="412"/>
      <c r="P203" s="231"/>
      <c r="Q203" s="412"/>
      <c r="R203" s="425"/>
      <c r="S203" s="442"/>
      <c r="T203" s="283" t="str" cm="1">
        <f t="array" ref="T203">IF($B$9="","",_xlfn.IFS($B$9="PRESENCIAL",_xlfn.XLOOKUP($S203,DATA!$B$4:$B$8,DATA!$D$4:$D$8,"",0,),$B$9="VIRTUAL",_xlfn.XLOOKUP($S203,DATA!$G$4:$G$8,DATA!$I$4:$I$8,"",0),$B$9="DISTANCIA",_xlfn.XLOOKUP($S203,DATA!$L$4:$L$8,DATA!$N$4:$N$8,"",0)))</f>
        <v/>
      </c>
      <c r="U203" s="283" t="str" cm="1">
        <f t="array" ref="U203">IF($B$9="","",_xlfn.IFS($B$9="PRESENCIAL",_xlfn.XLOOKUP($S203,DATA!$B$4:$B$8,DATA!$E$4:$E$8,"",0,),$B$9="VIRTUAL",_xlfn.XLOOKUP($S203,DATA!$G$4:$G$8,DATA!$J$4:$J$8,"",0),$B$9="DISTANCIA",_xlfn.XLOOKUP($S203,DATA!$L$4:$L$8,DATA!$O$4:$O$8,"",0)))</f>
        <v/>
      </c>
      <c r="V203" s="261" t="str">
        <f t="shared" si="6"/>
        <v/>
      </c>
      <c r="W203" s="282"/>
      <c r="X203" s="282"/>
      <c r="Y203" s="282"/>
      <c r="Z203" s="282"/>
      <c r="AA203" s="282"/>
      <c r="AB203" s="284"/>
      <c r="AC203" s="262" t="str">
        <f>IF(AE203="","",COUNTIF($AE$1:AE203,AE203))</f>
        <v/>
      </c>
      <c r="AD203" s="261" t="str">
        <f>IF(J203='PLAN DE ESTUDIO'!$XFD$41,"",IF(AE203="","",AC203&amp;K203&amp;L203&amp;M203))</f>
        <v/>
      </c>
      <c r="AE203" s="261" t="str">
        <f>IF(J203='PLAN DE ESTUDIO'!$XFD$41,"",IF(AF203=1,K203&amp;L203&amp;M203,""))</f>
        <v/>
      </c>
      <c r="AF203" s="261">
        <f>COUNTIF($O$1:O203,$O203)</f>
        <v>0</v>
      </c>
      <c r="AG203" s="285" t="str">
        <f>IF(J203='PLAN DE ESTUDIO'!$XFD$41,"",IF(P203="TP","Teórico-Práctica",IF(P203="T","Teórico",IF(P203="P","Práctica",""))))</f>
        <v/>
      </c>
      <c r="AH203" s="234" t="str">
        <f t="shared" si="7"/>
        <v xml:space="preserve"> </v>
      </c>
    </row>
    <row r="204" spans="10:34" x14ac:dyDescent="0.3">
      <c r="J204" s="412"/>
      <c r="K204" s="232"/>
      <c r="L204" s="232"/>
      <c r="M204" s="232"/>
      <c r="N204" s="412"/>
      <c r="P204" s="231"/>
      <c r="Q204" s="412"/>
      <c r="R204" s="425"/>
      <c r="S204" s="442"/>
      <c r="T204" s="283" t="str" cm="1">
        <f t="array" ref="T204">IF($B$9="","",_xlfn.IFS($B$9="PRESENCIAL",_xlfn.XLOOKUP($S204,DATA!$B$4:$B$8,DATA!$D$4:$D$8,"",0,),$B$9="VIRTUAL",_xlfn.XLOOKUP($S204,DATA!$G$4:$G$8,DATA!$I$4:$I$8,"",0),$B$9="DISTANCIA",_xlfn.XLOOKUP($S204,DATA!$L$4:$L$8,DATA!$N$4:$N$8,"",0)))</f>
        <v/>
      </c>
      <c r="U204" s="283" t="str" cm="1">
        <f t="array" ref="U204">IF($B$9="","",_xlfn.IFS($B$9="PRESENCIAL",_xlfn.XLOOKUP($S204,DATA!$B$4:$B$8,DATA!$E$4:$E$8,"",0,),$B$9="VIRTUAL",_xlfn.XLOOKUP($S204,DATA!$G$4:$G$8,DATA!$J$4:$J$8,"",0),$B$9="DISTANCIA",_xlfn.XLOOKUP($S204,DATA!$L$4:$L$8,DATA!$O$4:$O$8,"",0)))</f>
        <v/>
      </c>
      <c r="V204" s="261" t="str">
        <f t="shared" si="6"/>
        <v/>
      </c>
      <c r="W204" s="282"/>
      <c r="X204" s="282"/>
      <c r="Y204" s="282"/>
      <c r="Z204" s="282"/>
      <c r="AA204" s="282"/>
      <c r="AB204" s="284"/>
      <c r="AC204" s="262" t="str">
        <f>IF(AE204="","",COUNTIF($AE$1:AE204,AE204))</f>
        <v/>
      </c>
      <c r="AD204" s="261" t="str">
        <f>IF(J204='PLAN DE ESTUDIO'!$XFD$41,"",IF(AE204="","",AC204&amp;K204&amp;L204&amp;M204))</f>
        <v/>
      </c>
      <c r="AE204" s="261" t="str">
        <f>IF(J204='PLAN DE ESTUDIO'!$XFD$41,"",IF(AF204=1,K204&amp;L204&amp;M204,""))</f>
        <v/>
      </c>
      <c r="AF204" s="261">
        <f>COUNTIF($O$1:O204,$O204)</f>
        <v>0</v>
      </c>
      <c r="AG204" s="285" t="str">
        <f>IF(J204='PLAN DE ESTUDIO'!$XFD$41,"",IF(P204="TP","Teórico-Práctica",IF(P204="T","Teórico",IF(P204="P","Práctica",""))))</f>
        <v/>
      </c>
      <c r="AH204" s="234" t="str">
        <f t="shared" si="7"/>
        <v xml:space="preserve"> </v>
      </c>
    </row>
    <row r="205" spans="10:34" x14ac:dyDescent="0.3">
      <c r="J205" s="412"/>
      <c r="K205" s="232"/>
      <c r="L205" s="232"/>
      <c r="M205" s="232"/>
      <c r="N205" s="412"/>
      <c r="P205" s="231"/>
      <c r="Q205" s="412"/>
      <c r="R205" s="425"/>
      <c r="S205" s="442"/>
      <c r="T205" s="283" t="str" cm="1">
        <f t="array" ref="T205">IF($B$9="","",_xlfn.IFS($B$9="PRESENCIAL",_xlfn.XLOOKUP($S205,DATA!$B$4:$B$8,DATA!$D$4:$D$8,"",0,),$B$9="VIRTUAL",_xlfn.XLOOKUP($S205,DATA!$G$4:$G$8,DATA!$I$4:$I$8,"",0),$B$9="DISTANCIA",_xlfn.XLOOKUP($S205,DATA!$L$4:$L$8,DATA!$N$4:$N$8,"",0)))</f>
        <v/>
      </c>
      <c r="U205" s="283" t="str" cm="1">
        <f t="array" ref="U205">IF($B$9="","",_xlfn.IFS($B$9="PRESENCIAL",_xlfn.XLOOKUP($S205,DATA!$B$4:$B$8,DATA!$E$4:$E$8,"",0,),$B$9="VIRTUAL",_xlfn.XLOOKUP($S205,DATA!$G$4:$G$8,DATA!$J$4:$J$8,"",0),$B$9="DISTANCIA",_xlfn.XLOOKUP($S205,DATA!$L$4:$L$8,DATA!$O$4:$O$8,"",0)))</f>
        <v/>
      </c>
      <c r="V205" s="261" t="str">
        <f t="shared" si="6"/>
        <v/>
      </c>
      <c r="W205" s="282"/>
      <c r="X205" s="282"/>
      <c r="Y205" s="282"/>
      <c r="Z205" s="282"/>
      <c r="AA205" s="282"/>
      <c r="AB205" s="284"/>
      <c r="AC205" s="262" t="str">
        <f>IF(AE205="","",COUNTIF($AE$1:AE205,AE205))</f>
        <v/>
      </c>
      <c r="AD205" s="261" t="str">
        <f>IF(J205='PLAN DE ESTUDIO'!$XFD$41,"",IF(AE205="","",AC205&amp;K205&amp;L205&amp;M205))</f>
        <v/>
      </c>
      <c r="AE205" s="261" t="str">
        <f>IF(J205='PLAN DE ESTUDIO'!$XFD$41,"",IF(AF205=1,K205&amp;L205&amp;M205,""))</f>
        <v/>
      </c>
      <c r="AF205" s="261">
        <f>COUNTIF($O$1:O205,$O205)</f>
        <v>0</v>
      </c>
      <c r="AG205" s="285" t="str">
        <f>IF(J205='PLAN DE ESTUDIO'!$XFD$41,"",IF(P205="TP","Teórico-Práctica",IF(P205="T","Teórico",IF(P205="P","Práctica",""))))</f>
        <v/>
      </c>
      <c r="AH205" s="234" t="str">
        <f t="shared" si="7"/>
        <v xml:space="preserve"> </v>
      </c>
    </row>
    <row r="206" spans="10:34" x14ac:dyDescent="0.3">
      <c r="J206" s="412"/>
      <c r="K206" s="232"/>
      <c r="L206" s="232"/>
      <c r="M206" s="232"/>
      <c r="N206" s="412"/>
      <c r="P206" s="231"/>
      <c r="Q206" s="412"/>
      <c r="R206" s="425"/>
      <c r="S206" s="442"/>
      <c r="T206" s="283" t="str" cm="1">
        <f t="array" ref="T206">IF($B$9="","",_xlfn.IFS($B$9="PRESENCIAL",_xlfn.XLOOKUP($S206,DATA!$B$4:$B$8,DATA!$D$4:$D$8,"",0,),$B$9="VIRTUAL",_xlfn.XLOOKUP($S206,DATA!$G$4:$G$8,DATA!$I$4:$I$8,"",0),$B$9="DISTANCIA",_xlfn.XLOOKUP($S206,DATA!$L$4:$L$8,DATA!$N$4:$N$8,"",0)))</f>
        <v/>
      </c>
      <c r="U206" s="283" t="str" cm="1">
        <f t="array" ref="U206">IF($B$9="","",_xlfn.IFS($B$9="PRESENCIAL",_xlfn.XLOOKUP($S206,DATA!$B$4:$B$8,DATA!$E$4:$E$8,"",0,),$B$9="VIRTUAL",_xlfn.XLOOKUP($S206,DATA!$G$4:$G$8,DATA!$J$4:$J$8,"",0),$B$9="DISTANCIA",_xlfn.XLOOKUP($S206,DATA!$L$4:$L$8,DATA!$O$4:$O$8,"",0)))</f>
        <v/>
      </c>
      <c r="V206" s="261" t="str">
        <f t="shared" si="6"/>
        <v/>
      </c>
      <c r="W206" s="282"/>
      <c r="X206" s="282"/>
      <c r="Y206" s="282"/>
      <c r="Z206" s="282"/>
      <c r="AA206" s="282"/>
      <c r="AB206" s="284"/>
      <c r="AC206" s="262" t="str">
        <f>IF(AE206="","",COUNTIF($AE$1:AE206,AE206))</f>
        <v/>
      </c>
      <c r="AD206" s="261" t="str">
        <f>IF(J206='PLAN DE ESTUDIO'!$XFD$41,"",IF(AE206="","",AC206&amp;K206&amp;L206&amp;M206))</f>
        <v/>
      </c>
      <c r="AE206" s="261" t="str">
        <f>IF(J206='PLAN DE ESTUDIO'!$XFD$41,"",IF(AF206=1,K206&amp;L206&amp;M206,""))</f>
        <v/>
      </c>
      <c r="AF206" s="261">
        <f>COUNTIF($O$1:O206,$O206)</f>
        <v>0</v>
      </c>
      <c r="AG206" s="285" t="str">
        <f>IF(J206='PLAN DE ESTUDIO'!$XFD$41,"",IF(P206="TP","Teórico-Práctica",IF(P206="T","Teórico",IF(P206="P","Práctica",""))))</f>
        <v/>
      </c>
      <c r="AH206" s="234" t="str">
        <f t="shared" si="7"/>
        <v xml:space="preserve"> </v>
      </c>
    </row>
    <row r="207" spans="10:34" x14ac:dyDescent="0.3">
      <c r="J207" s="412"/>
      <c r="K207" s="232"/>
      <c r="L207" s="232"/>
      <c r="M207" s="232"/>
      <c r="N207" s="412"/>
      <c r="P207" s="231"/>
      <c r="Q207" s="412"/>
      <c r="R207" s="425"/>
      <c r="S207" s="442"/>
      <c r="T207" s="283" t="str" cm="1">
        <f t="array" ref="T207">IF($B$9="","",_xlfn.IFS($B$9="PRESENCIAL",_xlfn.XLOOKUP($S207,DATA!$B$4:$B$8,DATA!$D$4:$D$8,"",0,),$B$9="VIRTUAL",_xlfn.XLOOKUP($S207,DATA!$G$4:$G$8,DATA!$I$4:$I$8,"",0),$B$9="DISTANCIA",_xlfn.XLOOKUP($S207,DATA!$L$4:$L$8,DATA!$N$4:$N$8,"",0)))</f>
        <v/>
      </c>
      <c r="U207" s="283" t="str" cm="1">
        <f t="array" ref="U207">IF($B$9="","",_xlfn.IFS($B$9="PRESENCIAL",_xlfn.XLOOKUP($S207,DATA!$B$4:$B$8,DATA!$E$4:$E$8,"",0,),$B$9="VIRTUAL",_xlfn.XLOOKUP($S207,DATA!$G$4:$G$8,DATA!$J$4:$J$8,"",0),$B$9="DISTANCIA",_xlfn.XLOOKUP($S207,DATA!$L$4:$L$8,DATA!$O$4:$O$8,"",0)))</f>
        <v/>
      </c>
      <c r="V207" s="261" t="str">
        <f t="shared" si="6"/>
        <v/>
      </c>
      <c r="W207" s="282"/>
      <c r="X207" s="282"/>
      <c r="Y207" s="282"/>
      <c r="Z207" s="282"/>
      <c r="AA207" s="282"/>
      <c r="AB207" s="284"/>
      <c r="AC207" s="262" t="str">
        <f>IF(AE207="","",COUNTIF($AE$1:AE207,AE207))</f>
        <v/>
      </c>
      <c r="AD207" s="261" t="str">
        <f>IF(J207='PLAN DE ESTUDIO'!$XFD$41,"",IF(AE207="","",AC207&amp;K207&amp;L207&amp;M207))</f>
        <v/>
      </c>
      <c r="AE207" s="261" t="str">
        <f>IF(J207='PLAN DE ESTUDIO'!$XFD$41,"",IF(AF207=1,K207&amp;L207&amp;M207,""))</f>
        <v/>
      </c>
      <c r="AF207" s="261">
        <f>COUNTIF($O$1:O207,$O207)</f>
        <v>0</v>
      </c>
      <c r="AG207" s="285" t="str">
        <f>IF(J207='PLAN DE ESTUDIO'!$XFD$41,"",IF(P207="TP","Teórico-Práctica",IF(P207="T","Teórico",IF(P207="P","Práctica",""))))</f>
        <v/>
      </c>
      <c r="AH207" s="234" t="str">
        <f t="shared" si="7"/>
        <v xml:space="preserve"> </v>
      </c>
    </row>
    <row r="208" spans="10:34" x14ac:dyDescent="0.3">
      <c r="J208" s="412"/>
      <c r="K208" s="232"/>
      <c r="L208" s="232"/>
      <c r="M208" s="232"/>
      <c r="N208" s="412"/>
      <c r="P208" s="231"/>
      <c r="Q208" s="412"/>
      <c r="R208" s="425"/>
      <c r="S208" s="442"/>
      <c r="T208" s="283" t="str" cm="1">
        <f t="array" ref="T208">IF($B$9="","",_xlfn.IFS($B$9="PRESENCIAL",_xlfn.XLOOKUP($S208,DATA!$B$4:$B$8,DATA!$D$4:$D$8,"",0,),$B$9="VIRTUAL",_xlfn.XLOOKUP($S208,DATA!$G$4:$G$8,DATA!$I$4:$I$8,"",0),$B$9="DISTANCIA",_xlfn.XLOOKUP($S208,DATA!$L$4:$L$8,DATA!$N$4:$N$8,"",0)))</f>
        <v/>
      </c>
      <c r="U208" s="283" t="str" cm="1">
        <f t="array" ref="U208">IF($B$9="","",_xlfn.IFS($B$9="PRESENCIAL",_xlfn.XLOOKUP($S208,DATA!$B$4:$B$8,DATA!$E$4:$E$8,"",0,),$B$9="VIRTUAL",_xlfn.XLOOKUP($S208,DATA!$G$4:$G$8,DATA!$J$4:$J$8,"",0),$B$9="DISTANCIA",_xlfn.XLOOKUP($S208,DATA!$L$4:$L$8,DATA!$O$4:$O$8,"",0)))</f>
        <v/>
      </c>
      <c r="V208" s="261" t="str">
        <f t="shared" si="6"/>
        <v/>
      </c>
      <c r="W208" s="282"/>
      <c r="X208" s="282"/>
      <c r="Y208" s="282"/>
      <c r="Z208" s="282"/>
      <c r="AA208" s="282"/>
      <c r="AB208" s="284"/>
      <c r="AC208" s="262" t="str">
        <f>IF(AE208="","",COUNTIF($AE$1:AE208,AE208))</f>
        <v/>
      </c>
      <c r="AD208" s="261" t="str">
        <f>IF(J208='PLAN DE ESTUDIO'!$XFD$41,"",IF(AE208="","",AC208&amp;K208&amp;L208&amp;M208))</f>
        <v/>
      </c>
      <c r="AE208" s="261" t="str">
        <f>IF(J208='PLAN DE ESTUDIO'!$XFD$41,"",IF(AF208=1,K208&amp;L208&amp;M208,""))</f>
        <v/>
      </c>
      <c r="AF208" s="261">
        <f>COUNTIF($O$1:O208,$O208)</f>
        <v>0</v>
      </c>
      <c r="AG208" s="285" t="str">
        <f>IF(J208='PLAN DE ESTUDIO'!$XFD$41,"",IF(P208="TP","Teórico-Práctica",IF(P208="T","Teórico",IF(P208="P","Práctica",""))))</f>
        <v/>
      </c>
      <c r="AH208" s="234" t="str">
        <f t="shared" si="7"/>
        <v xml:space="preserve"> </v>
      </c>
    </row>
    <row r="209" spans="10:34" x14ac:dyDescent="0.3">
      <c r="J209" s="412"/>
      <c r="K209" s="232"/>
      <c r="L209" s="232"/>
      <c r="M209" s="232"/>
      <c r="N209" s="412"/>
      <c r="P209" s="231"/>
      <c r="Q209" s="412"/>
      <c r="R209" s="425"/>
      <c r="S209" s="442"/>
      <c r="T209" s="283" t="str" cm="1">
        <f t="array" ref="T209">IF($B$9="","",_xlfn.IFS($B$9="PRESENCIAL",_xlfn.XLOOKUP($S209,DATA!$B$4:$B$8,DATA!$D$4:$D$8,"",0,),$B$9="VIRTUAL",_xlfn.XLOOKUP($S209,DATA!$G$4:$G$8,DATA!$I$4:$I$8,"",0),$B$9="DISTANCIA",_xlfn.XLOOKUP($S209,DATA!$L$4:$L$8,DATA!$N$4:$N$8,"",0)))</f>
        <v/>
      </c>
      <c r="U209" s="283" t="str" cm="1">
        <f t="array" ref="U209">IF($B$9="","",_xlfn.IFS($B$9="PRESENCIAL",_xlfn.XLOOKUP($S209,DATA!$B$4:$B$8,DATA!$E$4:$E$8,"",0,),$B$9="VIRTUAL",_xlfn.XLOOKUP($S209,DATA!$G$4:$G$8,DATA!$J$4:$J$8,"",0),$B$9="DISTANCIA",_xlfn.XLOOKUP($S209,DATA!$L$4:$L$8,DATA!$O$4:$O$8,"",0)))</f>
        <v/>
      </c>
      <c r="V209" s="261" t="str">
        <f t="shared" si="6"/>
        <v/>
      </c>
      <c r="W209" s="282"/>
      <c r="X209" s="282"/>
      <c r="Y209" s="282"/>
      <c r="Z209" s="282"/>
      <c r="AA209" s="282"/>
      <c r="AB209" s="284"/>
      <c r="AC209" s="262" t="str">
        <f>IF(AE209="","",COUNTIF($AE$1:AE209,AE209))</f>
        <v/>
      </c>
      <c r="AD209" s="261" t="str">
        <f>IF(J209='PLAN DE ESTUDIO'!$XFD$41,"",IF(AE209="","",AC209&amp;K209&amp;L209&amp;M209))</f>
        <v/>
      </c>
      <c r="AE209" s="261" t="str">
        <f>IF(J209='PLAN DE ESTUDIO'!$XFD$41,"",IF(AF209=1,K209&amp;L209&amp;M209,""))</f>
        <v/>
      </c>
      <c r="AF209" s="261">
        <f>COUNTIF($O$1:O209,$O209)</f>
        <v>0</v>
      </c>
      <c r="AG209" s="285" t="str">
        <f>IF(J209='PLAN DE ESTUDIO'!$XFD$41,"",IF(P209="TP","Teórico-Práctica",IF(P209="T","Teórico",IF(P209="P","Práctica",""))))</f>
        <v/>
      </c>
      <c r="AH209" s="234" t="str">
        <f t="shared" si="7"/>
        <v xml:space="preserve"> </v>
      </c>
    </row>
    <row r="210" spans="10:34" x14ac:dyDescent="0.3">
      <c r="J210" s="412"/>
      <c r="K210" s="232"/>
      <c r="L210" s="232"/>
      <c r="M210" s="232"/>
      <c r="N210" s="412"/>
      <c r="P210" s="231"/>
      <c r="Q210" s="412"/>
      <c r="R210" s="425"/>
      <c r="S210" s="442"/>
      <c r="T210" s="283" t="str" cm="1">
        <f t="array" ref="T210">IF($B$9="","",_xlfn.IFS($B$9="PRESENCIAL",_xlfn.XLOOKUP($S210,DATA!$B$4:$B$8,DATA!$D$4:$D$8,"",0,),$B$9="VIRTUAL",_xlfn.XLOOKUP($S210,DATA!$G$4:$G$8,DATA!$I$4:$I$8,"",0),$B$9="DISTANCIA",_xlfn.XLOOKUP($S210,DATA!$L$4:$L$8,DATA!$N$4:$N$8,"",0)))</f>
        <v/>
      </c>
      <c r="U210" s="283" t="str" cm="1">
        <f t="array" ref="U210">IF($B$9="","",_xlfn.IFS($B$9="PRESENCIAL",_xlfn.XLOOKUP($S210,DATA!$B$4:$B$8,DATA!$E$4:$E$8,"",0,),$B$9="VIRTUAL",_xlfn.XLOOKUP($S210,DATA!$G$4:$G$8,DATA!$J$4:$J$8,"",0),$B$9="DISTANCIA",_xlfn.XLOOKUP($S210,DATA!$L$4:$L$8,DATA!$O$4:$O$8,"",0)))</f>
        <v/>
      </c>
      <c r="V210" s="261" t="str">
        <f t="shared" si="6"/>
        <v/>
      </c>
      <c r="W210" s="282"/>
      <c r="X210" s="282"/>
      <c r="Y210" s="282"/>
      <c r="Z210" s="282"/>
      <c r="AA210" s="282"/>
      <c r="AB210" s="284"/>
      <c r="AC210" s="262" t="str">
        <f>IF(AE210="","",COUNTIF($AE$1:AE210,AE210))</f>
        <v/>
      </c>
      <c r="AD210" s="261" t="str">
        <f>IF(J210='PLAN DE ESTUDIO'!$XFD$41,"",IF(AE210="","",AC210&amp;K210&amp;L210&amp;M210))</f>
        <v/>
      </c>
      <c r="AE210" s="261" t="str">
        <f>IF(J210='PLAN DE ESTUDIO'!$XFD$41,"",IF(AF210=1,K210&amp;L210&amp;M210,""))</f>
        <v/>
      </c>
      <c r="AF210" s="261">
        <f>COUNTIF($O$1:O210,$O210)</f>
        <v>0</v>
      </c>
      <c r="AG210" s="285" t="str">
        <f>IF(J210='PLAN DE ESTUDIO'!$XFD$41,"",IF(P210="TP","Teórico-Práctica",IF(P210="T","Teórico",IF(P210="P","Práctica",""))))</f>
        <v/>
      </c>
      <c r="AH210" s="234" t="str">
        <f t="shared" si="7"/>
        <v xml:space="preserve"> </v>
      </c>
    </row>
    <row r="211" spans="10:34" x14ac:dyDescent="0.3">
      <c r="J211" s="412"/>
      <c r="K211" s="232"/>
      <c r="L211" s="232"/>
      <c r="M211" s="232"/>
      <c r="N211" s="412"/>
      <c r="P211" s="231"/>
      <c r="Q211" s="412"/>
      <c r="R211" s="425"/>
      <c r="S211" s="442"/>
      <c r="T211" s="283" t="str" cm="1">
        <f t="array" ref="T211">IF($B$9="","",_xlfn.IFS($B$9="PRESENCIAL",_xlfn.XLOOKUP($S211,DATA!$B$4:$B$8,DATA!$D$4:$D$8,"",0,),$B$9="VIRTUAL",_xlfn.XLOOKUP($S211,DATA!$G$4:$G$8,DATA!$I$4:$I$8,"",0),$B$9="DISTANCIA",_xlfn.XLOOKUP($S211,DATA!$L$4:$L$8,DATA!$N$4:$N$8,"",0)))</f>
        <v/>
      </c>
      <c r="U211" s="283" t="str" cm="1">
        <f t="array" ref="U211">IF($B$9="","",_xlfn.IFS($B$9="PRESENCIAL",_xlfn.XLOOKUP($S211,DATA!$B$4:$B$8,DATA!$E$4:$E$8,"",0,),$B$9="VIRTUAL",_xlfn.XLOOKUP($S211,DATA!$G$4:$G$8,DATA!$J$4:$J$8,"",0),$B$9="DISTANCIA",_xlfn.XLOOKUP($S211,DATA!$L$4:$L$8,DATA!$O$4:$O$8,"",0)))</f>
        <v/>
      </c>
      <c r="V211" s="261" t="str">
        <f t="shared" si="6"/>
        <v/>
      </c>
      <c r="W211" s="282"/>
      <c r="X211" s="282"/>
      <c r="Y211" s="282"/>
      <c r="Z211" s="282"/>
      <c r="AA211" s="282"/>
      <c r="AB211" s="284"/>
      <c r="AC211" s="262" t="str">
        <f>IF(AE211="","",COUNTIF($AE$1:AE211,AE211))</f>
        <v/>
      </c>
      <c r="AD211" s="261" t="str">
        <f>IF(J211='PLAN DE ESTUDIO'!$XFD$41,"",IF(AE211="","",AC211&amp;K211&amp;L211&amp;M211))</f>
        <v/>
      </c>
      <c r="AE211" s="261" t="str">
        <f>IF(J211='PLAN DE ESTUDIO'!$XFD$41,"",IF(AF211=1,K211&amp;L211&amp;M211,""))</f>
        <v/>
      </c>
      <c r="AF211" s="261">
        <f>COUNTIF($O$1:O211,$O211)</f>
        <v>0</v>
      </c>
      <c r="AG211" s="285" t="str">
        <f>IF(J211='PLAN DE ESTUDIO'!$XFD$41,"",IF(P211="TP","Teórico-Práctica",IF(P211="T","Teórico",IF(P211="P","Práctica",""))))</f>
        <v/>
      </c>
      <c r="AH211" s="234" t="str">
        <f t="shared" si="7"/>
        <v xml:space="preserve"> </v>
      </c>
    </row>
    <row r="212" spans="10:34" x14ac:dyDescent="0.3">
      <c r="J212" s="412"/>
      <c r="K212" s="232"/>
      <c r="L212" s="232"/>
      <c r="M212" s="232"/>
      <c r="N212" s="412"/>
      <c r="P212" s="231"/>
      <c r="Q212" s="412"/>
      <c r="R212" s="425"/>
      <c r="S212" s="442"/>
      <c r="T212" s="283" t="str" cm="1">
        <f t="array" ref="T212">IF($B$9="","",_xlfn.IFS($B$9="PRESENCIAL",_xlfn.XLOOKUP($S212,DATA!$B$4:$B$8,DATA!$D$4:$D$8,"",0,),$B$9="VIRTUAL",_xlfn.XLOOKUP($S212,DATA!$G$4:$G$8,DATA!$I$4:$I$8,"",0),$B$9="DISTANCIA",_xlfn.XLOOKUP($S212,DATA!$L$4:$L$8,DATA!$N$4:$N$8,"",0)))</f>
        <v/>
      </c>
      <c r="U212" s="283" t="str" cm="1">
        <f t="array" ref="U212">IF($B$9="","",_xlfn.IFS($B$9="PRESENCIAL",_xlfn.XLOOKUP($S212,DATA!$B$4:$B$8,DATA!$E$4:$E$8,"",0,),$B$9="VIRTUAL",_xlfn.XLOOKUP($S212,DATA!$G$4:$G$8,DATA!$J$4:$J$8,"",0),$B$9="DISTANCIA",_xlfn.XLOOKUP($S212,DATA!$L$4:$L$8,DATA!$O$4:$O$8,"",0)))</f>
        <v/>
      </c>
      <c r="V212" s="261" t="str">
        <f t="shared" si="6"/>
        <v/>
      </c>
      <c r="W212" s="282"/>
      <c r="X212" s="282"/>
      <c r="Y212" s="282"/>
      <c r="Z212" s="282"/>
      <c r="AA212" s="282"/>
      <c r="AB212" s="284"/>
      <c r="AC212" s="262" t="str">
        <f>IF(AE212="","",COUNTIF($AE$1:AE212,AE212))</f>
        <v/>
      </c>
      <c r="AD212" s="261" t="str">
        <f>IF(J212='PLAN DE ESTUDIO'!$XFD$41,"",IF(AE212="","",AC212&amp;K212&amp;L212&amp;M212))</f>
        <v/>
      </c>
      <c r="AE212" s="261" t="str">
        <f>IF(J212='PLAN DE ESTUDIO'!$XFD$41,"",IF(AF212=1,K212&amp;L212&amp;M212,""))</f>
        <v/>
      </c>
      <c r="AF212" s="261">
        <f>COUNTIF($O$1:O212,$O212)</f>
        <v>0</v>
      </c>
      <c r="AG212" s="285" t="str">
        <f>IF(J212='PLAN DE ESTUDIO'!$XFD$41,"",IF(P212="TP","Teórico-Práctica",IF(P212="T","Teórico",IF(P212="P","Práctica",""))))</f>
        <v/>
      </c>
      <c r="AH212" s="234" t="str">
        <f t="shared" si="7"/>
        <v xml:space="preserve"> </v>
      </c>
    </row>
    <row r="213" spans="10:34" x14ac:dyDescent="0.3">
      <c r="J213" s="412"/>
      <c r="K213" s="232"/>
      <c r="L213" s="232"/>
      <c r="M213" s="232"/>
      <c r="N213" s="412"/>
      <c r="P213" s="231"/>
      <c r="Q213" s="412"/>
      <c r="R213" s="425"/>
      <c r="S213" s="442"/>
      <c r="T213" s="283" t="str" cm="1">
        <f t="array" ref="T213">IF($B$9="","",_xlfn.IFS($B$9="PRESENCIAL",_xlfn.XLOOKUP($S213,DATA!$B$4:$B$8,DATA!$D$4:$D$8,"",0,),$B$9="VIRTUAL",_xlfn.XLOOKUP($S213,DATA!$G$4:$G$8,DATA!$I$4:$I$8,"",0),$B$9="DISTANCIA",_xlfn.XLOOKUP($S213,DATA!$L$4:$L$8,DATA!$N$4:$N$8,"",0)))</f>
        <v/>
      </c>
      <c r="U213" s="283" t="str" cm="1">
        <f t="array" ref="U213">IF($B$9="","",_xlfn.IFS($B$9="PRESENCIAL",_xlfn.XLOOKUP($S213,DATA!$B$4:$B$8,DATA!$E$4:$E$8,"",0,),$B$9="VIRTUAL",_xlfn.XLOOKUP($S213,DATA!$G$4:$G$8,DATA!$J$4:$J$8,"",0),$B$9="DISTANCIA",_xlfn.XLOOKUP($S213,DATA!$L$4:$L$8,DATA!$O$4:$O$8,"",0)))</f>
        <v/>
      </c>
      <c r="V213" s="261" t="str">
        <f t="shared" si="6"/>
        <v/>
      </c>
      <c r="W213" s="282"/>
      <c r="X213" s="282"/>
      <c r="Y213" s="282"/>
      <c r="Z213" s="282"/>
      <c r="AA213" s="282"/>
      <c r="AB213" s="284"/>
      <c r="AC213" s="262" t="str">
        <f>IF(AE213="","",COUNTIF($AE$1:AE213,AE213))</f>
        <v/>
      </c>
      <c r="AD213" s="261" t="str">
        <f>IF(J213='PLAN DE ESTUDIO'!$XFD$41,"",IF(AE213="","",AC213&amp;K213&amp;L213&amp;M213))</f>
        <v/>
      </c>
      <c r="AE213" s="261" t="str">
        <f>IF(J213='PLAN DE ESTUDIO'!$XFD$41,"",IF(AF213=1,K213&amp;L213&amp;M213,""))</f>
        <v/>
      </c>
      <c r="AF213" s="261">
        <f>COUNTIF($O$1:O213,$O213)</f>
        <v>0</v>
      </c>
      <c r="AG213" s="285" t="str">
        <f>IF(J213='PLAN DE ESTUDIO'!$XFD$41,"",IF(P213="TP","Teórico-Práctica",IF(P213="T","Teórico",IF(P213="P","Práctica",""))))</f>
        <v/>
      </c>
      <c r="AH213" s="234" t="str">
        <f t="shared" si="7"/>
        <v xml:space="preserve"> </v>
      </c>
    </row>
    <row r="214" spans="10:34" x14ac:dyDescent="0.3">
      <c r="J214" s="412"/>
      <c r="K214" s="232"/>
      <c r="L214" s="232"/>
      <c r="M214" s="232"/>
      <c r="N214" s="412"/>
      <c r="P214" s="231"/>
      <c r="Q214" s="412"/>
      <c r="R214" s="425"/>
      <c r="S214" s="442"/>
      <c r="T214" s="283" t="str" cm="1">
        <f t="array" ref="T214">IF($B$9="","",_xlfn.IFS($B$9="PRESENCIAL",_xlfn.XLOOKUP($S214,DATA!$B$4:$B$8,DATA!$D$4:$D$8,"",0,),$B$9="VIRTUAL",_xlfn.XLOOKUP($S214,DATA!$G$4:$G$8,DATA!$I$4:$I$8,"",0),$B$9="DISTANCIA",_xlfn.XLOOKUP($S214,DATA!$L$4:$L$8,DATA!$N$4:$N$8,"",0)))</f>
        <v/>
      </c>
      <c r="U214" s="283" t="str" cm="1">
        <f t="array" ref="U214">IF($B$9="","",_xlfn.IFS($B$9="PRESENCIAL",_xlfn.XLOOKUP($S214,DATA!$B$4:$B$8,DATA!$E$4:$E$8,"",0,),$B$9="VIRTUAL",_xlfn.XLOOKUP($S214,DATA!$G$4:$G$8,DATA!$J$4:$J$8,"",0),$B$9="DISTANCIA",_xlfn.XLOOKUP($S214,DATA!$L$4:$L$8,DATA!$O$4:$O$8,"",0)))</f>
        <v/>
      </c>
      <c r="V214" s="261" t="str">
        <f t="shared" si="6"/>
        <v/>
      </c>
      <c r="W214" s="282"/>
      <c r="X214" s="282"/>
      <c r="Y214" s="282"/>
      <c r="Z214" s="282"/>
      <c r="AA214" s="282"/>
      <c r="AB214" s="284"/>
      <c r="AC214" s="262" t="str">
        <f>IF(AE214="","",COUNTIF($AE$1:AE214,AE214))</f>
        <v/>
      </c>
      <c r="AD214" s="261" t="str">
        <f>IF(J214='PLAN DE ESTUDIO'!$XFD$41,"",IF(AE214="","",AC214&amp;K214&amp;L214&amp;M214))</f>
        <v/>
      </c>
      <c r="AE214" s="261" t="str">
        <f>IF(J214='PLAN DE ESTUDIO'!$XFD$41,"",IF(AF214=1,K214&amp;L214&amp;M214,""))</f>
        <v/>
      </c>
      <c r="AF214" s="261">
        <f>COUNTIF($O$1:O214,$O214)</f>
        <v>0</v>
      </c>
      <c r="AG214" s="285" t="str">
        <f>IF(J214='PLAN DE ESTUDIO'!$XFD$41,"",IF(P214="TP","Teórico-Práctica",IF(P214="T","Teórico",IF(P214="P","Práctica",""))))</f>
        <v/>
      </c>
      <c r="AH214" s="234" t="str">
        <f t="shared" si="7"/>
        <v xml:space="preserve"> </v>
      </c>
    </row>
    <row r="215" spans="10:34" x14ac:dyDescent="0.3">
      <c r="J215" s="412"/>
      <c r="K215" s="232"/>
      <c r="L215" s="232"/>
      <c r="M215" s="232"/>
      <c r="N215" s="412"/>
      <c r="P215" s="231"/>
      <c r="Q215" s="412"/>
      <c r="R215" s="425"/>
      <c r="S215" s="442"/>
      <c r="T215" s="283" t="str" cm="1">
        <f t="array" ref="T215">IF($B$9="","",_xlfn.IFS($B$9="PRESENCIAL",_xlfn.XLOOKUP($S215,DATA!$B$4:$B$8,DATA!$D$4:$D$8,"",0,),$B$9="VIRTUAL",_xlfn.XLOOKUP($S215,DATA!$G$4:$G$8,DATA!$I$4:$I$8,"",0),$B$9="DISTANCIA",_xlfn.XLOOKUP($S215,DATA!$L$4:$L$8,DATA!$N$4:$N$8,"",0)))</f>
        <v/>
      </c>
      <c r="U215" s="283" t="str" cm="1">
        <f t="array" ref="U215">IF($B$9="","",_xlfn.IFS($B$9="PRESENCIAL",_xlfn.XLOOKUP($S215,DATA!$B$4:$B$8,DATA!$E$4:$E$8,"",0,),$B$9="VIRTUAL",_xlfn.XLOOKUP($S215,DATA!$G$4:$G$8,DATA!$J$4:$J$8,"",0),$B$9="DISTANCIA",_xlfn.XLOOKUP($S215,DATA!$L$4:$L$8,DATA!$O$4:$O$8,"",0)))</f>
        <v/>
      </c>
      <c r="V215" s="261" t="str">
        <f t="shared" si="6"/>
        <v/>
      </c>
      <c r="W215" s="282"/>
      <c r="X215" s="282"/>
      <c r="Y215" s="282"/>
      <c r="Z215" s="282"/>
      <c r="AA215" s="282"/>
      <c r="AB215" s="284"/>
      <c r="AC215" s="262" t="str">
        <f>IF(AE215="","",COUNTIF($AE$1:AE215,AE215))</f>
        <v/>
      </c>
      <c r="AD215" s="261" t="str">
        <f>IF(J215='PLAN DE ESTUDIO'!$XFD$41,"",IF(AE215="","",AC215&amp;K215&amp;L215&amp;M215))</f>
        <v/>
      </c>
      <c r="AE215" s="261" t="str">
        <f>IF(J215='PLAN DE ESTUDIO'!$XFD$41,"",IF(AF215=1,K215&amp;L215&amp;M215,""))</f>
        <v/>
      </c>
      <c r="AF215" s="261">
        <f>COUNTIF($O$1:O215,$O215)</f>
        <v>0</v>
      </c>
      <c r="AG215" s="285" t="str">
        <f>IF(J215='PLAN DE ESTUDIO'!$XFD$41,"",IF(P215="TP","Teórico-Práctica",IF(P215="T","Teórico",IF(P215="P","Práctica",""))))</f>
        <v/>
      </c>
      <c r="AH215" s="234" t="str">
        <f t="shared" si="7"/>
        <v xml:space="preserve"> </v>
      </c>
    </row>
    <row r="216" spans="10:34" x14ac:dyDescent="0.3">
      <c r="J216" s="412"/>
      <c r="K216" s="232"/>
      <c r="L216" s="232"/>
      <c r="M216" s="232"/>
      <c r="N216" s="412"/>
      <c r="P216" s="231"/>
      <c r="Q216" s="412"/>
      <c r="R216" s="425"/>
      <c r="S216" s="442"/>
      <c r="T216" s="283" t="str" cm="1">
        <f t="array" ref="T216">IF($B$9="","",_xlfn.IFS($B$9="PRESENCIAL",_xlfn.XLOOKUP($S216,DATA!$B$4:$B$8,DATA!$D$4:$D$8,"",0,),$B$9="VIRTUAL",_xlfn.XLOOKUP($S216,DATA!$G$4:$G$8,DATA!$I$4:$I$8,"",0),$B$9="DISTANCIA",_xlfn.XLOOKUP($S216,DATA!$L$4:$L$8,DATA!$N$4:$N$8,"",0)))</f>
        <v/>
      </c>
      <c r="U216" s="283" t="str" cm="1">
        <f t="array" ref="U216">IF($B$9="","",_xlfn.IFS($B$9="PRESENCIAL",_xlfn.XLOOKUP($S216,DATA!$B$4:$B$8,DATA!$E$4:$E$8,"",0,),$B$9="VIRTUAL",_xlfn.XLOOKUP($S216,DATA!$G$4:$G$8,DATA!$J$4:$J$8,"",0),$B$9="DISTANCIA",_xlfn.XLOOKUP($S216,DATA!$L$4:$L$8,DATA!$O$4:$O$8,"",0)))</f>
        <v/>
      </c>
      <c r="V216" s="261" t="str">
        <f t="shared" si="6"/>
        <v/>
      </c>
      <c r="W216" s="282"/>
      <c r="X216" s="282"/>
      <c r="Y216" s="282"/>
      <c r="Z216" s="282"/>
      <c r="AA216" s="282"/>
      <c r="AB216" s="284"/>
      <c r="AC216" s="262" t="str">
        <f>IF(AE216="","",COUNTIF($AE$1:AE216,AE216))</f>
        <v/>
      </c>
      <c r="AD216" s="261" t="str">
        <f>IF(J216='PLAN DE ESTUDIO'!$XFD$41,"",IF(AE216="","",AC216&amp;K216&amp;L216&amp;M216))</f>
        <v/>
      </c>
      <c r="AE216" s="261" t="str">
        <f>IF(J216='PLAN DE ESTUDIO'!$XFD$41,"",IF(AF216=1,K216&amp;L216&amp;M216,""))</f>
        <v/>
      </c>
      <c r="AF216" s="261">
        <f>COUNTIF($O$1:O216,$O216)</f>
        <v>0</v>
      </c>
      <c r="AG216" s="285" t="str">
        <f>IF(J216='PLAN DE ESTUDIO'!$XFD$41,"",IF(P216="TP","Teórico-Práctica",IF(P216="T","Teórico",IF(P216="P","Práctica",""))))</f>
        <v/>
      </c>
      <c r="AH216" s="234" t="str">
        <f t="shared" si="7"/>
        <v xml:space="preserve"> </v>
      </c>
    </row>
    <row r="217" spans="10:34" x14ac:dyDescent="0.3">
      <c r="J217" s="412"/>
      <c r="K217" s="232"/>
      <c r="L217" s="232"/>
      <c r="M217" s="232"/>
      <c r="N217" s="412"/>
      <c r="P217" s="231"/>
      <c r="Q217" s="412"/>
      <c r="R217" s="425"/>
      <c r="S217" s="442"/>
      <c r="T217" s="283" t="str" cm="1">
        <f t="array" ref="T217">IF($B$9="","",_xlfn.IFS($B$9="PRESENCIAL",_xlfn.XLOOKUP($S217,DATA!$B$4:$B$8,DATA!$D$4:$D$8,"",0,),$B$9="VIRTUAL",_xlfn.XLOOKUP($S217,DATA!$G$4:$G$8,DATA!$I$4:$I$8,"",0),$B$9="DISTANCIA",_xlfn.XLOOKUP($S217,DATA!$L$4:$L$8,DATA!$N$4:$N$8,"",0)))</f>
        <v/>
      </c>
      <c r="U217" s="283" t="str" cm="1">
        <f t="array" ref="U217">IF($B$9="","",_xlfn.IFS($B$9="PRESENCIAL",_xlfn.XLOOKUP($S217,DATA!$B$4:$B$8,DATA!$E$4:$E$8,"",0,),$B$9="VIRTUAL",_xlfn.XLOOKUP($S217,DATA!$G$4:$G$8,DATA!$J$4:$J$8,"",0),$B$9="DISTANCIA",_xlfn.XLOOKUP($S217,DATA!$L$4:$L$8,DATA!$O$4:$O$8,"",0)))</f>
        <v/>
      </c>
      <c r="V217" s="261" t="str">
        <f t="shared" si="6"/>
        <v/>
      </c>
      <c r="W217" s="282"/>
      <c r="X217" s="282"/>
      <c r="Y217" s="282"/>
      <c r="Z217" s="282"/>
      <c r="AA217" s="282"/>
      <c r="AB217" s="284"/>
      <c r="AC217" s="262" t="str">
        <f>IF(AE217="","",COUNTIF($AE$1:AE217,AE217))</f>
        <v/>
      </c>
      <c r="AD217" s="261" t="str">
        <f>IF(J217='PLAN DE ESTUDIO'!$XFD$41,"",IF(AE217="","",AC217&amp;K217&amp;L217&amp;M217))</f>
        <v/>
      </c>
      <c r="AE217" s="261" t="str">
        <f>IF(J217='PLAN DE ESTUDIO'!$XFD$41,"",IF(AF217=1,K217&amp;L217&amp;M217,""))</f>
        <v/>
      </c>
      <c r="AF217" s="261">
        <f>COUNTIF($O$1:O217,$O217)</f>
        <v>0</v>
      </c>
      <c r="AG217" s="285" t="str">
        <f>IF(J217='PLAN DE ESTUDIO'!$XFD$41,"",IF(P217="TP","Teórico-Práctica",IF(P217="T","Teórico",IF(P217="P","Práctica",""))))</f>
        <v/>
      </c>
      <c r="AH217" s="234" t="str">
        <f t="shared" si="7"/>
        <v xml:space="preserve"> </v>
      </c>
    </row>
    <row r="218" spans="10:34" x14ac:dyDescent="0.3">
      <c r="J218" s="412"/>
      <c r="K218" s="232"/>
      <c r="L218" s="232"/>
      <c r="M218" s="232"/>
      <c r="N218" s="412"/>
      <c r="P218" s="231"/>
      <c r="Q218" s="412"/>
      <c r="R218" s="425"/>
      <c r="S218" s="442"/>
      <c r="T218" s="283" t="str" cm="1">
        <f t="array" ref="T218">IF($B$9="","",_xlfn.IFS($B$9="PRESENCIAL",_xlfn.XLOOKUP($S218,DATA!$B$4:$B$8,DATA!$D$4:$D$8,"",0,),$B$9="VIRTUAL",_xlfn.XLOOKUP($S218,DATA!$G$4:$G$8,DATA!$I$4:$I$8,"",0),$B$9="DISTANCIA",_xlfn.XLOOKUP($S218,DATA!$L$4:$L$8,DATA!$N$4:$N$8,"",0)))</f>
        <v/>
      </c>
      <c r="U218" s="283" t="str" cm="1">
        <f t="array" ref="U218">IF($B$9="","",_xlfn.IFS($B$9="PRESENCIAL",_xlfn.XLOOKUP($S218,DATA!$B$4:$B$8,DATA!$E$4:$E$8,"",0,),$B$9="VIRTUAL",_xlfn.XLOOKUP($S218,DATA!$G$4:$G$8,DATA!$J$4:$J$8,"",0),$B$9="DISTANCIA",_xlfn.XLOOKUP($S218,DATA!$L$4:$L$8,DATA!$O$4:$O$8,"",0)))</f>
        <v/>
      </c>
      <c r="V218" s="261" t="str">
        <f t="shared" si="6"/>
        <v/>
      </c>
      <c r="W218" s="282"/>
      <c r="X218" s="282"/>
      <c r="Y218" s="282"/>
      <c r="Z218" s="282"/>
      <c r="AA218" s="282"/>
      <c r="AB218" s="284"/>
      <c r="AC218" s="262" t="str">
        <f>IF(AE218="","",COUNTIF($AE$1:AE218,AE218))</f>
        <v/>
      </c>
      <c r="AD218" s="261" t="str">
        <f>IF(J218='PLAN DE ESTUDIO'!$XFD$41,"",IF(AE218="","",AC218&amp;K218&amp;L218&amp;M218))</f>
        <v/>
      </c>
      <c r="AE218" s="261" t="str">
        <f>IF(J218='PLAN DE ESTUDIO'!$XFD$41,"",IF(AF218=1,K218&amp;L218&amp;M218,""))</f>
        <v/>
      </c>
      <c r="AF218" s="261">
        <f>COUNTIF($O$1:O218,$O218)</f>
        <v>0</v>
      </c>
      <c r="AG218" s="285" t="str">
        <f>IF(J218='PLAN DE ESTUDIO'!$XFD$41,"",IF(P218="TP","Teórico-Práctica",IF(P218="T","Teórico",IF(P218="P","Práctica",""))))</f>
        <v/>
      </c>
      <c r="AH218" s="234" t="str">
        <f t="shared" si="7"/>
        <v xml:space="preserve"> </v>
      </c>
    </row>
    <row r="219" spans="10:34" x14ac:dyDescent="0.3">
      <c r="J219" s="412"/>
      <c r="K219" s="232"/>
      <c r="L219" s="232"/>
      <c r="M219" s="232"/>
      <c r="N219" s="412"/>
      <c r="P219" s="231"/>
      <c r="Q219" s="412"/>
      <c r="R219" s="425"/>
      <c r="S219" s="442"/>
      <c r="T219" s="283" t="str" cm="1">
        <f t="array" ref="T219">IF($B$9="","",_xlfn.IFS($B$9="PRESENCIAL",_xlfn.XLOOKUP($S219,DATA!$B$4:$B$8,DATA!$D$4:$D$8,"",0,),$B$9="VIRTUAL",_xlfn.XLOOKUP($S219,DATA!$G$4:$G$8,DATA!$I$4:$I$8,"",0),$B$9="DISTANCIA",_xlfn.XLOOKUP($S219,DATA!$L$4:$L$8,DATA!$N$4:$N$8,"",0)))</f>
        <v/>
      </c>
      <c r="U219" s="283" t="str" cm="1">
        <f t="array" ref="U219">IF($B$9="","",_xlfn.IFS($B$9="PRESENCIAL",_xlfn.XLOOKUP($S219,DATA!$B$4:$B$8,DATA!$E$4:$E$8,"",0,),$B$9="VIRTUAL",_xlfn.XLOOKUP($S219,DATA!$G$4:$G$8,DATA!$J$4:$J$8,"",0),$B$9="DISTANCIA",_xlfn.XLOOKUP($S219,DATA!$L$4:$L$8,DATA!$O$4:$O$8,"",0)))</f>
        <v/>
      </c>
      <c r="V219" s="261" t="str">
        <f t="shared" si="6"/>
        <v/>
      </c>
      <c r="W219" s="282"/>
      <c r="X219" s="282"/>
      <c r="Y219" s="282"/>
      <c r="Z219" s="282"/>
      <c r="AA219" s="282"/>
      <c r="AB219" s="284"/>
      <c r="AC219" s="262" t="str">
        <f>IF(AE219="","",COUNTIF($AE$1:AE219,AE219))</f>
        <v/>
      </c>
      <c r="AD219" s="261" t="str">
        <f>IF(J219='PLAN DE ESTUDIO'!$XFD$41,"",IF(AE219="","",AC219&amp;K219&amp;L219&amp;M219))</f>
        <v/>
      </c>
      <c r="AE219" s="261" t="str">
        <f>IF(J219='PLAN DE ESTUDIO'!$XFD$41,"",IF(AF219=1,K219&amp;L219&amp;M219,""))</f>
        <v/>
      </c>
      <c r="AF219" s="261">
        <f>COUNTIF($O$1:O219,$O219)</f>
        <v>0</v>
      </c>
      <c r="AG219" s="285" t="str">
        <f>IF(J219='PLAN DE ESTUDIO'!$XFD$41,"",IF(P219="TP","Teórico-Práctica",IF(P219="T","Teórico",IF(P219="P","Práctica",""))))</f>
        <v/>
      </c>
      <c r="AH219" s="234" t="str">
        <f t="shared" si="7"/>
        <v xml:space="preserve"> </v>
      </c>
    </row>
    <row r="220" spans="10:34" x14ac:dyDescent="0.3">
      <c r="J220" s="412"/>
      <c r="K220" s="232"/>
      <c r="L220" s="232"/>
      <c r="M220" s="232"/>
      <c r="N220" s="412"/>
      <c r="P220" s="231"/>
      <c r="Q220" s="412"/>
      <c r="R220" s="425"/>
      <c r="S220" s="442"/>
      <c r="T220" s="283" t="str" cm="1">
        <f t="array" ref="T220">IF($B$9="","",_xlfn.IFS($B$9="PRESENCIAL",_xlfn.XLOOKUP($S220,DATA!$B$4:$B$8,DATA!$D$4:$D$8,"",0,),$B$9="VIRTUAL",_xlfn.XLOOKUP($S220,DATA!$G$4:$G$8,DATA!$I$4:$I$8,"",0),$B$9="DISTANCIA",_xlfn.XLOOKUP($S220,DATA!$L$4:$L$8,DATA!$N$4:$N$8,"",0)))</f>
        <v/>
      </c>
      <c r="U220" s="283" t="str" cm="1">
        <f t="array" ref="U220">IF($B$9="","",_xlfn.IFS($B$9="PRESENCIAL",_xlfn.XLOOKUP($S220,DATA!$B$4:$B$8,DATA!$E$4:$E$8,"",0,),$B$9="VIRTUAL",_xlfn.XLOOKUP($S220,DATA!$G$4:$G$8,DATA!$J$4:$J$8,"",0),$B$9="DISTANCIA",_xlfn.XLOOKUP($S220,DATA!$L$4:$L$8,DATA!$O$4:$O$8,"",0)))</f>
        <v/>
      </c>
      <c r="V220" s="261" t="str">
        <f t="shared" si="6"/>
        <v/>
      </c>
      <c r="W220" s="282"/>
      <c r="X220" s="282"/>
      <c r="Y220" s="282"/>
      <c r="Z220" s="282"/>
      <c r="AA220" s="282"/>
      <c r="AB220" s="284"/>
      <c r="AC220" s="262" t="str">
        <f>IF(AE220="","",COUNTIF($AE$1:AE220,AE220))</f>
        <v/>
      </c>
      <c r="AD220" s="261" t="str">
        <f>IF(J220='PLAN DE ESTUDIO'!$XFD$41,"",IF(AE220="","",AC220&amp;K220&amp;L220&amp;M220))</f>
        <v/>
      </c>
      <c r="AE220" s="261" t="str">
        <f>IF(J220='PLAN DE ESTUDIO'!$XFD$41,"",IF(AF220=1,K220&amp;L220&amp;M220,""))</f>
        <v/>
      </c>
      <c r="AF220" s="261">
        <f>COUNTIF($O$1:O220,$O220)</f>
        <v>0</v>
      </c>
      <c r="AG220" s="285" t="str">
        <f>IF(J220='PLAN DE ESTUDIO'!$XFD$41,"",IF(P220="TP","Teórico-Práctica",IF(P220="T","Teórico",IF(P220="P","Práctica",""))))</f>
        <v/>
      </c>
      <c r="AH220" s="234" t="str">
        <f t="shared" si="7"/>
        <v xml:space="preserve"> </v>
      </c>
    </row>
    <row r="221" spans="10:34" x14ac:dyDescent="0.3">
      <c r="J221" s="412"/>
      <c r="K221" s="232"/>
      <c r="L221" s="232"/>
      <c r="M221" s="232"/>
      <c r="N221" s="412"/>
      <c r="P221" s="231"/>
      <c r="Q221" s="412"/>
      <c r="R221" s="425"/>
      <c r="S221" s="442"/>
      <c r="T221" s="283" t="str" cm="1">
        <f t="array" ref="T221">IF($B$9="","",_xlfn.IFS($B$9="PRESENCIAL",_xlfn.XLOOKUP($S221,DATA!$B$4:$B$8,DATA!$D$4:$D$8,"",0,),$B$9="VIRTUAL",_xlfn.XLOOKUP($S221,DATA!$G$4:$G$8,DATA!$I$4:$I$8,"",0),$B$9="DISTANCIA",_xlfn.XLOOKUP($S221,DATA!$L$4:$L$8,DATA!$N$4:$N$8,"",0)))</f>
        <v/>
      </c>
      <c r="U221" s="283" t="str" cm="1">
        <f t="array" ref="U221">IF($B$9="","",_xlfn.IFS($B$9="PRESENCIAL",_xlfn.XLOOKUP($S221,DATA!$B$4:$B$8,DATA!$E$4:$E$8,"",0,),$B$9="VIRTUAL",_xlfn.XLOOKUP($S221,DATA!$G$4:$G$8,DATA!$J$4:$J$8,"",0),$B$9="DISTANCIA",_xlfn.XLOOKUP($S221,DATA!$L$4:$L$8,DATA!$O$4:$O$8,"",0)))</f>
        <v/>
      </c>
      <c r="V221" s="261" t="str">
        <f t="shared" si="6"/>
        <v/>
      </c>
      <c r="W221" s="282"/>
      <c r="X221" s="282"/>
      <c r="Y221" s="282"/>
      <c r="Z221" s="282"/>
      <c r="AA221" s="282"/>
      <c r="AB221" s="284"/>
      <c r="AC221" s="262" t="str">
        <f>IF(AE221="","",COUNTIF($AE$1:AE221,AE221))</f>
        <v/>
      </c>
      <c r="AD221" s="261" t="str">
        <f>IF(J221='PLAN DE ESTUDIO'!$XFD$41,"",IF(AE221="","",AC221&amp;K221&amp;L221&amp;M221))</f>
        <v/>
      </c>
      <c r="AE221" s="261" t="str">
        <f>IF(J221='PLAN DE ESTUDIO'!$XFD$41,"",IF(AF221=1,K221&amp;L221&amp;M221,""))</f>
        <v/>
      </c>
      <c r="AF221" s="261">
        <f>COUNTIF($O$1:O221,$O221)</f>
        <v>0</v>
      </c>
      <c r="AG221" s="285" t="str">
        <f>IF(J221='PLAN DE ESTUDIO'!$XFD$41,"",IF(P221="TP","Teórico-Práctica",IF(P221="T","Teórico",IF(P221="P","Práctica",""))))</f>
        <v/>
      </c>
      <c r="AH221" s="234" t="str">
        <f t="shared" si="7"/>
        <v xml:space="preserve"> </v>
      </c>
    </row>
    <row r="222" spans="10:34" x14ac:dyDescent="0.3">
      <c r="J222" s="412"/>
      <c r="K222" s="232"/>
      <c r="L222" s="232"/>
      <c r="M222" s="232"/>
      <c r="N222" s="412"/>
      <c r="P222" s="231"/>
      <c r="Q222" s="412"/>
      <c r="R222" s="425"/>
      <c r="S222" s="442"/>
      <c r="T222" s="283" t="str" cm="1">
        <f t="array" ref="T222">IF($B$9="","",_xlfn.IFS($B$9="PRESENCIAL",_xlfn.XLOOKUP($S222,DATA!$B$4:$B$8,DATA!$D$4:$D$8,"",0,),$B$9="VIRTUAL",_xlfn.XLOOKUP($S222,DATA!$G$4:$G$8,DATA!$I$4:$I$8,"",0),$B$9="DISTANCIA",_xlfn.XLOOKUP($S222,DATA!$L$4:$L$8,DATA!$N$4:$N$8,"",0)))</f>
        <v/>
      </c>
      <c r="U222" s="283" t="str" cm="1">
        <f t="array" ref="U222">IF($B$9="","",_xlfn.IFS($B$9="PRESENCIAL",_xlfn.XLOOKUP($S222,DATA!$B$4:$B$8,DATA!$E$4:$E$8,"",0,),$B$9="VIRTUAL",_xlfn.XLOOKUP($S222,DATA!$G$4:$G$8,DATA!$J$4:$J$8,"",0),$B$9="DISTANCIA",_xlfn.XLOOKUP($S222,DATA!$L$4:$L$8,DATA!$O$4:$O$8,"",0)))</f>
        <v/>
      </c>
      <c r="V222" s="261" t="str">
        <f t="shared" si="6"/>
        <v/>
      </c>
      <c r="W222" s="282"/>
      <c r="X222" s="282"/>
      <c r="Y222" s="282"/>
      <c r="Z222" s="282"/>
      <c r="AA222" s="282"/>
      <c r="AB222" s="284"/>
      <c r="AC222" s="262" t="str">
        <f>IF(AE222="","",COUNTIF($AE$1:AE222,AE222))</f>
        <v/>
      </c>
      <c r="AD222" s="261" t="str">
        <f>IF(J222='PLAN DE ESTUDIO'!$XFD$41,"",IF(AE222="","",AC222&amp;K222&amp;L222&amp;M222))</f>
        <v/>
      </c>
      <c r="AE222" s="261" t="str">
        <f>IF(J222='PLAN DE ESTUDIO'!$XFD$41,"",IF(AF222=1,K222&amp;L222&amp;M222,""))</f>
        <v/>
      </c>
      <c r="AF222" s="261">
        <f>COUNTIF($O$1:O222,$O222)</f>
        <v>0</v>
      </c>
      <c r="AG222" s="285" t="str">
        <f>IF(J222='PLAN DE ESTUDIO'!$XFD$41,"",IF(P222="TP","Teórico-Práctica",IF(P222="T","Teórico",IF(P222="P","Práctica",""))))</f>
        <v/>
      </c>
      <c r="AH222" s="234" t="str">
        <f t="shared" si="7"/>
        <v xml:space="preserve"> </v>
      </c>
    </row>
    <row r="223" spans="10:34" x14ac:dyDescent="0.3">
      <c r="J223" s="412"/>
      <c r="K223" s="232"/>
      <c r="L223" s="232"/>
      <c r="M223" s="232"/>
      <c r="N223" s="412"/>
      <c r="P223" s="231"/>
      <c r="Q223" s="412"/>
      <c r="R223" s="425"/>
      <c r="S223" s="442"/>
      <c r="T223" s="283" t="str" cm="1">
        <f t="array" ref="T223">IF($B$9="","",_xlfn.IFS($B$9="PRESENCIAL",_xlfn.XLOOKUP($S223,DATA!$B$4:$B$8,DATA!$D$4:$D$8,"",0,),$B$9="VIRTUAL",_xlfn.XLOOKUP($S223,DATA!$G$4:$G$8,DATA!$I$4:$I$8,"",0),$B$9="DISTANCIA",_xlfn.XLOOKUP($S223,DATA!$L$4:$L$8,DATA!$N$4:$N$8,"",0)))</f>
        <v/>
      </c>
      <c r="U223" s="283" t="str" cm="1">
        <f t="array" ref="U223">IF($B$9="","",_xlfn.IFS($B$9="PRESENCIAL",_xlfn.XLOOKUP($S223,DATA!$B$4:$B$8,DATA!$E$4:$E$8,"",0,),$B$9="VIRTUAL",_xlfn.XLOOKUP($S223,DATA!$G$4:$G$8,DATA!$J$4:$J$8,"",0),$B$9="DISTANCIA",_xlfn.XLOOKUP($S223,DATA!$L$4:$L$8,DATA!$O$4:$O$8,"",0)))</f>
        <v/>
      </c>
      <c r="V223" s="261" t="str">
        <f t="shared" si="6"/>
        <v/>
      </c>
      <c r="W223" s="282"/>
      <c r="X223" s="282"/>
      <c r="Y223" s="282"/>
      <c r="Z223" s="282"/>
      <c r="AA223" s="282"/>
      <c r="AB223" s="284"/>
      <c r="AC223" s="262" t="str">
        <f>IF(AE223="","",COUNTIF($AE$1:AE223,AE223))</f>
        <v/>
      </c>
      <c r="AD223" s="261" t="str">
        <f>IF(J223='PLAN DE ESTUDIO'!$XFD$41,"",IF(AE223="","",AC223&amp;K223&amp;L223&amp;M223))</f>
        <v/>
      </c>
      <c r="AE223" s="261" t="str">
        <f>IF(J223='PLAN DE ESTUDIO'!$XFD$41,"",IF(AF223=1,K223&amp;L223&amp;M223,""))</f>
        <v/>
      </c>
      <c r="AF223" s="261">
        <f>COUNTIF($O$1:O223,$O223)</f>
        <v>0</v>
      </c>
      <c r="AG223" s="285" t="str">
        <f>IF(J223='PLAN DE ESTUDIO'!$XFD$41,"",IF(P223="TP","Teórico-Práctica",IF(P223="T","Teórico",IF(P223="P","Práctica",""))))</f>
        <v/>
      </c>
      <c r="AH223" s="234" t="str">
        <f t="shared" si="7"/>
        <v xml:space="preserve"> </v>
      </c>
    </row>
    <row r="224" spans="10:34" x14ac:dyDescent="0.3">
      <c r="J224" s="412"/>
      <c r="K224" s="232"/>
      <c r="L224" s="232"/>
      <c r="M224" s="232"/>
      <c r="N224" s="412"/>
      <c r="P224" s="231"/>
      <c r="Q224" s="412"/>
      <c r="R224" s="425"/>
      <c r="S224" s="442"/>
      <c r="T224" s="283" t="str" cm="1">
        <f t="array" ref="T224">IF($B$9="","",_xlfn.IFS($B$9="PRESENCIAL",_xlfn.XLOOKUP($S224,DATA!$B$4:$B$8,DATA!$D$4:$D$8,"",0,),$B$9="VIRTUAL",_xlfn.XLOOKUP($S224,DATA!$G$4:$G$8,DATA!$I$4:$I$8,"",0),$B$9="DISTANCIA",_xlfn.XLOOKUP($S224,DATA!$L$4:$L$8,DATA!$N$4:$N$8,"",0)))</f>
        <v/>
      </c>
      <c r="U224" s="283" t="str" cm="1">
        <f t="array" ref="U224">IF($B$9="","",_xlfn.IFS($B$9="PRESENCIAL",_xlfn.XLOOKUP($S224,DATA!$B$4:$B$8,DATA!$E$4:$E$8,"",0,),$B$9="VIRTUAL",_xlfn.XLOOKUP($S224,DATA!$G$4:$G$8,DATA!$J$4:$J$8,"",0),$B$9="DISTANCIA",_xlfn.XLOOKUP($S224,DATA!$L$4:$L$8,DATA!$O$4:$O$8,"",0)))</f>
        <v/>
      </c>
      <c r="V224" s="261" t="str">
        <f t="shared" si="6"/>
        <v/>
      </c>
      <c r="W224" s="282"/>
      <c r="X224" s="282"/>
      <c r="Y224" s="282"/>
      <c r="Z224" s="282"/>
      <c r="AA224" s="282"/>
      <c r="AB224" s="284"/>
      <c r="AC224" s="262" t="str">
        <f>IF(AE224="","",COUNTIF($AE$1:AE224,AE224))</f>
        <v/>
      </c>
      <c r="AD224" s="261" t="str">
        <f>IF(J224='PLAN DE ESTUDIO'!$XFD$41,"",IF(AE224="","",AC224&amp;K224&amp;L224&amp;M224))</f>
        <v/>
      </c>
      <c r="AE224" s="261" t="str">
        <f>IF(J224='PLAN DE ESTUDIO'!$XFD$41,"",IF(AF224=1,K224&amp;L224&amp;M224,""))</f>
        <v/>
      </c>
      <c r="AF224" s="261">
        <f>COUNTIF($O$1:O224,$O224)</f>
        <v>0</v>
      </c>
      <c r="AG224" s="285" t="str">
        <f>IF(J224='PLAN DE ESTUDIO'!$XFD$41,"",IF(P224="TP","Teórico-Práctica",IF(P224="T","Teórico",IF(P224="P","Práctica",""))))</f>
        <v/>
      </c>
      <c r="AH224" s="234" t="str">
        <f t="shared" si="7"/>
        <v xml:space="preserve"> </v>
      </c>
    </row>
    <row r="225" spans="10:34" x14ac:dyDescent="0.3">
      <c r="J225" s="412"/>
      <c r="K225" s="232"/>
      <c r="L225" s="232"/>
      <c r="M225" s="232"/>
      <c r="N225" s="412"/>
      <c r="P225" s="231"/>
      <c r="Q225" s="412"/>
      <c r="R225" s="425"/>
      <c r="S225" s="442"/>
      <c r="T225" s="283" t="str" cm="1">
        <f t="array" ref="T225">IF($B$9="","",_xlfn.IFS($B$9="PRESENCIAL",_xlfn.XLOOKUP($S225,DATA!$B$4:$B$8,DATA!$D$4:$D$8,"",0,),$B$9="VIRTUAL",_xlfn.XLOOKUP($S225,DATA!$G$4:$G$8,DATA!$I$4:$I$8,"",0),$B$9="DISTANCIA",_xlfn.XLOOKUP($S225,DATA!$L$4:$L$8,DATA!$N$4:$N$8,"",0)))</f>
        <v/>
      </c>
      <c r="U225" s="283" t="str" cm="1">
        <f t="array" ref="U225">IF($B$9="","",_xlfn.IFS($B$9="PRESENCIAL",_xlfn.XLOOKUP($S225,DATA!$B$4:$B$8,DATA!$E$4:$E$8,"",0,),$B$9="VIRTUAL",_xlfn.XLOOKUP($S225,DATA!$G$4:$G$8,DATA!$J$4:$J$8,"",0),$B$9="DISTANCIA",_xlfn.XLOOKUP($S225,DATA!$L$4:$L$8,DATA!$O$4:$O$8,"",0)))</f>
        <v/>
      </c>
      <c r="V225" s="261" t="str">
        <f t="shared" si="6"/>
        <v/>
      </c>
      <c r="W225" s="282"/>
      <c r="X225" s="282"/>
      <c r="Y225" s="282"/>
      <c r="Z225" s="282"/>
      <c r="AA225" s="282"/>
      <c r="AB225" s="284"/>
      <c r="AC225" s="262" t="str">
        <f>IF(AE225="","",COUNTIF($AE$1:AE225,AE225))</f>
        <v/>
      </c>
      <c r="AD225" s="261" t="str">
        <f>IF(J225='PLAN DE ESTUDIO'!$XFD$41,"",IF(AE225="","",AC225&amp;K225&amp;L225&amp;M225))</f>
        <v/>
      </c>
      <c r="AE225" s="261" t="str">
        <f>IF(J225='PLAN DE ESTUDIO'!$XFD$41,"",IF(AF225=1,K225&amp;L225&amp;M225,""))</f>
        <v/>
      </c>
      <c r="AF225" s="261">
        <f>COUNTIF($O$1:O225,$O225)</f>
        <v>0</v>
      </c>
      <c r="AG225" s="285" t="str">
        <f>IF(J225='PLAN DE ESTUDIO'!$XFD$41,"",IF(P225="TP","Teórico-Práctica",IF(P225="T","Teórico",IF(P225="P","Práctica",""))))</f>
        <v/>
      </c>
      <c r="AH225" s="234" t="str">
        <f t="shared" si="7"/>
        <v xml:space="preserve"> </v>
      </c>
    </row>
    <row r="226" spans="10:34" x14ac:dyDescent="0.3">
      <c r="J226" s="412"/>
      <c r="K226" s="232"/>
      <c r="L226" s="232"/>
      <c r="M226" s="232"/>
      <c r="N226" s="412"/>
      <c r="P226" s="231"/>
      <c r="Q226" s="412"/>
      <c r="R226" s="425"/>
      <c r="S226" s="442"/>
      <c r="T226" s="283" t="str" cm="1">
        <f t="array" ref="T226">IF($B$9="","",_xlfn.IFS($B$9="PRESENCIAL",_xlfn.XLOOKUP($S226,DATA!$B$4:$B$8,DATA!$D$4:$D$8,"",0,),$B$9="VIRTUAL",_xlfn.XLOOKUP($S226,DATA!$G$4:$G$8,DATA!$I$4:$I$8,"",0),$B$9="DISTANCIA",_xlfn.XLOOKUP($S226,DATA!$L$4:$L$8,DATA!$N$4:$N$8,"",0)))</f>
        <v/>
      </c>
      <c r="U226" s="283" t="str" cm="1">
        <f t="array" ref="U226">IF($B$9="","",_xlfn.IFS($B$9="PRESENCIAL",_xlfn.XLOOKUP($S226,DATA!$B$4:$B$8,DATA!$E$4:$E$8,"",0,),$B$9="VIRTUAL",_xlfn.XLOOKUP($S226,DATA!$G$4:$G$8,DATA!$J$4:$J$8,"",0),$B$9="DISTANCIA",_xlfn.XLOOKUP($S226,DATA!$L$4:$L$8,DATA!$O$4:$O$8,"",0)))</f>
        <v/>
      </c>
      <c r="V226" s="261" t="str">
        <f t="shared" si="6"/>
        <v/>
      </c>
      <c r="W226" s="282"/>
      <c r="X226" s="282"/>
      <c r="Y226" s="282"/>
      <c r="Z226" s="282"/>
      <c r="AA226" s="282"/>
      <c r="AB226" s="284"/>
      <c r="AC226" s="262" t="str">
        <f>IF(AE226="","",COUNTIF($AE$1:AE226,AE226))</f>
        <v/>
      </c>
      <c r="AD226" s="261" t="str">
        <f>IF(J226='PLAN DE ESTUDIO'!$XFD$41,"",IF(AE226="","",AC226&amp;K226&amp;L226&amp;M226))</f>
        <v/>
      </c>
      <c r="AE226" s="261" t="str">
        <f>IF(J226='PLAN DE ESTUDIO'!$XFD$41,"",IF(AF226=1,K226&amp;L226&amp;M226,""))</f>
        <v/>
      </c>
      <c r="AF226" s="261">
        <f>COUNTIF($O$1:O226,$O226)</f>
        <v>0</v>
      </c>
      <c r="AG226" s="285" t="str">
        <f>IF(J226='PLAN DE ESTUDIO'!$XFD$41,"",IF(P226="TP","Teórico-Práctica",IF(P226="T","Teórico",IF(P226="P","Práctica",""))))</f>
        <v/>
      </c>
      <c r="AH226" s="234" t="str">
        <f t="shared" si="7"/>
        <v xml:space="preserve"> </v>
      </c>
    </row>
    <row r="227" spans="10:34" x14ac:dyDescent="0.3">
      <c r="J227" s="412"/>
      <c r="K227" s="232"/>
      <c r="L227" s="232"/>
      <c r="M227" s="232"/>
      <c r="N227" s="412"/>
      <c r="P227" s="231"/>
      <c r="Q227" s="412"/>
      <c r="R227" s="425"/>
      <c r="S227" s="442"/>
      <c r="T227" s="283" t="str" cm="1">
        <f t="array" ref="T227">IF($B$9="","",_xlfn.IFS($B$9="PRESENCIAL",_xlfn.XLOOKUP($S227,DATA!$B$4:$B$8,DATA!$D$4:$D$8,"",0,),$B$9="VIRTUAL",_xlfn.XLOOKUP($S227,DATA!$G$4:$G$8,DATA!$I$4:$I$8,"",0),$B$9="DISTANCIA",_xlfn.XLOOKUP($S227,DATA!$L$4:$L$8,DATA!$N$4:$N$8,"",0)))</f>
        <v/>
      </c>
      <c r="U227" s="283" t="str" cm="1">
        <f t="array" ref="U227">IF($B$9="","",_xlfn.IFS($B$9="PRESENCIAL",_xlfn.XLOOKUP($S227,DATA!$B$4:$B$8,DATA!$E$4:$E$8,"",0,),$B$9="VIRTUAL",_xlfn.XLOOKUP($S227,DATA!$G$4:$G$8,DATA!$J$4:$J$8,"",0),$B$9="DISTANCIA",_xlfn.XLOOKUP($S227,DATA!$L$4:$L$8,DATA!$O$4:$O$8,"",0)))</f>
        <v/>
      </c>
      <c r="V227" s="261" t="str">
        <f t="shared" si="6"/>
        <v/>
      </c>
      <c r="W227" s="282"/>
      <c r="X227" s="282"/>
      <c r="Y227" s="282"/>
      <c r="Z227" s="282"/>
      <c r="AA227" s="282"/>
      <c r="AB227" s="284"/>
      <c r="AC227" s="262" t="str">
        <f>IF(AE227="","",COUNTIF($AE$1:AE227,AE227))</f>
        <v/>
      </c>
      <c r="AD227" s="261" t="str">
        <f>IF(J227='PLAN DE ESTUDIO'!$XFD$41,"",IF(AE227="","",AC227&amp;K227&amp;L227&amp;M227))</f>
        <v/>
      </c>
      <c r="AE227" s="261" t="str">
        <f>IF(J227='PLAN DE ESTUDIO'!$XFD$41,"",IF(AF227=1,K227&amp;L227&amp;M227,""))</f>
        <v/>
      </c>
      <c r="AF227" s="261">
        <f>COUNTIF($O$1:O227,$O227)</f>
        <v>0</v>
      </c>
      <c r="AG227" s="285" t="str">
        <f>IF(J227='PLAN DE ESTUDIO'!$XFD$41,"",IF(P227="TP","Teórico-Práctica",IF(P227="T","Teórico",IF(P227="P","Práctica",""))))</f>
        <v/>
      </c>
      <c r="AH227" s="234" t="str">
        <f t="shared" si="7"/>
        <v xml:space="preserve"> </v>
      </c>
    </row>
    <row r="228" spans="10:34" x14ac:dyDescent="0.3">
      <c r="J228" s="412"/>
      <c r="K228" s="232"/>
      <c r="L228" s="232"/>
      <c r="M228" s="232"/>
      <c r="N228" s="412"/>
      <c r="P228" s="231"/>
      <c r="Q228" s="412"/>
      <c r="R228" s="425"/>
      <c r="S228" s="442"/>
      <c r="T228" s="283" t="str" cm="1">
        <f t="array" ref="T228">IF($B$9="","",_xlfn.IFS($B$9="PRESENCIAL",_xlfn.XLOOKUP($S228,DATA!$B$4:$B$8,DATA!$D$4:$D$8,"",0,),$B$9="VIRTUAL",_xlfn.XLOOKUP($S228,DATA!$G$4:$G$8,DATA!$I$4:$I$8,"",0),$B$9="DISTANCIA",_xlfn.XLOOKUP($S228,DATA!$L$4:$L$8,DATA!$N$4:$N$8,"",0)))</f>
        <v/>
      </c>
      <c r="U228" s="283" t="str" cm="1">
        <f t="array" ref="U228">IF($B$9="","",_xlfn.IFS($B$9="PRESENCIAL",_xlfn.XLOOKUP($S228,DATA!$B$4:$B$8,DATA!$E$4:$E$8,"",0,),$B$9="VIRTUAL",_xlfn.XLOOKUP($S228,DATA!$G$4:$G$8,DATA!$J$4:$J$8,"",0),$B$9="DISTANCIA",_xlfn.XLOOKUP($S228,DATA!$L$4:$L$8,DATA!$O$4:$O$8,"",0)))</f>
        <v/>
      </c>
      <c r="V228" s="261" t="str">
        <f t="shared" si="6"/>
        <v/>
      </c>
      <c r="W228" s="282"/>
      <c r="X228" s="282"/>
      <c r="Y228" s="282"/>
      <c r="Z228" s="282"/>
      <c r="AA228" s="282"/>
      <c r="AB228" s="284"/>
      <c r="AC228" s="262" t="str">
        <f>IF(AE228="","",COUNTIF($AE$1:AE228,AE228))</f>
        <v/>
      </c>
      <c r="AD228" s="261" t="str">
        <f>IF(J228='PLAN DE ESTUDIO'!$XFD$41,"",IF(AE228="","",AC228&amp;K228&amp;L228&amp;M228))</f>
        <v/>
      </c>
      <c r="AE228" s="261" t="str">
        <f>IF(J228='PLAN DE ESTUDIO'!$XFD$41,"",IF(AF228=1,K228&amp;L228&amp;M228,""))</f>
        <v/>
      </c>
      <c r="AF228" s="261">
        <f>COUNTIF($O$1:O228,$O228)</f>
        <v>0</v>
      </c>
      <c r="AG228" s="285" t="str">
        <f>IF(J228='PLAN DE ESTUDIO'!$XFD$41,"",IF(P228="TP","Teórico-Práctica",IF(P228="T","Teórico",IF(P228="P","Práctica",""))))</f>
        <v/>
      </c>
      <c r="AH228" s="234" t="str">
        <f t="shared" si="7"/>
        <v xml:space="preserve"> </v>
      </c>
    </row>
    <row r="229" spans="10:34" x14ac:dyDescent="0.3">
      <c r="J229" s="412"/>
      <c r="K229" s="232"/>
      <c r="L229" s="232"/>
      <c r="M229" s="232"/>
      <c r="N229" s="412"/>
      <c r="P229" s="231"/>
      <c r="Q229" s="412"/>
      <c r="R229" s="425"/>
      <c r="S229" s="442"/>
      <c r="T229" s="283" t="str" cm="1">
        <f t="array" ref="T229">IF($B$9="","",_xlfn.IFS($B$9="PRESENCIAL",_xlfn.XLOOKUP($S229,DATA!$B$4:$B$8,DATA!$D$4:$D$8,"",0,),$B$9="VIRTUAL",_xlfn.XLOOKUP($S229,DATA!$G$4:$G$8,DATA!$I$4:$I$8,"",0),$B$9="DISTANCIA",_xlfn.XLOOKUP($S229,DATA!$L$4:$L$8,DATA!$N$4:$N$8,"",0)))</f>
        <v/>
      </c>
      <c r="U229" s="283" t="str" cm="1">
        <f t="array" ref="U229">IF($B$9="","",_xlfn.IFS($B$9="PRESENCIAL",_xlfn.XLOOKUP($S229,DATA!$B$4:$B$8,DATA!$E$4:$E$8,"",0,),$B$9="VIRTUAL",_xlfn.XLOOKUP($S229,DATA!$G$4:$G$8,DATA!$J$4:$J$8,"",0),$B$9="DISTANCIA",_xlfn.XLOOKUP($S229,DATA!$L$4:$L$8,DATA!$O$4:$O$8,"",0)))</f>
        <v/>
      </c>
      <c r="V229" s="261" t="str">
        <f t="shared" si="6"/>
        <v/>
      </c>
      <c r="W229" s="282"/>
      <c r="X229" s="282"/>
      <c r="Y229" s="282"/>
      <c r="Z229" s="282"/>
      <c r="AA229" s="282"/>
      <c r="AB229" s="284"/>
      <c r="AC229" s="262" t="str">
        <f>IF(AE229="","",COUNTIF($AE$1:AE229,AE229))</f>
        <v/>
      </c>
      <c r="AD229" s="261" t="str">
        <f>IF(J229='PLAN DE ESTUDIO'!$XFD$41,"",IF(AE229="","",AC229&amp;K229&amp;L229&amp;M229))</f>
        <v/>
      </c>
      <c r="AE229" s="261" t="str">
        <f>IF(J229='PLAN DE ESTUDIO'!$XFD$41,"",IF(AF229=1,K229&amp;L229&amp;M229,""))</f>
        <v/>
      </c>
      <c r="AF229" s="261">
        <f>COUNTIF($O$1:O229,$O229)</f>
        <v>0</v>
      </c>
      <c r="AG229" s="285" t="str">
        <f>IF(J229='PLAN DE ESTUDIO'!$XFD$41,"",IF(P229="TP","Teórico-Práctica",IF(P229="T","Teórico",IF(P229="P","Práctica",""))))</f>
        <v/>
      </c>
      <c r="AH229" s="234" t="str">
        <f t="shared" si="7"/>
        <v xml:space="preserve"> </v>
      </c>
    </row>
    <row r="230" spans="10:34" x14ac:dyDescent="0.3">
      <c r="J230" s="412"/>
      <c r="K230" s="232"/>
      <c r="L230" s="232"/>
      <c r="M230" s="232"/>
      <c r="N230" s="412"/>
      <c r="P230" s="231"/>
      <c r="Q230" s="412"/>
      <c r="R230" s="425"/>
      <c r="S230" s="442"/>
      <c r="T230" s="283" t="str" cm="1">
        <f t="array" ref="T230">IF($B$9="","",_xlfn.IFS($B$9="PRESENCIAL",_xlfn.XLOOKUP($S230,DATA!$B$4:$B$8,DATA!$D$4:$D$8,"",0,),$B$9="VIRTUAL",_xlfn.XLOOKUP($S230,DATA!$G$4:$G$8,DATA!$I$4:$I$8,"",0),$B$9="DISTANCIA",_xlfn.XLOOKUP($S230,DATA!$L$4:$L$8,DATA!$N$4:$N$8,"",0)))</f>
        <v/>
      </c>
      <c r="U230" s="283" t="str" cm="1">
        <f t="array" ref="U230">IF($B$9="","",_xlfn.IFS($B$9="PRESENCIAL",_xlfn.XLOOKUP($S230,DATA!$B$4:$B$8,DATA!$E$4:$E$8,"",0,),$B$9="VIRTUAL",_xlfn.XLOOKUP($S230,DATA!$G$4:$G$8,DATA!$J$4:$J$8,"",0),$B$9="DISTANCIA",_xlfn.XLOOKUP($S230,DATA!$L$4:$L$8,DATA!$O$4:$O$8,"",0)))</f>
        <v/>
      </c>
      <c r="V230" s="261" t="str">
        <f t="shared" si="6"/>
        <v/>
      </c>
      <c r="W230" s="282"/>
      <c r="X230" s="282"/>
      <c r="Y230" s="282"/>
      <c r="Z230" s="282"/>
      <c r="AA230" s="282"/>
      <c r="AB230" s="284"/>
      <c r="AC230" s="262" t="str">
        <f>IF(AE230="","",COUNTIF($AE$1:AE230,AE230))</f>
        <v/>
      </c>
      <c r="AD230" s="261" t="str">
        <f>IF(J230='PLAN DE ESTUDIO'!$XFD$41,"",IF(AE230="","",AC230&amp;K230&amp;L230&amp;M230))</f>
        <v/>
      </c>
      <c r="AE230" s="261" t="str">
        <f>IF(J230='PLAN DE ESTUDIO'!$XFD$41,"",IF(AF230=1,K230&amp;L230&amp;M230,""))</f>
        <v/>
      </c>
      <c r="AF230" s="261">
        <f>COUNTIF($O$1:O230,$O230)</f>
        <v>0</v>
      </c>
      <c r="AG230" s="285" t="str">
        <f>IF(J230='PLAN DE ESTUDIO'!$XFD$41,"",IF(P230="TP","Teórico-Práctica",IF(P230="T","Teórico",IF(P230="P","Práctica",""))))</f>
        <v/>
      </c>
      <c r="AH230" s="234" t="str">
        <f t="shared" si="7"/>
        <v xml:space="preserve"> </v>
      </c>
    </row>
    <row r="231" spans="10:34" x14ac:dyDescent="0.3">
      <c r="J231" s="412"/>
      <c r="K231" s="232"/>
      <c r="L231" s="232"/>
      <c r="M231" s="232"/>
      <c r="N231" s="412"/>
      <c r="P231" s="231"/>
      <c r="Q231" s="412"/>
      <c r="R231" s="425"/>
      <c r="S231" s="442"/>
      <c r="T231" s="283" t="str" cm="1">
        <f t="array" ref="T231">IF($B$9="","",_xlfn.IFS($B$9="PRESENCIAL",_xlfn.XLOOKUP($S231,DATA!$B$4:$B$8,DATA!$D$4:$D$8,"",0,),$B$9="VIRTUAL",_xlfn.XLOOKUP($S231,DATA!$G$4:$G$8,DATA!$I$4:$I$8,"",0),$B$9="DISTANCIA",_xlfn.XLOOKUP($S231,DATA!$L$4:$L$8,DATA!$N$4:$N$8,"",0)))</f>
        <v/>
      </c>
      <c r="U231" s="283" t="str" cm="1">
        <f t="array" ref="U231">IF($B$9="","",_xlfn.IFS($B$9="PRESENCIAL",_xlfn.XLOOKUP($S231,DATA!$B$4:$B$8,DATA!$E$4:$E$8,"",0,),$B$9="VIRTUAL",_xlfn.XLOOKUP($S231,DATA!$G$4:$G$8,DATA!$J$4:$J$8,"",0),$B$9="DISTANCIA",_xlfn.XLOOKUP($S231,DATA!$L$4:$L$8,DATA!$O$4:$O$8,"",0)))</f>
        <v/>
      </c>
      <c r="V231" s="261" t="str">
        <f t="shared" si="6"/>
        <v/>
      </c>
      <c r="W231" s="282"/>
      <c r="X231" s="282"/>
      <c r="Y231" s="282"/>
      <c r="Z231" s="282"/>
      <c r="AA231" s="282"/>
      <c r="AB231" s="284"/>
      <c r="AC231" s="262" t="str">
        <f>IF(AE231="","",COUNTIF($AE$1:AE231,AE231))</f>
        <v/>
      </c>
      <c r="AD231" s="261" t="str">
        <f>IF(J231='PLAN DE ESTUDIO'!$XFD$41,"",IF(AE231="","",AC231&amp;K231&amp;L231&amp;M231))</f>
        <v/>
      </c>
      <c r="AE231" s="261" t="str">
        <f>IF(J231='PLAN DE ESTUDIO'!$XFD$41,"",IF(AF231=1,K231&amp;L231&amp;M231,""))</f>
        <v/>
      </c>
      <c r="AF231" s="261">
        <f>COUNTIF($O$1:O231,$O231)</f>
        <v>0</v>
      </c>
      <c r="AG231" s="285" t="str">
        <f>IF(J231='PLAN DE ESTUDIO'!$XFD$41,"",IF(P231="TP","Teórico-Práctica",IF(P231="T","Teórico",IF(P231="P","Práctica",""))))</f>
        <v/>
      </c>
      <c r="AH231" s="234" t="str">
        <f t="shared" si="7"/>
        <v xml:space="preserve"> </v>
      </c>
    </row>
    <row r="232" spans="10:34" x14ac:dyDescent="0.3">
      <c r="J232" s="412"/>
      <c r="K232" s="232"/>
      <c r="L232" s="232"/>
      <c r="M232" s="232"/>
      <c r="N232" s="412"/>
      <c r="P232" s="231"/>
      <c r="Q232" s="412"/>
      <c r="R232" s="425"/>
      <c r="S232" s="442"/>
      <c r="T232" s="283" t="str" cm="1">
        <f t="array" ref="T232">IF($B$9="","",_xlfn.IFS($B$9="PRESENCIAL",_xlfn.XLOOKUP($S232,DATA!$B$4:$B$8,DATA!$D$4:$D$8,"",0,),$B$9="VIRTUAL",_xlfn.XLOOKUP($S232,DATA!$G$4:$G$8,DATA!$I$4:$I$8,"",0),$B$9="DISTANCIA",_xlfn.XLOOKUP($S232,DATA!$L$4:$L$8,DATA!$N$4:$N$8,"",0)))</f>
        <v/>
      </c>
      <c r="U232" s="283" t="str" cm="1">
        <f t="array" ref="U232">IF($B$9="","",_xlfn.IFS($B$9="PRESENCIAL",_xlfn.XLOOKUP($S232,DATA!$B$4:$B$8,DATA!$E$4:$E$8,"",0,),$B$9="VIRTUAL",_xlfn.XLOOKUP($S232,DATA!$G$4:$G$8,DATA!$J$4:$J$8,"",0),$B$9="DISTANCIA",_xlfn.XLOOKUP($S232,DATA!$L$4:$L$8,DATA!$O$4:$O$8,"",0)))</f>
        <v/>
      </c>
      <c r="V232" s="261" t="str">
        <f t="shared" ref="V232:V295" si="8">IF($U232="","",T232+U232)</f>
        <v/>
      </c>
      <c r="W232" s="282"/>
      <c r="X232" s="282"/>
      <c r="Y232" s="282"/>
      <c r="Z232" s="282"/>
      <c r="AA232" s="282"/>
      <c r="AB232" s="284"/>
      <c r="AC232" s="262" t="str">
        <f>IF(AE232="","",COUNTIF($AE$1:AE232,AE232))</f>
        <v/>
      </c>
      <c r="AD232" s="261" t="str">
        <f>IF(J232='PLAN DE ESTUDIO'!$XFD$41,"",IF(AE232="","",AC232&amp;K232&amp;L232&amp;M232))</f>
        <v/>
      </c>
      <c r="AE232" s="261" t="str">
        <f>IF(J232='PLAN DE ESTUDIO'!$XFD$41,"",IF(AF232=1,K232&amp;L232&amp;M232,""))</f>
        <v/>
      </c>
      <c r="AF232" s="261">
        <f>COUNTIF($O$1:O232,$O232)</f>
        <v>0</v>
      </c>
      <c r="AG232" s="285" t="str">
        <f>IF(J232='PLAN DE ESTUDIO'!$XFD$41,"",IF(P232="TP","Teórico-Práctica",IF(P232="T","Teórico",IF(P232="P","Práctica",""))))</f>
        <v/>
      </c>
      <c r="AH232" s="234" t="str">
        <f t="shared" ref="AH232:AH295" si="9">IF(AC232&lt;&gt;1," ",S232)</f>
        <v xml:space="preserve"> </v>
      </c>
    </row>
    <row r="233" spans="10:34" x14ac:dyDescent="0.3">
      <c r="J233" s="412"/>
      <c r="K233" s="232"/>
      <c r="L233" s="232"/>
      <c r="M233" s="232"/>
      <c r="N233" s="412"/>
      <c r="P233" s="231"/>
      <c r="Q233" s="412"/>
      <c r="R233" s="425"/>
      <c r="S233" s="442"/>
      <c r="T233" s="283" t="str" cm="1">
        <f t="array" ref="T233">IF($B$9="","",_xlfn.IFS($B$9="PRESENCIAL",_xlfn.XLOOKUP($S233,DATA!$B$4:$B$8,DATA!$D$4:$D$8,"",0,),$B$9="VIRTUAL",_xlfn.XLOOKUP($S233,DATA!$G$4:$G$8,DATA!$I$4:$I$8,"",0),$B$9="DISTANCIA",_xlfn.XLOOKUP($S233,DATA!$L$4:$L$8,DATA!$N$4:$N$8,"",0)))</f>
        <v/>
      </c>
      <c r="U233" s="283" t="str" cm="1">
        <f t="array" ref="U233">IF($B$9="","",_xlfn.IFS($B$9="PRESENCIAL",_xlfn.XLOOKUP($S233,DATA!$B$4:$B$8,DATA!$E$4:$E$8,"",0,),$B$9="VIRTUAL",_xlfn.XLOOKUP($S233,DATA!$G$4:$G$8,DATA!$J$4:$J$8,"",0),$B$9="DISTANCIA",_xlfn.XLOOKUP($S233,DATA!$L$4:$L$8,DATA!$O$4:$O$8,"",0)))</f>
        <v/>
      </c>
      <c r="V233" s="261" t="str">
        <f t="shared" si="8"/>
        <v/>
      </c>
      <c r="W233" s="282"/>
      <c r="X233" s="282"/>
      <c r="Y233" s="282"/>
      <c r="Z233" s="282"/>
      <c r="AA233" s="282"/>
      <c r="AB233" s="284"/>
      <c r="AC233" s="262" t="str">
        <f>IF(AE233="","",COUNTIF($AE$1:AE233,AE233))</f>
        <v/>
      </c>
      <c r="AD233" s="261" t="str">
        <f>IF(J233='PLAN DE ESTUDIO'!$XFD$41,"",IF(AE233="","",AC233&amp;K233&amp;L233&amp;M233))</f>
        <v/>
      </c>
      <c r="AE233" s="261" t="str">
        <f>IF(J233='PLAN DE ESTUDIO'!$XFD$41,"",IF(AF233=1,K233&amp;L233&amp;M233,""))</f>
        <v/>
      </c>
      <c r="AF233" s="261">
        <f>COUNTIF($O$1:O233,$O233)</f>
        <v>0</v>
      </c>
      <c r="AG233" s="285" t="str">
        <f>IF(J233='PLAN DE ESTUDIO'!$XFD$41,"",IF(P233="TP","Teórico-Práctica",IF(P233="T","Teórico",IF(P233="P","Práctica",""))))</f>
        <v/>
      </c>
      <c r="AH233" s="234" t="str">
        <f t="shared" si="9"/>
        <v xml:space="preserve"> </v>
      </c>
    </row>
    <row r="234" spans="10:34" x14ac:dyDescent="0.3">
      <c r="J234" s="412"/>
      <c r="K234" s="232"/>
      <c r="L234" s="232"/>
      <c r="M234" s="232"/>
      <c r="N234" s="412"/>
      <c r="P234" s="231"/>
      <c r="Q234" s="412"/>
      <c r="R234" s="425"/>
      <c r="S234" s="442"/>
      <c r="T234" s="283" t="str" cm="1">
        <f t="array" ref="T234">IF($B$9="","",_xlfn.IFS($B$9="PRESENCIAL",_xlfn.XLOOKUP($S234,DATA!$B$4:$B$8,DATA!$D$4:$D$8,"",0,),$B$9="VIRTUAL",_xlfn.XLOOKUP($S234,DATA!$G$4:$G$8,DATA!$I$4:$I$8,"",0),$B$9="DISTANCIA",_xlfn.XLOOKUP($S234,DATA!$L$4:$L$8,DATA!$N$4:$N$8,"",0)))</f>
        <v/>
      </c>
      <c r="U234" s="283" t="str" cm="1">
        <f t="array" ref="U234">IF($B$9="","",_xlfn.IFS($B$9="PRESENCIAL",_xlfn.XLOOKUP($S234,DATA!$B$4:$B$8,DATA!$E$4:$E$8,"",0,),$B$9="VIRTUAL",_xlfn.XLOOKUP($S234,DATA!$G$4:$G$8,DATA!$J$4:$J$8,"",0),$B$9="DISTANCIA",_xlfn.XLOOKUP($S234,DATA!$L$4:$L$8,DATA!$O$4:$O$8,"",0)))</f>
        <v/>
      </c>
      <c r="V234" s="261" t="str">
        <f t="shared" si="8"/>
        <v/>
      </c>
      <c r="W234" s="282"/>
      <c r="X234" s="282"/>
      <c r="Y234" s="282"/>
      <c r="Z234" s="282"/>
      <c r="AA234" s="282"/>
      <c r="AB234" s="284"/>
      <c r="AC234" s="262" t="str">
        <f>IF(AE234="","",COUNTIF($AE$1:AE234,AE234))</f>
        <v/>
      </c>
      <c r="AD234" s="261" t="str">
        <f>IF(J234='PLAN DE ESTUDIO'!$XFD$41,"",IF(AE234="","",AC234&amp;K234&amp;L234&amp;M234))</f>
        <v/>
      </c>
      <c r="AE234" s="261" t="str">
        <f>IF(J234='PLAN DE ESTUDIO'!$XFD$41,"",IF(AF234=1,K234&amp;L234&amp;M234,""))</f>
        <v/>
      </c>
      <c r="AF234" s="261">
        <f>COUNTIF($O$1:O234,$O234)</f>
        <v>0</v>
      </c>
      <c r="AG234" s="285" t="str">
        <f>IF(J234='PLAN DE ESTUDIO'!$XFD$41,"",IF(P234="TP","Teórico-Práctica",IF(P234="T","Teórico",IF(P234="P","Práctica",""))))</f>
        <v/>
      </c>
      <c r="AH234" s="234" t="str">
        <f t="shared" si="9"/>
        <v xml:space="preserve"> </v>
      </c>
    </row>
    <row r="235" spans="10:34" x14ac:dyDescent="0.3">
      <c r="J235" s="412"/>
      <c r="K235" s="232"/>
      <c r="L235" s="232"/>
      <c r="M235" s="232"/>
      <c r="N235" s="412"/>
      <c r="P235" s="231"/>
      <c r="Q235" s="412"/>
      <c r="R235" s="425"/>
      <c r="S235" s="442"/>
      <c r="T235" s="283" t="str" cm="1">
        <f t="array" ref="T235">IF($B$9="","",_xlfn.IFS($B$9="PRESENCIAL",_xlfn.XLOOKUP($S235,DATA!$B$4:$B$8,DATA!$D$4:$D$8,"",0,),$B$9="VIRTUAL",_xlfn.XLOOKUP($S235,DATA!$G$4:$G$8,DATA!$I$4:$I$8,"",0),$B$9="DISTANCIA",_xlfn.XLOOKUP($S235,DATA!$L$4:$L$8,DATA!$N$4:$N$8,"",0)))</f>
        <v/>
      </c>
      <c r="U235" s="283" t="str" cm="1">
        <f t="array" ref="U235">IF($B$9="","",_xlfn.IFS($B$9="PRESENCIAL",_xlfn.XLOOKUP($S235,DATA!$B$4:$B$8,DATA!$E$4:$E$8,"",0,),$B$9="VIRTUAL",_xlfn.XLOOKUP($S235,DATA!$G$4:$G$8,DATA!$J$4:$J$8,"",0),$B$9="DISTANCIA",_xlfn.XLOOKUP($S235,DATA!$L$4:$L$8,DATA!$O$4:$O$8,"",0)))</f>
        <v/>
      </c>
      <c r="V235" s="261" t="str">
        <f t="shared" si="8"/>
        <v/>
      </c>
      <c r="W235" s="282"/>
      <c r="X235" s="282"/>
      <c r="Y235" s="282"/>
      <c r="Z235" s="282"/>
      <c r="AA235" s="282"/>
      <c r="AB235" s="284"/>
      <c r="AC235" s="262" t="str">
        <f>IF(AE235="","",COUNTIF($AE$1:AE235,AE235))</f>
        <v/>
      </c>
      <c r="AD235" s="261" t="str">
        <f>IF(J235='PLAN DE ESTUDIO'!$XFD$41,"",IF(AE235="","",AC235&amp;K235&amp;L235&amp;M235))</f>
        <v/>
      </c>
      <c r="AE235" s="261" t="str">
        <f>IF(J235='PLAN DE ESTUDIO'!$XFD$41,"",IF(AF235=1,K235&amp;L235&amp;M235,""))</f>
        <v/>
      </c>
      <c r="AF235" s="261">
        <f>COUNTIF($O$1:O235,$O235)</f>
        <v>0</v>
      </c>
      <c r="AG235" s="285" t="str">
        <f>IF(J235='PLAN DE ESTUDIO'!$XFD$41,"",IF(P235="TP","Teórico-Práctica",IF(P235="T","Teórico",IF(P235="P","Práctica",""))))</f>
        <v/>
      </c>
      <c r="AH235" s="234" t="str">
        <f t="shared" si="9"/>
        <v xml:space="preserve"> </v>
      </c>
    </row>
    <row r="236" spans="10:34" x14ac:dyDescent="0.3">
      <c r="J236" s="412"/>
      <c r="K236" s="232"/>
      <c r="L236" s="232"/>
      <c r="M236" s="232"/>
      <c r="N236" s="412"/>
      <c r="P236" s="231"/>
      <c r="Q236" s="412"/>
      <c r="R236" s="425"/>
      <c r="S236" s="442"/>
      <c r="T236" s="283" t="str" cm="1">
        <f t="array" ref="T236">IF($B$9="","",_xlfn.IFS($B$9="PRESENCIAL",_xlfn.XLOOKUP($S236,DATA!$B$4:$B$8,DATA!$D$4:$D$8,"",0,),$B$9="VIRTUAL",_xlfn.XLOOKUP($S236,DATA!$G$4:$G$8,DATA!$I$4:$I$8,"",0),$B$9="DISTANCIA",_xlfn.XLOOKUP($S236,DATA!$L$4:$L$8,DATA!$N$4:$N$8,"",0)))</f>
        <v/>
      </c>
      <c r="U236" s="283" t="str" cm="1">
        <f t="array" ref="U236">IF($B$9="","",_xlfn.IFS($B$9="PRESENCIAL",_xlfn.XLOOKUP($S236,DATA!$B$4:$B$8,DATA!$E$4:$E$8,"",0,),$B$9="VIRTUAL",_xlfn.XLOOKUP($S236,DATA!$G$4:$G$8,DATA!$J$4:$J$8,"",0),$B$9="DISTANCIA",_xlfn.XLOOKUP($S236,DATA!$L$4:$L$8,DATA!$O$4:$O$8,"",0)))</f>
        <v/>
      </c>
      <c r="V236" s="261" t="str">
        <f t="shared" si="8"/>
        <v/>
      </c>
      <c r="W236" s="282"/>
      <c r="X236" s="282"/>
      <c r="Y236" s="282"/>
      <c r="Z236" s="282"/>
      <c r="AA236" s="282"/>
      <c r="AB236" s="284"/>
      <c r="AC236" s="262" t="str">
        <f>IF(AE236="","",COUNTIF($AE$1:AE236,AE236))</f>
        <v/>
      </c>
      <c r="AD236" s="261" t="str">
        <f>IF(J236='PLAN DE ESTUDIO'!$XFD$41,"",IF(AE236="","",AC236&amp;K236&amp;L236&amp;M236))</f>
        <v/>
      </c>
      <c r="AE236" s="261" t="str">
        <f>IF(J236='PLAN DE ESTUDIO'!$XFD$41,"",IF(AF236=1,K236&amp;L236&amp;M236,""))</f>
        <v/>
      </c>
      <c r="AF236" s="261">
        <f>COUNTIF($O$1:O236,$O236)</f>
        <v>0</v>
      </c>
      <c r="AG236" s="285" t="str">
        <f>IF(J236='PLAN DE ESTUDIO'!$XFD$41,"",IF(P236="TP","Teórico-Práctica",IF(P236="T","Teórico",IF(P236="P","Práctica",""))))</f>
        <v/>
      </c>
      <c r="AH236" s="234" t="str">
        <f t="shared" si="9"/>
        <v xml:space="preserve"> </v>
      </c>
    </row>
    <row r="237" spans="10:34" x14ac:dyDescent="0.3">
      <c r="J237" s="412"/>
      <c r="K237" s="232"/>
      <c r="L237" s="232"/>
      <c r="M237" s="232"/>
      <c r="N237" s="412"/>
      <c r="P237" s="231"/>
      <c r="Q237" s="412"/>
      <c r="R237" s="425"/>
      <c r="S237" s="442"/>
      <c r="T237" s="283" t="str" cm="1">
        <f t="array" ref="T237">IF($B$9="","",_xlfn.IFS($B$9="PRESENCIAL",_xlfn.XLOOKUP($S237,DATA!$B$4:$B$8,DATA!$D$4:$D$8,"",0,),$B$9="VIRTUAL",_xlfn.XLOOKUP($S237,DATA!$G$4:$G$8,DATA!$I$4:$I$8,"",0),$B$9="DISTANCIA",_xlfn.XLOOKUP($S237,DATA!$L$4:$L$8,DATA!$N$4:$N$8,"",0)))</f>
        <v/>
      </c>
      <c r="U237" s="283" t="str" cm="1">
        <f t="array" ref="U237">IF($B$9="","",_xlfn.IFS($B$9="PRESENCIAL",_xlfn.XLOOKUP($S237,DATA!$B$4:$B$8,DATA!$E$4:$E$8,"",0,),$B$9="VIRTUAL",_xlfn.XLOOKUP($S237,DATA!$G$4:$G$8,DATA!$J$4:$J$8,"",0),$B$9="DISTANCIA",_xlfn.XLOOKUP($S237,DATA!$L$4:$L$8,DATA!$O$4:$O$8,"",0)))</f>
        <v/>
      </c>
      <c r="V237" s="261" t="str">
        <f t="shared" si="8"/>
        <v/>
      </c>
      <c r="W237" s="282"/>
      <c r="X237" s="282"/>
      <c r="Y237" s="282"/>
      <c r="Z237" s="282"/>
      <c r="AA237" s="282"/>
      <c r="AB237" s="284"/>
      <c r="AC237" s="262" t="str">
        <f>IF(AE237="","",COUNTIF($AE$1:AE237,AE237))</f>
        <v/>
      </c>
      <c r="AD237" s="261" t="str">
        <f>IF(J237='PLAN DE ESTUDIO'!$XFD$41,"",IF(AE237="","",AC237&amp;K237&amp;L237&amp;M237))</f>
        <v/>
      </c>
      <c r="AE237" s="261" t="str">
        <f>IF(J237='PLAN DE ESTUDIO'!$XFD$41,"",IF(AF237=1,K237&amp;L237&amp;M237,""))</f>
        <v/>
      </c>
      <c r="AF237" s="261">
        <f>COUNTIF($O$1:O237,$O237)</f>
        <v>0</v>
      </c>
      <c r="AG237" s="285" t="str">
        <f>IF(J237='PLAN DE ESTUDIO'!$XFD$41,"",IF(P237="TP","Teórico-Práctica",IF(P237="T","Teórico",IF(P237="P","Práctica",""))))</f>
        <v/>
      </c>
      <c r="AH237" s="234" t="str">
        <f t="shared" si="9"/>
        <v xml:space="preserve"> </v>
      </c>
    </row>
    <row r="238" spans="10:34" x14ac:dyDescent="0.3">
      <c r="J238" s="412"/>
      <c r="K238" s="232"/>
      <c r="L238" s="232"/>
      <c r="M238" s="232"/>
      <c r="N238" s="412"/>
      <c r="P238" s="231"/>
      <c r="Q238" s="412"/>
      <c r="R238" s="425"/>
      <c r="S238" s="442"/>
      <c r="T238" s="283" t="str" cm="1">
        <f t="array" ref="T238">IF($B$9="","",_xlfn.IFS($B$9="PRESENCIAL",_xlfn.XLOOKUP($S238,DATA!$B$4:$B$8,DATA!$D$4:$D$8,"",0,),$B$9="VIRTUAL",_xlfn.XLOOKUP($S238,DATA!$G$4:$G$8,DATA!$I$4:$I$8,"",0),$B$9="DISTANCIA",_xlfn.XLOOKUP($S238,DATA!$L$4:$L$8,DATA!$N$4:$N$8,"",0)))</f>
        <v/>
      </c>
      <c r="U238" s="283" t="str" cm="1">
        <f t="array" ref="U238">IF($B$9="","",_xlfn.IFS($B$9="PRESENCIAL",_xlfn.XLOOKUP($S238,DATA!$B$4:$B$8,DATA!$E$4:$E$8,"",0,),$B$9="VIRTUAL",_xlfn.XLOOKUP($S238,DATA!$G$4:$G$8,DATA!$J$4:$J$8,"",0),$B$9="DISTANCIA",_xlfn.XLOOKUP($S238,DATA!$L$4:$L$8,DATA!$O$4:$O$8,"",0)))</f>
        <v/>
      </c>
      <c r="V238" s="261" t="str">
        <f t="shared" si="8"/>
        <v/>
      </c>
      <c r="W238" s="282"/>
      <c r="X238" s="282"/>
      <c r="Y238" s="282"/>
      <c r="Z238" s="282"/>
      <c r="AA238" s="282"/>
      <c r="AB238" s="284"/>
      <c r="AC238" s="262" t="str">
        <f>IF(AE238="","",COUNTIF($AE$1:AE238,AE238))</f>
        <v/>
      </c>
      <c r="AD238" s="261" t="str">
        <f>IF(J238='PLAN DE ESTUDIO'!$XFD$41,"",IF(AE238="","",AC238&amp;K238&amp;L238&amp;M238))</f>
        <v/>
      </c>
      <c r="AE238" s="261" t="str">
        <f>IF(J238='PLAN DE ESTUDIO'!$XFD$41,"",IF(AF238=1,K238&amp;L238&amp;M238,""))</f>
        <v/>
      </c>
      <c r="AF238" s="261">
        <f>COUNTIF($O$1:O238,$O238)</f>
        <v>0</v>
      </c>
      <c r="AG238" s="285" t="str">
        <f>IF(J238='PLAN DE ESTUDIO'!$XFD$41,"",IF(P238="TP","Teórico-Práctica",IF(P238="T","Teórico",IF(P238="P","Práctica",""))))</f>
        <v/>
      </c>
      <c r="AH238" s="234" t="str">
        <f t="shared" si="9"/>
        <v xml:space="preserve"> </v>
      </c>
    </row>
    <row r="239" spans="10:34" x14ac:dyDescent="0.3">
      <c r="J239" s="412"/>
      <c r="K239" s="232"/>
      <c r="L239" s="232"/>
      <c r="M239" s="232"/>
      <c r="N239" s="412"/>
      <c r="P239" s="231"/>
      <c r="Q239" s="412"/>
      <c r="R239" s="425"/>
      <c r="S239" s="442"/>
      <c r="T239" s="283" t="str" cm="1">
        <f t="array" ref="T239">IF($B$9="","",_xlfn.IFS($B$9="PRESENCIAL",_xlfn.XLOOKUP($S239,DATA!$B$4:$B$8,DATA!$D$4:$D$8,"",0,),$B$9="VIRTUAL",_xlfn.XLOOKUP($S239,DATA!$G$4:$G$8,DATA!$I$4:$I$8,"",0),$B$9="DISTANCIA",_xlfn.XLOOKUP($S239,DATA!$L$4:$L$8,DATA!$N$4:$N$8,"",0)))</f>
        <v/>
      </c>
      <c r="U239" s="283" t="str" cm="1">
        <f t="array" ref="U239">IF($B$9="","",_xlfn.IFS($B$9="PRESENCIAL",_xlfn.XLOOKUP($S239,DATA!$B$4:$B$8,DATA!$E$4:$E$8,"",0,),$B$9="VIRTUAL",_xlfn.XLOOKUP($S239,DATA!$G$4:$G$8,DATA!$J$4:$J$8,"",0),$B$9="DISTANCIA",_xlfn.XLOOKUP($S239,DATA!$L$4:$L$8,DATA!$O$4:$O$8,"",0)))</f>
        <v/>
      </c>
      <c r="V239" s="261" t="str">
        <f t="shared" si="8"/>
        <v/>
      </c>
      <c r="W239" s="282"/>
      <c r="X239" s="282"/>
      <c r="Y239" s="282"/>
      <c r="Z239" s="282"/>
      <c r="AA239" s="282"/>
      <c r="AB239" s="284"/>
      <c r="AC239" s="262" t="str">
        <f>IF(AE239="","",COUNTIF($AE$1:AE239,AE239))</f>
        <v/>
      </c>
      <c r="AD239" s="261" t="str">
        <f>IF(J239='PLAN DE ESTUDIO'!$XFD$41,"",IF(AE239="","",AC239&amp;K239&amp;L239&amp;M239))</f>
        <v/>
      </c>
      <c r="AE239" s="261" t="str">
        <f>IF(J239='PLAN DE ESTUDIO'!$XFD$41,"",IF(AF239=1,K239&amp;L239&amp;M239,""))</f>
        <v/>
      </c>
      <c r="AF239" s="261">
        <f>COUNTIF($O$1:O239,$O239)</f>
        <v>0</v>
      </c>
      <c r="AG239" s="285" t="str">
        <f>IF(J239='PLAN DE ESTUDIO'!$XFD$41,"",IF(P239="TP","Teórico-Práctica",IF(P239="T","Teórico",IF(P239="P","Práctica",""))))</f>
        <v/>
      </c>
      <c r="AH239" s="234" t="str">
        <f t="shared" si="9"/>
        <v xml:space="preserve"> </v>
      </c>
    </row>
    <row r="240" spans="10:34" x14ac:dyDescent="0.3">
      <c r="J240" s="412"/>
      <c r="K240" s="232"/>
      <c r="L240" s="232"/>
      <c r="M240" s="232"/>
      <c r="N240" s="412"/>
      <c r="P240" s="231"/>
      <c r="Q240" s="412"/>
      <c r="R240" s="425"/>
      <c r="S240" s="442"/>
      <c r="T240" s="283" t="str" cm="1">
        <f t="array" ref="T240">IF($B$9="","",_xlfn.IFS($B$9="PRESENCIAL",_xlfn.XLOOKUP($S240,DATA!$B$4:$B$8,DATA!$D$4:$D$8,"",0,),$B$9="VIRTUAL",_xlfn.XLOOKUP($S240,DATA!$G$4:$G$8,DATA!$I$4:$I$8,"",0),$B$9="DISTANCIA",_xlfn.XLOOKUP($S240,DATA!$L$4:$L$8,DATA!$N$4:$N$8,"",0)))</f>
        <v/>
      </c>
      <c r="U240" s="283" t="str" cm="1">
        <f t="array" ref="U240">IF($B$9="","",_xlfn.IFS($B$9="PRESENCIAL",_xlfn.XLOOKUP($S240,DATA!$B$4:$B$8,DATA!$E$4:$E$8,"",0,),$B$9="VIRTUAL",_xlfn.XLOOKUP($S240,DATA!$G$4:$G$8,DATA!$J$4:$J$8,"",0),$B$9="DISTANCIA",_xlfn.XLOOKUP($S240,DATA!$L$4:$L$8,DATA!$O$4:$O$8,"",0)))</f>
        <v/>
      </c>
      <c r="V240" s="261" t="str">
        <f t="shared" si="8"/>
        <v/>
      </c>
      <c r="W240" s="282"/>
      <c r="X240" s="282"/>
      <c r="Y240" s="282"/>
      <c r="Z240" s="282"/>
      <c r="AA240" s="282"/>
      <c r="AB240" s="284"/>
      <c r="AC240" s="262" t="str">
        <f>IF(AE240="","",COUNTIF($AE$1:AE240,AE240))</f>
        <v/>
      </c>
      <c r="AD240" s="261" t="str">
        <f>IF(J240='PLAN DE ESTUDIO'!$XFD$41,"",IF(AE240="","",AC240&amp;K240&amp;L240&amp;M240))</f>
        <v/>
      </c>
      <c r="AE240" s="261" t="str">
        <f>IF(J240='PLAN DE ESTUDIO'!$XFD$41,"",IF(AF240=1,K240&amp;L240&amp;M240,""))</f>
        <v/>
      </c>
      <c r="AF240" s="261">
        <f>COUNTIF($O$1:O240,$O240)</f>
        <v>0</v>
      </c>
      <c r="AG240" s="285" t="str">
        <f>IF(J240='PLAN DE ESTUDIO'!$XFD$41,"",IF(P240="TP","Teórico-Práctica",IF(P240="T","Teórico",IF(P240="P","Práctica",""))))</f>
        <v/>
      </c>
      <c r="AH240" s="234" t="str">
        <f t="shared" si="9"/>
        <v xml:space="preserve"> </v>
      </c>
    </row>
    <row r="241" spans="10:34" x14ac:dyDescent="0.3">
      <c r="J241" s="412"/>
      <c r="K241" s="232"/>
      <c r="L241" s="232"/>
      <c r="M241" s="232"/>
      <c r="N241" s="412"/>
      <c r="P241" s="231"/>
      <c r="Q241" s="412"/>
      <c r="R241" s="425"/>
      <c r="S241" s="442"/>
      <c r="T241" s="283" t="str" cm="1">
        <f t="array" ref="T241">IF($B$9="","",_xlfn.IFS($B$9="PRESENCIAL",_xlfn.XLOOKUP($S241,DATA!$B$4:$B$8,DATA!$D$4:$D$8,"",0,),$B$9="VIRTUAL",_xlfn.XLOOKUP($S241,DATA!$G$4:$G$8,DATA!$I$4:$I$8,"",0),$B$9="DISTANCIA",_xlfn.XLOOKUP($S241,DATA!$L$4:$L$8,DATA!$N$4:$N$8,"",0)))</f>
        <v/>
      </c>
      <c r="U241" s="283" t="str" cm="1">
        <f t="array" ref="U241">IF($B$9="","",_xlfn.IFS($B$9="PRESENCIAL",_xlfn.XLOOKUP($S241,DATA!$B$4:$B$8,DATA!$E$4:$E$8,"",0,),$B$9="VIRTUAL",_xlfn.XLOOKUP($S241,DATA!$G$4:$G$8,DATA!$J$4:$J$8,"",0),$B$9="DISTANCIA",_xlfn.XLOOKUP($S241,DATA!$L$4:$L$8,DATA!$O$4:$O$8,"",0)))</f>
        <v/>
      </c>
      <c r="V241" s="261" t="str">
        <f t="shared" si="8"/>
        <v/>
      </c>
      <c r="W241" s="282"/>
      <c r="X241" s="282"/>
      <c r="Y241" s="282"/>
      <c r="Z241" s="282"/>
      <c r="AA241" s="282"/>
      <c r="AB241" s="284"/>
      <c r="AC241" s="262" t="str">
        <f>IF(AE241="","",COUNTIF($AE$1:AE241,AE241))</f>
        <v/>
      </c>
      <c r="AD241" s="261" t="str">
        <f>IF(J241='PLAN DE ESTUDIO'!$XFD$41,"",IF(AE241="","",AC241&amp;K241&amp;L241&amp;M241))</f>
        <v/>
      </c>
      <c r="AE241" s="261" t="str">
        <f>IF(J241='PLAN DE ESTUDIO'!$XFD$41,"",IF(AF241=1,K241&amp;L241&amp;M241,""))</f>
        <v/>
      </c>
      <c r="AF241" s="261">
        <f>COUNTIF($O$1:O241,$O241)</f>
        <v>0</v>
      </c>
      <c r="AG241" s="285" t="str">
        <f>IF(J241='PLAN DE ESTUDIO'!$XFD$41,"",IF(P241="TP","Teórico-Práctica",IF(P241="T","Teórico",IF(P241="P","Práctica",""))))</f>
        <v/>
      </c>
      <c r="AH241" s="234" t="str">
        <f t="shared" si="9"/>
        <v xml:space="preserve"> </v>
      </c>
    </row>
    <row r="242" spans="10:34" x14ac:dyDescent="0.3">
      <c r="J242" s="412"/>
      <c r="K242" s="232"/>
      <c r="L242" s="232"/>
      <c r="M242" s="232"/>
      <c r="N242" s="412"/>
      <c r="P242" s="231"/>
      <c r="Q242" s="412"/>
      <c r="R242" s="425"/>
      <c r="S242" s="442"/>
      <c r="T242" s="283" t="str" cm="1">
        <f t="array" ref="T242">IF($B$9="","",_xlfn.IFS($B$9="PRESENCIAL",_xlfn.XLOOKUP($S242,DATA!$B$4:$B$8,DATA!$D$4:$D$8,"",0,),$B$9="VIRTUAL",_xlfn.XLOOKUP($S242,DATA!$G$4:$G$8,DATA!$I$4:$I$8,"",0),$B$9="DISTANCIA",_xlfn.XLOOKUP($S242,DATA!$L$4:$L$8,DATA!$N$4:$N$8,"",0)))</f>
        <v/>
      </c>
      <c r="U242" s="283" t="str" cm="1">
        <f t="array" ref="U242">IF($B$9="","",_xlfn.IFS($B$9="PRESENCIAL",_xlfn.XLOOKUP($S242,DATA!$B$4:$B$8,DATA!$E$4:$E$8,"",0,),$B$9="VIRTUAL",_xlfn.XLOOKUP($S242,DATA!$G$4:$G$8,DATA!$J$4:$J$8,"",0),$B$9="DISTANCIA",_xlfn.XLOOKUP($S242,DATA!$L$4:$L$8,DATA!$O$4:$O$8,"",0)))</f>
        <v/>
      </c>
      <c r="V242" s="261" t="str">
        <f t="shared" si="8"/>
        <v/>
      </c>
      <c r="W242" s="282"/>
      <c r="X242" s="282"/>
      <c r="Y242" s="282"/>
      <c r="Z242" s="282"/>
      <c r="AA242" s="282"/>
      <c r="AB242" s="284"/>
      <c r="AC242" s="262" t="str">
        <f>IF(AE242="","",COUNTIF($AE$1:AE242,AE242))</f>
        <v/>
      </c>
      <c r="AD242" s="261" t="str">
        <f>IF(J242='PLAN DE ESTUDIO'!$XFD$41,"",IF(AE242="","",AC242&amp;K242&amp;L242&amp;M242))</f>
        <v/>
      </c>
      <c r="AE242" s="261" t="str">
        <f>IF(J242='PLAN DE ESTUDIO'!$XFD$41,"",IF(AF242=1,K242&amp;L242&amp;M242,""))</f>
        <v/>
      </c>
      <c r="AF242" s="261">
        <f>COUNTIF($O$1:O242,$O242)</f>
        <v>0</v>
      </c>
      <c r="AG242" s="285" t="str">
        <f>IF(J242='PLAN DE ESTUDIO'!$XFD$41,"",IF(P242="TP","Teórico-Práctica",IF(P242="T","Teórico",IF(P242="P","Práctica",""))))</f>
        <v/>
      </c>
      <c r="AH242" s="234" t="str">
        <f t="shared" si="9"/>
        <v xml:space="preserve"> </v>
      </c>
    </row>
    <row r="243" spans="10:34" x14ac:dyDescent="0.3">
      <c r="J243" s="412"/>
      <c r="K243" s="232"/>
      <c r="L243" s="232"/>
      <c r="M243" s="232"/>
      <c r="N243" s="412"/>
      <c r="P243" s="231"/>
      <c r="Q243" s="412"/>
      <c r="R243" s="425"/>
      <c r="S243" s="442"/>
      <c r="T243" s="283" t="str" cm="1">
        <f t="array" ref="T243">IF($B$9="","",_xlfn.IFS($B$9="PRESENCIAL",_xlfn.XLOOKUP($S243,DATA!$B$4:$B$8,DATA!$D$4:$D$8,"",0,),$B$9="VIRTUAL",_xlfn.XLOOKUP($S243,DATA!$G$4:$G$8,DATA!$I$4:$I$8,"",0),$B$9="DISTANCIA",_xlfn.XLOOKUP($S243,DATA!$L$4:$L$8,DATA!$N$4:$N$8,"",0)))</f>
        <v/>
      </c>
      <c r="U243" s="283" t="str" cm="1">
        <f t="array" ref="U243">IF($B$9="","",_xlfn.IFS($B$9="PRESENCIAL",_xlfn.XLOOKUP($S243,DATA!$B$4:$B$8,DATA!$E$4:$E$8,"",0,),$B$9="VIRTUAL",_xlfn.XLOOKUP($S243,DATA!$G$4:$G$8,DATA!$J$4:$J$8,"",0),$B$9="DISTANCIA",_xlfn.XLOOKUP($S243,DATA!$L$4:$L$8,DATA!$O$4:$O$8,"",0)))</f>
        <v/>
      </c>
      <c r="V243" s="261" t="str">
        <f t="shared" si="8"/>
        <v/>
      </c>
      <c r="W243" s="282"/>
      <c r="X243" s="282"/>
      <c r="Y243" s="282"/>
      <c r="Z243" s="282"/>
      <c r="AA243" s="282"/>
      <c r="AB243" s="284"/>
      <c r="AC243" s="262" t="str">
        <f>IF(AE243="","",COUNTIF($AE$1:AE243,AE243))</f>
        <v/>
      </c>
      <c r="AD243" s="261" t="str">
        <f>IF(J243='PLAN DE ESTUDIO'!$XFD$41,"",IF(AE243="","",AC243&amp;K243&amp;L243&amp;M243))</f>
        <v/>
      </c>
      <c r="AE243" s="261" t="str">
        <f>IF(J243='PLAN DE ESTUDIO'!$XFD$41,"",IF(AF243=1,K243&amp;L243&amp;M243,""))</f>
        <v/>
      </c>
      <c r="AF243" s="261">
        <f>COUNTIF($O$1:O243,$O243)</f>
        <v>0</v>
      </c>
      <c r="AG243" s="285" t="str">
        <f>IF(J243='PLAN DE ESTUDIO'!$XFD$41,"",IF(P243="TP","Teórico-Práctica",IF(P243="T","Teórico",IF(P243="P","Práctica",""))))</f>
        <v/>
      </c>
      <c r="AH243" s="234" t="str">
        <f t="shared" si="9"/>
        <v xml:space="preserve"> </v>
      </c>
    </row>
    <row r="244" spans="10:34" x14ac:dyDescent="0.3">
      <c r="J244" s="412"/>
      <c r="K244" s="232"/>
      <c r="L244" s="232"/>
      <c r="M244" s="232"/>
      <c r="N244" s="412"/>
      <c r="P244" s="231"/>
      <c r="Q244" s="412"/>
      <c r="R244" s="425"/>
      <c r="S244" s="442"/>
      <c r="T244" s="283" t="str" cm="1">
        <f t="array" ref="T244">IF($B$9="","",_xlfn.IFS($B$9="PRESENCIAL",_xlfn.XLOOKUP($S244,DATA!$B$4:$B$8,DATA!$D$4:$D$8,"",0,),$B$9="VIRTUAL",_xlfn.XLOOKUP($S244,DATA!$G$4:$G$8,DATA!$I$4:$I$8,"",0),$B$9="DISTANCIA",_xlfn.XLOOKUP($S244,DATA!$L$4:$L$8,DATA!$N$4:$N$8,"",0)))</f>
        <v/>
      </c>
      <c r="U244" s="283" t="str" cm="1">
        <f t="array" ref="U244">IF($B$9="","",_xlfn.IFS($B$9="PRESENCIAL",_xlfn.XLOOKUP($S244,DATA!$B$4:$B$8,DATA!$E$4:$E$8,"",0,),$B$9="VIRTUAL",_xlfn.XLOOKUP($S244,DATA!$G$4:$G$8,DATA!$J$4:$J$8,"",0),$B$9="DISTANCIA",_xlfn.XLOOKUP($S244,DATA!$L$4:$L$8,DATA!$O$4:$O$8,"",0)))</f>
        <v/>
      </c>
      <c r="V244" s="261" t="str">
        <f t="shared" si="8"/>
        <v/>
      </c>
      <c r="W244" s="282"/>
      <c r="X244" s="282"/>
      <c r="Y244" s="282"/>
      <c r="Z244" s="282"/>
      <c r="AA244" s="282"/>
      <c r="AB244" s="284"/>
      <c r="AC244" s="262" t="str">
        <f>IF(AE244="","",COUNTIF($AE$1:AE244,AE244))</f>
        <v/>
      </c>
      <c r="AD244" s="261" t="str">
        <f>IF(J244='PLAN DE ESTUDIO'!$XFD$41,"",IF(AE244="","",AC244&amp;K244&amp;L244&amp;M244))</f>
        <v/>
      </c>
      <c r="AE244" s="261" t="str">
        <f>IF(J244='PLAN DE ESTUDIO'!$XFD$41,"",IF(AF244=1,K244&amp;L244&amp;M244,""))</f>
        <v/>
      </c>
      <c r="AF244" s="261">
        <f>COUNTIF($O$1:O244,$O244)</f>
        <v>0</v>
      </c>
      <c r="AG244" s="285" t="str">
        <f>IF(J244='PLAN DE ESTUDIO'!$XFD$41,"",IF(P244="TP","Teórico-Práctica",IF(P244="T","Teórico",IF(P244="P","Práctica",""))))</f>
        <v/>
      </c>
      <c r="AH244" s="234" t="str">
        <f t="shared" si="9"/>
        <v xml:space="preserve"> </v>
      </c>
    </row>
    <row r="245" spans="10:34" x14ac:dyDescent="0.3">
      <c r="J245" s="412"/>
      <c r="K245" s="232"/>
      <c r="L245" s="232"/>
      <c r="M245" s="232"/>
      <c r="N245" s="412"/>
      <c r="P245" s="231"/>
      <c r="Q245" s="412"/>
      <c r="R245" s="425"/>
      <c r="S245" s="442"/>
      <c r="T245" s="283" t="str" cm="1">
        <f t="array" ref="T245">IF($B$9="","",_xlfn.IFS($B$9="PRESENCIAL",_xlfn.XLOOKUP($S245,DATA!$B$4:$B$8,DATA!$D$4:$D$8,"",0,),$B$9="VIRTUAL",_xlfn.XLOOKUP($S245,DATA!$G$4:$G$8,DATA!$I$4:$I$8,"",0),$B$9="DISTANCIA",_xlfn.XLOOKUP($S245,DATA!$L$4:$L$8,DATA!$N$4:$N$8,"",0)))</f>
        <v/>
      </c>
      <c r="U245" s="283" t="str" cm="1">
        <f t="array" ref="U245">IF($B$9="","",_xlfn.IFS($B$9="PRESENCIAL",_xlfn.XLOOKUP($S245,DATA!$B$4:$B$8,DATA!$E$4:$E$8,"",0,),$B$9="VIRTUAL",_xlfn.XLOOKUP($S245,DATA!$G$4:$G$8,DATA!$J$4:$J$8,"",0),$B$9="DISTANCIA",_xlfn.XLOOKUP($S245,DATA!$L$4:$L$8,DATA!$O$4:$O$8,"",0)))</f>
        <v/>
      </c>
      <c r="V245" s="261" t="str">
        <f t="shared" si="8"/>
        <v/>
      </c>
      <c r="W245" s="282"/>
      <c r="X245" s="282"/>
      <c r="Y245" s="282"/>
      <c r="Z245" s="282"/>
      <c r="AA245" s="282"/>
      <c r="AB245" s="284"/>
      <c r="AC245" s="262" t="str">
        <f>IF(AE245="","",COUNTIF($AE$1:AE245,AE245))</f>
        <v/>
      </c>
      <c r="AD245" s="261" t="str">
        <f>IF(J245='PLAN DE ESTUDIO'!$XFD$41,"",IF(AE245="","",AC245&amp;K245&amp;L245&amp;M245))</f>
        <v/>
      </c>
      <c r="AE245" s="261" t="str">
        <f>IF(J245='PLAN DE ESTUDIO'!$XFD$41,"",IF(AF245=1,K245&amp;L245&amp;M245,""))</f>
        <v/>
      </c>
      <c r="AF245" s="261">
        <f>COUNTIF($O$1:O245,$O245)</f>
        <v>0</v>
      </c>
      <c r="AG245" s="285" t="str">
        <f>IF(J245='PLAN DE ESTUDIO'!$XFD$41,"",IF(P245="TP","Teórico-Práctica",IF(P245="T","Teórico",IF(P245="P","Práctica",""))))</f>
        <v/>
      </c>
      <c r="AH245" s="234" t="str">
        <f t="shared" si="9"/>
        <v xml:space="preserve"> </v>
      </c>
    </row>
    <row r="246" spans="10:34" x14ac:dyDescent="0.3">
      <c r="J246" s="412"/>
      <c r="K246" s="232"/>
      <c r="L246" s="232"/>
      <c r="M246" s="232"/>
      <c r="N246" s="412"/>
      <c r="P246" s="231"/>
      <c r="Q246" s="412"/>
      <c r="R246" s="425"/>
      <c r="S246" s="442"/>
      <c r="T246" s="283" t="str" cm="1">
        <f t="array" ref="T246">IF($B$9="","",_xlfn.IFS($B$9="PRESENCIAL",_xlfn.XLOOKUP($S246,DATA!$B$4:$B$8,DATA!$D$4:$D$8,"",0,),$B$9="VIRTUAL",_xlfn.XLOOKUP($S246,DATA!$G$4:$G$8,DATA!$I$4:$I$8,"",0),$B$9="DISTANCIA",_xlfn.XLOOKUP($S246,DATA!$L$4:$L$8,DATA!$N$4:$N$8,"",0)))</f>
        <v/>
      </c>
      <c r="U246" s="283" t="str" cm="1">
        <f t="array" ref="U246">IF($B$9="","",_xlfn.IFS($B$9="PRESENCIAL",_xlfn.XLOOKUP($S246,DATA!$B$4:$B$8,DATA!$E$4:$E$8,"",0,),$B$9="VIRTUAL",_xlfn.XLOOKUP($S246,DATA!$G$4:$G$8,DATA!$J$4:$J$8,"",0),$B$9="DISTANCIA",_xlfn.XLOOKUP($S246,DATA!$L$4:$L$8,DATA!$O$4:$O$8,"",0)))</f>
        <v/>
      </c>
      <c r="V246" s="261" t="str">
        <f t="shared" si="8"/>
        <v/>
      </c>
      <c r="W246" s="282"/>
      <c r="X246" s="282"/>
      <c r="Y246" s="282"/>
      <c r="Z246" s="282"/>
      <c r="AA246" s="282"/>
      <c r="AB246" s="284"/>
      <c r="AC246" s="262" t="str">
        <f>IF(AE246="","",COUNTIF($AE$1:AE246,AE246))</f>
        <v/>
      </c>
      <c r="AD246" s="261" t="str">
        <f>IF(J246='PLAN DE ESTUDIO'!$XFD$41,"",IF(AE246="","",AC246&amp;K246&amp;L246&amp;M246))</f>
        <v/>
      </c>
      <c r="AE246" s="261" t="str">
        <f>IF(J246='PLAN DE ESTUDIO'!$XFD$41,"",IF(AF246=1,K246&amp;L246&amp;M246,""))</f>
        <v/>
      </c>
      <c r="AF246" s="261">
        <f>COUNTIF($O$1:O246,$O246)</f>
        <v>0</v>
      </c>
      <c r="AG246" s="285" t="str">
        <f>IF(J246='PLAN DE ESTUDIO'!$XFD$41,"",IF(P246="TP","Teórico-Práctica",IF(P246="T","Teórico",IF(P246="P","Práctica",""))))</f>
        <v/>
      </c>
      <c r="AH246" s="234" t="str">
        <f t="shared" si="9"/>
        <v xml:space="preserve"> </v>
      </c>
    </row>
    <row r="247" spans="10:34" x14ac:dyDescent="0.3">
      <c r="J247" s="412"/>
      <c r="K247" s="232"/>
      <c r="L247" s="232"/>
      <c r="M247" s="232"/>
      <c r="N247" s="412"/>
      <c r="P247" s="231"/>
      <c r="Q247" s="412"/>
      <c r="R247" s="425"/>
      <c r="S247" s="442"/>
      <c r="T247" s="283" t="str" cm="1">
        <f t="array" ref="T247">IF($B$9="","",_xlfn.IFS($B$9="PRESENCIAL",_xlfn.XLOOKUP($S247,DATA!$B$4:$B$8,DATA!$D$4:$D$8,"",0,),$B$9="VIRTUAL",_xlfn.XLOOKUP($S247,DATA!$G$4:$G$8,DATA!$I$4:$I$8,"",0),$B$9="DISTANCIA",_xlfn.XLOOKUP($S247,DATA!$L$4:$L$8,DATA!$N$4:$N$8,"",0)))</f>
        <v/>
      </c>
      <c r="U247" s="283" t="str" cm="1">
        <f t="array" ref="U247">IF($B$9="","",_xlfn.IFS($B$9="PRESENCIAL",_xlfn.XLOOKUP($S247,DATA!$B$4:$B$8,DATA!$E$4:$E$8,"",0,),$B$9="VIRTUAL",_xlfn.XLOOKUP($S247,DATA!$G$4:$G$8,DATA!$J$4:$J$8,"",0),$B$9="DISTANCIA",_xlfn.XLOOKUP($S247,DATA!$L$4:$L$8,DATA!$O$4:$O$8,"",0)))</f>
        <v/>
      </c>
      <c r="V247" s="261" t="str">
        <f t="shared" si="8"/>
        <v/>
      </c>
      <c r="W247" s="282"/>
      <c r="X247" s="282"/>
      <c r="Y247" s="282"/>
      <c r="Z247" s="282"/>
      <c r="AA247" s="282"/>
      <c r="AB247" s="284"/>
      <c r="AC247" s="262" t="str">
        <f>IF(AE247="","",COUNTIF($AE$1:AE247,AE247))</f>
        <v/>
      </c>
      <c r="AD247" s="261" t="str">
        <f>IF(J247='PLAN DE ESTUDIO'!$XFD$41,"",IF(AE247="","",AC247&amp;K247&amp;L247&amp;M247))</f>
        <v/>
      </c>
      <c r="AE247" s="261" t="str">
        <f>IF(J247='PLAN DE ESTUDIO'!$XFD$41,"",IF(AF247=1,K247&amp;L247&amp;M247,""))</f>
        <v/>
      </c>
      <c r="AF247" s="261">
        <f>COUNTIF($O$1:O247,$O247)</f>
        <v>0</v>
      </c>
      <c r="AG247" s="285" t="str">
        <f>IF(J247='PLAN DE ESTUDIO'!$XFD$41,"",IF(P247="TP","Teórico-Práctica",IF(P247="T","Teórico",IF(P247="P","Práctica",""))))</f>
        <v/>
      </c>
      <c r="AH247" s="234" t="str">
        <f t="shared" si="9"/>
        <v xml:space="preserve"> </v>
      </c>
    </row>
    <row r="248" spans="10:34" x14ac:dyDescent="0.3">
      <c r="J248" s="412"/>
      <c r="K248" s="232"/>
      <c r="L248" s="232"/>
      <c r="M248" s="232"/>
      <c r="N248" s="412"/>
      <c r="P248" s="231"/>
      <c r="Q248" s="412"/>
      <c r="R248" s="425"/>
      <c r="S248" s="442"/>
      <c r="T248" s="283" t="str" cm="1">
        <f t="array" ref="T248">IF($B$9="","",_xlfn.IFS($B$9="PRESENCIAL",_xlfn.XLOOKUP($S248,DATA!$B$4:$B$8,DATA!$D$4:$D$8,"",0,),$B$9="VIRTUAL",_xlfn.XLOOKUP($S248,DATA!$G$4:$G$8,DATA!$I$4:$I$8,"",0),$B$9="DISTANCIA",_xlfn.XLOOKUP($S248,DATA!$L$4:$L$8,DATA!$N$4:$N$8,"",0)))</f>
        <v/>
      </c>
      <c r="U248" s="283" t="str" cm="1">
        <f t="array" ref="U248">IF($B$9="","",_xlfn.IFS($B$9="PRESENCIAL",_xlfn.XLOOKUP($S248,DATA!$B$4:$B$8,DATA!$E$4:$E$8,"",0,),$B$9="VIRTUAL",_xlfn.XLOOKUP($S248,DATA!$G$4:$G$8,DATA!$J$4:$J$8,"",0),$B$9="DISTANCIA",_xlfn.XLOOKUP($S248,DATA!$L$4:$L$8,DATA!$O$4:$O$8,"",0)))</f>
        <v/>
      </c>
      <c r="V248" s="261" t="str">
        <f t="shared" si="8"/>
        <v/>
      </c>
      <c r="W248" s="282"/>
      <c r="X248" s="282"/>
      <c r="Y248" s="282"/>
      <c r="Z248" s="282"/>
      <c r="AA248" s="282"/>
      <c r="AB248" s="284"/>
      <c r="AC248" s="262" t="str">
        <f>IF(AE248="","",COUNTIF($AE$1:AE248,AE248))</f>
        <v/>
      </c>
      <c r="AD248" s="261" t="str">
        <f>IF(J248='PLAN DE ESTUDIO'!$XFD$41,"",IF(AE248="","",AC248&amp;K248&amp;L248&amp;M248))</f>
        <v/>
      </c>
      <c r="AE248" s="261" t="str">
        <f>IF(J248='PLAN DE ESTUDIO'!$XFD$41,"",IF(AF248=1,K248&amp;L248&amp;M248,""))</f>
        <v/>
      </c>
      <c r="AF248" s="261">
        <f>COUNTIF($O$1:O248,$O248)</f>
        <v>0</v>
      </c>
      <c r="AG248" s="285" t="str">
        <f>IF(J248='PLAN DE ESTUDIO'!$XFD$41,"",IF(P248="TP","Teórico-Práctica",IF(P248="T","Teórico",IF(P248="P","Práctica",""))))</f>
        <v/>
      </c>
      <c r="AH248" s="234" t="str">
        <f t="shared" si="9"/>
        <v xml:space="preserve"> </v>
      </c>
    </row>
    <row r="249" spans="10:34" x14ac:dyDescent="0.3">
      <c r="J249" s="412"/>
      <c r="K249" s="232"/>
      <c r="L249" s="232"/>
      <c r="M249" s="232"/>
      <c r="N249" s="412"/>
      <c r="P249" s="231"/>
      <c r="Q249" s="412"/>
      <c r="R249" s="425"/>
      <c r="S249" s="442"/>
      <c r="T249" s="283" t="str" cm="1">
        <f t="array" ref="T249">IF($B$9="","",_xlfn.IFS($B$9="PRESENCIAL",_xlfn.XLOOKUP($S249,DATA!$B$4:$B$8,DATA!$D$4:$D$8,"",0,),$B$9="VIRTUAL",_xlfn.XLOOKUP($S249,DATA!$G$4:$G$8,DATA!$I$4:$I$8,"",0),$B$9="DISTANCIA",_xlfn.XLOOKUP($S249,DATA!$L$4:$L$8,DATA!$N$4:$N$8,"",0)))</f>
        <v/>
      </c>
      <c r="U249" s="283" t="str" cm="1">
        <f t="array" ref="U249">IF($B$9="","",_xlfn.IFS($B$9="PRESENCIAL",_xlfn.XLOOKUP($S249,DATA!$B$4:$B$8,DATA!$E$4:$E$8,"",0,),$B$9="VIRTUAL",_xlfn.XLOOKUP($S249,DATA!$G$4:$G$8,DATA!$J$4:$J$8,"",0),$B$9="DISTANCIA",_xlfn.XLOOKUP($S249,DATA!$L$4:$L$8,DATA!$O$4:$O$8,"",0)))</f>
        <v/>
      </c>
      <c r="V249" s="261" t="str">
        <f t="shared" si="8"/>
        <v/>
      </c>
      <c r="W249" s="282"/>
      <c r="X249" s="282"/>
      <c r="Y249" s="282"/>
      <c r="Z249" s="282"/>
      <c r="AA249" s="282"/>
      <c r="AB249" s="284"/>
      <c r="AC249" s="262" t="str">
        <f>IF(AE249="","",COUNTIF($AE$1:AE249,AE249))</f>
        <v/>
      </c>
      <c r="AD249" s="261" t="str">
        <f>IF(J249='PLAN DE ESTUDIO'!$XFD$41,"",IF(AE249="","",AC249&amp;K249&amp;L249&amp;M249))</f>
        <v/>
      </c>
      <c r="AE249" s="261" t="str">
        <f>IF(J249='PLAN DE ESTUDIO'!$XFD$41,"",IF(AF249=1,K249&amp;L249&amp;M249,""))</f>
        <v/>
      </c>
      <c r="AF249" s="261">
        <f>COUNTIF($O$1:O249,$O249)</f>
        <v>0</v>
      </c>
      <c r="AG249" s="285" t="str">
        <f>IF(J249='PLAN DE ESTUDIO'!$XFD$41,"",IF(P249="TP","Teórico-Práctica",IF(P249="T","Teórico",IF(P249="P","Práctica",""))))</f>
        <v/>
      </c>
      <c r="AH249" s="234" t="str">
        <f t="shared" si="9"/>
        <v xml:space="preserve"> </v>
      </c>
    </row>
    <row r="250" spans="10:34" x14ac:dyDescent="0.3">
      <c r="J250" s="412"/>
      <c r="K250" s="232"/>
      <c r="L250" s="232"/>
      <c r="M250" s="232"/>
      <c r="N250" s="412"/>
      <c r="P250" s="231"/>
      <c r="Q250" s="412"/>
      <c r="R250" s="425"/>
      <c r="S250" s="442"/>
      <c r="T250" s="283" t="str" cm="1">
        <f t="array" ref="T250">IF($B$9="","",_xlfn.IFS($B$9="PRESENCIAL",_xlfn.XLOOKUP($S250,DATA!$B$4:$B$8,DATA!$D$4:$D$8,"",0,),$B$9="VIRTUAL",_xlfn.XLOOKUP($S250,DATA!$G$4:$G$8,DATA!$I$4:$I$8,"",0),$B$9="DISTANCIA",_xlfn.XLOOKUP($S250,DATA!$L$4:$L$8,DATA!$N$4:$N$8,"",0)))</f>
        <v/>
      </c>
      <c r="U250" s="283" t="str" cm="1">
        <f t="array" ref="U250">IF($B$9="","",_xlfn.IFS($B$9="PRESENCIAL",_xlfn.XLOOKUP($S250,DATA!$B$4:$B$8,DATA!$E$4:$E$8,"",0,),$B$9="VIRTUAL",_xlfn.XLOOKUP($S250,DATA!$G$4:$G$8,DATA!$J$4:$J$8,"",0),$B$9="DISTANCIA",_xlfn.XLOOKUP($S250,DATA!$L$4:$L$8,DATA!$O$4:$O$8,"",0)))</f>
        <v/>
      </c>
      <c r="V250" s="261" t="str">
        <f t="shared" si="8"/>
        <v/>
      </c>
      <c r="W250" s="282"/>
      <c r="X250" s="282"/>
      <c r="Y250" s="282"/>
      <c r="Z250" s="282"/>
      <c r="AA250" s="282"/>
      <c r="AB250" s="284"/>
      <c r="AC250" s="262" t="str">
        <f>IF(AE250="","",COUNTIF($AE$1:AE250,AE250))</f>
        <v/>
      </c>
      <c r="AD250" s="261" t="str">
        <f>IF(J250='PLAN DE ESTUDIO'!$XFD$41,"",IF(AE250="","",AC250&amp;K250&amp;L250&amp;M250))</f>
        <v/>
      </c>
      <c r="AE250" s="261" t="str">
        <f>IF(J250='PLAN DE ESTUDIO'!$XFD$41,"",IF(AF250=1,K250&amp;L250&amp;M250,""))</f>
        <v/>
      </c>
      <c r="AF250" s="261">
        <f>COUNTIF($O$1:O250,$O250)</f>
        <v>0</v>
      </c>
      <c r="AG250" s="285" t="str">
        <f>IF(J250='PLAN DE ESTUDIO'!$XFD$41,"",IF(P250="TP","Teórico-Práctica",IF(P250="T","Teórico",IF(P250="P","Práctica",""))))</f>
        <v/>
      </c>
      <c r="AH250" s="234" t="str">
        <f t="shared" si="9"/>
        <v xml:space="preserve"> </v>
      </c>
    </row>
    <row r="251" spans="10:34" x14ac:dyDescent="0.3">
      <c r="J251" s="412"/>
      <c r="K251" s="232"/>
      <c r="L251" s="232"/>
      <c r="M251" s="232"/>
      <c r="N251" s="412"/>
      <c r="P251" s="231"/>
      <c r="Q251" s="412"/>
      <c r="R251" s="425"/>
      <c r="S251" s="442"/>
      <c r="T251" s="283" t="str" cm="1">
        <f t="array" ref="T251">IF($B$9="","",_xlfn.IFS($B$9="PRESENCIAL",_xlfn.XLOOKUP($S251,DATA!$B$4:$B$8,DATA!$D$4:$D$8,"",0,),$B$9="VIRTUAL",_xlfn.XLOOKUP($S251,DATA!$G$4:$G$8,DATA!$I$4:$I$8,"",0),$B$9="DISTANCIA",_xlfn.XLOOKUP($S251,DATA!$L$4:$L$8,DATA!$N$4:$N$8,"",0)))</f>
        <v/>
      </c>
      <c r="U251" s="283" t="str" cm="1">
        <f t="array" ref="U251">IF($B$9="","",_xlfn.IFS($B$9="PRESENCIAL",_xlfn.XLOOKUP($S251,DATA!$B$4:$B$8,DATA!$E$4:$E$8,"",0,),$B$9="VIRTUAL",_xlfn.XLOOKUP($S251,DATA!$G$4:$G$8,DATA!$J$4:$J$8,"",0),$B$9="DISTANCIA",_xlfn.XLOOKUP($S251,DATA!$L$4:$L$8,DATA!$O$4:$O$8,"",0)))</f>
        <v/>
      </c>
      <c r="V251" s="261" t="str">
        <f t="shared" si="8"/>
        <v/>
      </c>
      <c r="W251" s="282"/>
      <c r="X251" s="282"/>
      <c r="Y251" s="282"/>
      <c r="Z251" s="282"/>
      <c r="AA251" s="282"/>
      <c r="AB251" s="284"/>
      <c r="AC251" s="262" t="str">
        <f>IF(AE251="","",COUNTIF($AE$1:AE251,AE251))</f>
        <v/>
      </c>
      <c r="AD251" s="261" t="str">
        <f>IF(J251='PLAN DE ESTUDIO'!$XFD$41,"",IF(AE251="","",AC251&amp;K251&amp;L251&amp;M251))</f>
        <v/>
      </c>
      <c r="AE251" s="261" t="str">
        <f>IF(J251='PLAN DE ESTUDIO'!$XFD$41,"",IF(AF251=1,K251&amp;L251&amp;M251,""))</f>
        <v/>
      </c>
      <c r="AF251" s="261">
        <f>COUNTIF($O$1:O251,$O251)</f>
        <v>0</v>
      </c>
      <c r="AG251" s="285" t="str">
        <f>IF(J251='PLAN DE ESTUDIO'!$XFD$41,"",IF(P251="TP","Teórico-Práctica",IF(P251="T","Teórico",IF(P251="P","Práctica",""))))</f>
        <v/>
      </c>
      <c r="AH251" s="234" t="str">
        <f t="shared" si="9"/>
        <v xml:space="preserve"> </v>
      </c>
    </row>
    <row r="252" spans="10:34" x14ac:dyDescent="0.3">
      <c r="J252" s="412"/>
      <c r="K252" s="232"/>
      <c r="L252" s="232"/>
      <c r="M252" s="232"/>
      <c r="N252" s="412"/>
      <c r="P252" s="231"/>
      <c r="Q252" s="412"/>
      <c r="R252" s="425"/>
      <c r="S252" s="442"/>
      <c r="T252" s="283" t="str" cm="1">
        <f t="array" ref="T252">IF($B$9="","",_xlfn.IFS($B$9="PRESENCIAL",_xlfn.XLOOKUP($S252,DATA!$B$4:$B$8,DATA!$D$4:$D$8,"",0,),$B$9="VIRTUAL",_xlfn.XLOOKUP($S252,DATA!$G$4:$G$8,DATA!$I$4:$I$8,"",0),$B$9="DISTANCIA",_xlfn.XLOOKUP($S252,DATA!$L$4:$L$8,DATA!$N$4:$N$8,"",0)))</f>
        <v/>
      </c>
      <c r="U252" s="283" t="str" cm="1">
        <f t="array" ref="U252">IF($B$9="","",_xlfn.IFS($B$9="PRESENCIAL",_xlfn.XLOOKUP($S252,DATA!$B$4:$B$8,DATA!$E$4:$E$8,"",0,),$B$9="VIRTUAL",_xlfn.XLOOKUP($S252,DATA!$G$4:$G$8,DATA!$J$4:$J$8,"",0),$B$9="DISTANCIA",_xlfn.XLOOKUP($S252,DATA!$L$4:$L$8,DATA!$O$4:$O$8,"",0)))</f>
        <v/>
      </c>
      <c r="V252" s="261" t="str">
        <f t="shared" si="8"/>
        <v/>
      </c>
      <c r="W252" s="282"/>
      <c r="X252" s="282"/>
      <c r="Y252" s="282"/>
      <c r="Z252" s="282"/>
      <c r="AA252" s="282"/>
      <c r="AB252" s="284"/>
      <c r="AC252" s="262" t="str">
        <f>IF(AE252="","",COUNTIF($AE$1:AE252,AE252))</f>
        <v/>
      </c>
      <c r="AD252" s="261" t="str">
        <f>IF(J252='PLAN DE ESTUDIO'!$XFD$41,"",IF(AE252="","",AC252&amp;K252&amp;L252&amp;M252))</f>
        <v/>
      </c>
      <c r="AE252" s="261" t="str">
        <f>IF(J252='PLAN DE ESTUDIO'!$XFD$41,"",IF(AF252=1,K252&amp;L252&amp;M252,""))</f>
        <v/>
      </c>
      <c r="AF252" s="261">
        <f>COUNTIF($O$1:O252,$O252)</f>
        <v>0</v>
      </c>
      <c r="AG252" s="285" t="str">
        <f>IF(J252='PLAN DE ESTUDIO'!$XFD$41,"",IF(P252="TP","Teórico-Práctica",IF(P252="T","Teórico",IF(P252="P","Práctica",""))))</f>
        <v/>
      </c>
      <c r="AH252" s="234" t="str">
        <f t="shared" si="9"/>
        <v xml:space="preserve"> </v>
      </c>
    </row>
    <row r="253" spans="10:34" x14ac:dyDescent="0.3">
      <c r="J253" s="412"/>
      <c r="K253" s="232"/>
      <c r="L253" s="232"/>
      <c r="M253" s="232"/>
      <c r="N253" s="412"/>
      <c r="P253" s="231"/>
      <c r="Q253" s="412"/>
      <c r="R253" s="425"/>
      <c r="S253" s="442"/>
      <c r="T253" s="283" t="str" cm="1">
        <f t="array" ref="T253">IF($B$9="","",_xlfn.IFS($B$9="PRESENCIAL",_xlfn.XLOOKUP($S253,DATA!$B$4:$B$8,DATA!$D$4:$D$8,"",0,),$B$9="VIRTUAL",_xlfn.XLOOKUP($S253,DATA!$G$4:$G$8,DATA!$I$4:$I$8,"",0),$B$9="DISTANCIA",_xlfn.XLOOKUP($S253,DATA!$L$4:$L$8,DATA!$N$4:$N$8,"",0)))</f>
        <v/>
      </c>
      <c r="U253" s="283" t="str" cm="1">
        <f t="array" ref="U253">IF($B$9="","",_xlfn.IFS($B$9="PRESENCIAL",_xlfn.XLOOKUP($S253,DATA!$B$4:$B$8,DATA!$E$4:$E$8,"",0,),$B$9="VIRTUAL",_xlfn.XLOOKUP($S253,DATA!$G$4:$G$8,DATA!$J$4:$J$8,"",0),$B$9="DISTANCIA",_xlfn.XLOOKUP($S253,DATA!$L$4:$L$8,DATA!$O$4:$O$8,"",0)))</f>
        <v/>
      </c>
      <c r="V253" s="261" t="str">
        <f t="shared" si="8"/>
        <v/>
      </c>
      <c r="W253" s="282"/>
      <c r="X253" s="282"/>
      <c r="Y253" s="282"/>
      <c r="Z253" s="282"/>
      <c r="AA253" s="282"/>
      <c r="AB253" s="284"/>
      <c r="AC253" s="262" t="str">
        <f>IF(AE253="","",COUNTIF($AE$1:AE253,AE253))</f>
        <v/>
      </c>
      <c r="AD253" s="261" t="str">
        <f>IF(J253='PLAN DE ESTUDIO'!$XFD$41,"",IF(AE253="","",AC253&amp;K253&amp;L253&amp;M253))</f>
        <v/>
      </c>
      <c r="AE253" s="261" t="str">
        <f>IF(J253='PLAN DE ESTUDIO'!$XFD$41,"",IF(AF253=1,K253&amp;L253&amp;M253,""))</f>
        <v/>
      </c>
      <c r="AF253" s="261">
        <f>COUNTIF($O$1:O253,$O253)</f>
        <v>0</v>
      </c>
      <c r="AG253" s="285" t="str">
        <f>IF(J253='PLAN DE ESTUDIO'!$XFD$41,"",IF(P253="TP","Teórico-Práctica",IF(P253="T","Teórico",IF(P253="P","Práctica",""))))</f>
        <v/>
      </c>
      <c r="AH253" s="234" t="str">
        <f t="shared" si="9"/>
        <v xml:space="preserve"> </v>
      </c>
    </row>
    <row r="254" spans="10:34" x14ac:dyDescent="0.3">
      <c r="J254" s="412"/>
      <c r="K254" s="232"/>
      <c r="L254" s="232"/>
      <c r="M254" s="232"/>
      <c r="N254" s="412"/>
      <c r="P254" s="231"/>
      <c r="Q254" s="412"/>
      <c r="R254" s="425"/>
      <c r="S254" s="442"/>
      <c r="T254" s="283" t="str" cm="1">
        <f t="array" ref="T254">IF($B$9="","",_xlfn.IFS($B$9="PRESENCIAL",_xlfn.XLOOKUP($S254,DATA!$B$4:$B$8,DATA!$D$4:$D$8,"",0,),$B$9="VIRTUAL",_xlfn.XLOOKUP($S254,DATA!$G$4:$G$8,DATA!$I$4:$I$8,"",0),$B$9="DISTANCIA",_xlfn.XLOOKUP($S254,DATA!$L$4:$L$8,DATA!$N$4:$N$8,"",0)))</f>
        <v/>
      </c>
      <c r="U254" s="283" t="str" cm="1">
        <f t="array" ref="U254">IF($B$9="","",_xlfn.IFS($B$9="PRESENCIAL",_xlfn.XLOOKUP($S254,DATA!$B$4:$B$8,DATA!$E$4:$E$8,"",0,),$B$9="VIRTUAL",_xlfn.XLOOKUP($S254,DATA!$G$4:$G$8,DATA!$J$4:$J$8,"",0),$B$9="DISTANCIA",_xlfn.XLOOKUP($S254,DATA!$L$4:$L$8,DATA!$O$4:$O$8,"",0)))</f>
        <v/>
      </c>
      <c r="V254" s="261" t="str">
        <f t="shared" si="8"/>
        <v/>
      </c>
      <c r="W254" s="282"/>
      <c r="X254" s="282"/>
      <c r="Y254" s="282"/>
      <c r="Z254" s="282"/>
      <c r="AA254" s="282"/>
      <c r="AB254" s="284"/>
      <c r="AC254" s="262" t="str">
        <f>IF(AE254="","",COUNTIF($AE$1:AE254,AE254))</f>
        <v/>
      </c>
      <c r="AD254" s="261" t="str">
        <f>IF(J254='PLAN DE ESTUDIO'!$XFD$41,"",IF(AE254="","",AC254&amp;K254&amp;L254&amp;M254))</f>
        <v/>
      </c>
      <c r="AE254" s="261" t="str">
        <f>IF(J254='PLAN DE ESTUDIO'!$XFD$41,"",IF(AF254=1,K254&amp;L254&amp;M254,""))</f>
        <v/>
      </c>
      <c r="AF254" s="261">
        <f>COUNTIF($O$1:O254,$O254)</f>
        <v>0</v>
      </c>
      <c r="AG254" s="285" t="str">
        <f>IF(J254='PLAN DE ESTUDIO'!$XFD$41,"",IF(P254="TP","Teórico-Práctica",IF(P254="T","Teórico",IF(P254="P","Práctica",""))))</f>
        <v/>
      </c>
      <c r="AH254" s="234" t="str">
        <f t="shared" si="9"/>
        <v xml:space="preserve"> </v>
      </c>
    </row>
    <row r="255" spans="10:34" x14ac:dyDescent="0.3">
      <c r="J255" s="412"/>
      <c r="K255" s="232"/>
      <c r="L255" s="232"/>
      <c r="M255" s="232"/>
      <c r="N255" s="412"/>
      <c r="P255" s="231"/>
      <c r="Q255" s="412"/>
      <c r="R255" s="425"/>
      <c r="S255" s="442"/>
      <c r="T255" s="283" t="str" cm="1">
        <f t="array" ref="T255">IF($B$9="","",_xlfn.IFS($B$9="PRESENCIAL",_xlfn.XLOOKUP($S255,DATA!$B$4:$B$8,DATA!$D$4:$D$8,"",0,),$B$9="VIRTUAL",_xlfn.XLOOKUP($S255,DATA!$G$4:$G$8,DATA!$I$4:$I$8,"",0),$B$9="DISTANCIA",_xlfn.XLOOKUP($S255,DATA!$L$4:$L$8,DATA!$N$4:$N$8,"",0)))</f>
        <v/>
      </c>
      <c r="U255" s="283" t="str" cm="1">
        <f t="array" ref="U255">IF($B$9="","",_xlfn.IFS($B$9="PRESENCIAL",_xlfn.XLOOKUP($S255,DATA!$B$4:$B$8,DATA!$E$4:$E$8,"",0,),$B$9="VIRTUAL",_xlfn.XLOOKUP($S255,DATA!$G$4:$G$8,DATA!$J$4:$J$8,"",0),$B$9="DISTANCIA",_xlfn.XLOOKUP($S255,DATA!$L$4:$L$8,DATA!$O$4:$O$8,"",0)))</f>
        <v/>
      </c>
      <c r="V255" s="261" t="str">
        <f t="shared" si="8"/>
        <v/>
      </c>
      <c r="W255" s="282"/>
      <c r="X255" s="282"/>
      <c r="Y255" s="282"/>
      <c r="Z255" s="282"/>
      <c r="AA255" s="282"/>
      <c r="AB255" s="284"/>
      <c r="AC255" s="262" t="str">
        <f>IF(AE255="","",COUNTIF($AE$1:AE255,AE255))</f>
        <v/>
      </c>
      <c r="AD255" s="261" t="str">
        <f>IF(J255='PLAN DE ESTUDIO'!$XFD$41,"",IF(AE255="","",AC255&amp;K255&amp;L255&amp;M255))</f>
        <v/>
      </c>
      <c r="AE255" s="261" t="str">
        <f>IF(J255='PLAN DE ESTUDIO'!$XFD$41,"",IF(AF255=1,K255&amp;L255&amp;M255,""))</f>
        <v/>
      </c>
      <c r="AF255" s="261">
        <f>COUNTIF($O$1:O255,$O255)</f>
        <v>0</v>
      </c>
      <c r="AG255" s="285" t="str">
        <f>IF(J255='PLAN DE ESTUDIO'!$XFD$41,"",IF(P255="TP","Teórico-Práctica",IF(P255="T","Teórico",IF(P255="P","Práctica",""))))</f>
        <v/>
      </c>
      <c r="AH255" s="234" t="str">
        <f t="shared" si="9"/>
        <v xml:space="preserve"> </v>
      </c>
    </row>
    <row r="256" spans="10:34" x14ac:dyDescent="0.3">
      <c r="J256" s="412"/>
      <c r="K256" s="232"/>
      <c r="L256" s="232"/>
      <c r="M256" s="232"/>
      <c r="N256" s="412"/>
      <c r="P256" s="231"/>
      <c r="Q256" s="412"/>
      <c r="R256" s="425"/>
      <c r="S256" s="442"/>
      <c r="T256" s="283" t="str" cm="1">
        <f t="array" ref="T256">IF($B$9="","",_xlfn.IFS($B$9="PRESENCIAL",_xlfn.XLOOKUP($S256,DATA!$B$4:$B$8,DATA!$D$4:$D$8,"",0,),$B$9="VIRTUAL",_xlfn.XLOOKUP($S256,DATA!$G$4:$G$8,DATA!$I$4:$I$8,"",0),$B$9="DISTANCIA",_xlfn.XLOOKUP($S256,DATA!$L$4:$L$8,DATA!$N$4:$N$8,"",0)))</f>
        <v/>
      </c>
      <c r="U256" s="283" t="str" cm="1">
        <f t="array" ref="U256">IF($B$9="","",_xlfn.IFS($B$9="PRESENCIAL",_xlfn.XLOOKUP($S256,DATA!$B$4:$B$8,DATA!$E$4:$E$8,"",0,),$B$9="VIRTUAL",_xlfn.XLOOKUP($S256,DATA!$G$4:$G$8,DATA!$J$4:$J$8,"",0),$B$9="DISTANCIA",_xlfn.XLOOKUP($S256,DATA!$L$4:$L$8,DATA!$O$4:$O$8,"",0)))</f>
        <v/>
      </c>
      <c r="V256" s="261" t="str">
        <f t="shared" si="8"/>
        <v/>
      </c>
      <c r="W256" s="282"/>
      <c r="X256" s="282"/>
      <c r="Y256" s="282"/>
      <c r="Z256" s="282"/>
      <c r="AA256" s="282"/>
      <c r="AB256" s="284"/>
      <c r="AC256" s="262" t="str">
        <f>IF(AE256="","",COUNTIF($AE$1:AE256,AE256))</f>
        <v/>
      </c>
      <c r="AD256" s="261" t="str">
        <f>IF(J256='PLAN DE ESTUDIO'!$XFD$41,"",IF(AE256="","",AC256&amp;K256&amp;L256&amp;M256))</f>
        <v/>
      </c>
      <c r="AE256" s="261" t="str">
        <f>IF(J256='PLAN DE ESTUDIO'!$XFD$41,"",IF(AF256=1,K256&amp;L256&amp;M256,""))</f>
        <v/>
      </c>
      <c r="AF256" s="261">
        <f>COUNTIF($O$1:O256,$O256)</f>
        <v>0</v>
      </c>
      <c r="AG256" s="285" t="str">
        <f>IF(J256='PLAN DE ESTUDIO'!$XFD$41,"",IF(P256="TP","Teórico-Práctica",IF(P256="T","Teórico",IF(P256="P","Práctica",""))))</f>
        <v/>
      </c>
      <c r="AH256" s="234" t="str">
        <f t="shared" si="9"/>
        <v xml:space="preserve"> </v>
      </c>
    </row>
    <row r="257" spans="10:34" x14ac:dyDescent="0.3">
      <c r="J257" s="412"/>
      <c r="K257" s="232"/>
      <c r="L257" s="232"/>
      <c r="M257" s="232"/>
      <c r="N257" s="412"/>
      <c r="P257" s="231"/>
      <c r="Q257" s="412"/>
      <c r="R257" s="425"/>
      <c r="S257" s="442"/>
      <c r="T257" s="283" t="str" cm="1">
        <f t="array" ref="T257">IF($B$9="","",_xlfn.IFS($B$9="PRESENCIAL",_xlfn.XLOOKUP($S257,DATA!$B$4:$B$8,DATA!$D$4:$D$8,"",0,),$B$9="VIRTUAL",_xlfn.XLOOKUP($S257,DATA!$G$4:$G$8,DATA!$I$4:$I$8,"",0),$B$9="DISTANCIA",_xlfn.XLOOKUP($S257,DATA!$L$4:$L$8,DATA!$N$4:$N$8,"",0)))</f>
        <v/>
      </c>
      <c r="U257" s="283" t="str" cm="1">
        <f t="array" ref="U257">IF($B$9="","",_xlfn.IFS($B$9="PRESENCIAL",_xlfn.XLOOKUP($S257,DATA!$B$4:$B$8,DATA!$E$4:$E$8,"",0,),$B$9="VIRTUAL",_xlfn.XLOOKUP($S257,DATA!$G$4:$G$8,DATA!$J$4:$J$8,"",0),$B$9="DISTANCIA",_xlfn.XLOOKUP($S257,DATA!$L$4:$L$8,DATA!$O$4:$O$8,"",0)))</f>
        <v/>
      </c>
      <c r="V257" s="261" t="str">
        <f t="shared" si="8"/>
        <v/>
      </c>
      <c r="W257" s="282"/>
      <c r="X257" s="282"/>
      <c r="Y257" s="282"/>
      <c r="Z257" s="282"/>
      <c r="AA257" s="282"/>
      <c r="AB257" s="284"/>
      <c r="AC257" s="262" t="str">
        <f>IF(AE257="","",COUNTIF($AE$1:AE257,AE257))</f>
        <v/>
      </c>
      <c r="AD257" s="261" t="str">
        <f>IF(J257='PLAN DE ESTUDIO'!$XFD$41,"",IF(AE257="","",AC257&amp;K257&amp;L257&amp;M257))</f>
        <v/>
      </c>
      <c r="AE257" s="261" t="str">
        <f>IF(J257='PLAN DE ESTUDIO'!$XFD$41,"",IF(AF257=1,K257&amp;L257&amp;M257,""))</f>
        <v/>
      </c>
      <c r="AF257" s="261">
        <f>COUNTIF($O$1:O257,$O257)</f>
        <v>0</v>
      </c>
      <c r="AG257" s="285" t="str">
        <f>IF(J257='PLAN DE ESTUDIO'!$XFD$41,"",IF(P257="TP","Teórico-Práctica",IF(P257="T","Teórico",IF(P257="P","Práctica",""))))</f>
        <v/>
      </c>
      <c r="AH257" s="234" t="str">
        <f t="shared" si="9"/>
        <v xml:space="preserve"> </v>
      </c>
    </row>
    <row r="258" spans="10:34" x14ac:dyDescent="0.3">
      <c r="J258" s="412"/>
      <c r="K258" s="232"/>
      <c r="L258" s="232"/>
      <c r="M258" s="232"/>
      <c r="N258" s="412"/>
      <c r="P258" s="231"/>
      <c r="Q258" s="412"/>
      <c r="R258" s="425"/>
      <c r="S258" s="442"/>
      <c r="T258" s="283" t="str" cm="1">
        <f t="array" ref="T258">IF($B$9="","",_xlfn.IFS($B$9="PRESENCIAL",_xlfn.XLOOKUP($S258,DATA!$B$4:$B$8,DATA!$D$4:$D$8,"",0,),$B$9="VIRTUAL",_xlfn.XLOOKUP($S258,DATA!$G$4:$G$8,DATA!$I$4:$I$8,"",0),$B$9="DISTANCIA",_xlfn.XLOOKUP($S258,DATA!$L$4:$L$8,DATA!$N$4:$N$8,"",0)))</f>
        <v/>
      </c>
      <c r="U258" s="283" t="str" cm="1">
        <f t="array" ref="U258">IF($B$9="","",_xlfn.IFS($B$9="PRESENCIAL",_xlfn.XLOOKUP($S258,DATA!$B$4:$B$8,DATA!$E$4:$E$8,"",0,),$B$9="VIRTUAL",_xlfn.XLOOKUP($S258,DATA!$G$4:$G$8,DATA!$J$4:$J$8,"",0),$B$9="DISTANCIA",_xlfn.XLOOKUP($S258,DATA!$L$4:$L$8,DATA!$O$4:$O$8,"",0)))</f>
        <v/>
      </c>
      <c r="V258" s="261" t="str">
        <f t="shared" si="8"/>
        <v/>
      </c>
      <c r="W258" s="282"/>
      <c r="X258" s="282"/>
      <c r="Y258" s="282"/>
      <c r="Z258" s="282"/>
      <c r="AA258" s="282"/>
      <c r="AB258" s="284"/>
      <c r="AC258" s="262" t="str">
        <f>IF(AE258="","",COUNTIF($AE$1:AE258,AE258))</f>
        <v/>
      </c>
      <c r="AD258" s="261" t="str">
        <f>IF(J258='PLAN DE ESTUDIO'!$XFD$41,"",IF(AE258="","",AC258&amp;K258&amp;L258&amp;M258))</f>
        <v/>
      </c>
      <c r="AE258" s="261" t="str">
        <f>IF(J258='PLAN DE ESTUDIO'!$XFD$41,"",IF(AF258=1,K258&amp;L258&amp;M258,""))</f>
        <v/>
      </c>
      <c r="AF258" s="261">
        <f>COUNTIF($O$1:O258,$O258)</f>
        <v>0</v>
      </c>
      <c r="AG258" s="285" t="str">
        <f>IF(J258='PLAN DE ESTUDIO'!$XFD$41,"",IF(P258="TP","Teórico-Práctica",IF(P258="T","Teórico",IF(P258="P","Práctica",""))))</f>
        <v/>
      </c>
      <c r="AH258" s="234" t="str">
        <f t="shared" si="9"/>
        <v xml:space="preserve"> </v>
      </c>
    </row>
    <row r="259" spans="10:34" x14ac:dyDescent="0.3">
      <c r="J259" s="412"/>
      <c r="K259" s="232"/>
      <c r="L259" s="232"/>
      <c r="M259" s="232"/>
      <c r="N259" s="412"/>
      <c r="P259" s="231"/>
      <c r="Q259" s="412"/>
      <c r="R259" s="425"/>
      <c r="S259" s="442"/>
      <c r="T259" s="283" t="str" cm="1">
        <f t="array" ref="T259">IF($B$9="","",_xlfn.IFS($B$9="PRESENCIAL",_xlfn.XLOOKUP($S259,DATA!$B$4:$B$8,DATA!$D$4:$D$8,"",0,),$B$9="VIRTUAL",_xlfn.XLOOKUP($S259,DATA!$G$4:$G$8,DATA!$I$4:$I$8,"",0),$B$9="DISTANCIA",_xlfn.XLOOKUP($S259,DATA!$L$4:$L$8,DATA!$N$4:$N$8,"",0)))</f>
        <v/>
      </c>
      <c r="U259" s="283" t="str" cm="1">
        <f t="array" ref="U259">IF($B$9="","",_xlfn.IFS($B$9="PRESENCIAL",_xlfn.XLOOKUP($S259,DATA!$B$4:$B$8,DATA!$E$4:$E$8,"",0,),$B$9="VIRTUAL",_xlfn.XLOOKUP($S259,DATA!$G$4:$G$8,DATA!$J$4:$J$8,"",0),$B$9="DISTANCIA",_xlfn.XLOOKUP($S259,DATA!$L$4:$L$8,DATA!$O$4:$O$8,"",0)))</f>
        <v/>
      </c>
      <c r="V259" s="261" t="str">
        <f t="shared" si="8"/>
        <v/>
      </c>
      <c r="W259" s="282"/>
      <c r="X259" s="282"/>
      <c r="Y259" s="282"/>
      <c r="Z259" s="282"/>
      <c r="AA259" s="282"/>
      <c r="AB259" s="284"/>
      <c r="AC259" s="262" t="str">
        <f>IF(AE259="","",COUNTIF($AE$1:AE259,AE259))</f>
        <v/>
      </c>
      <c r="AD259" s="261" t="str">
        <f>IF(J259='PLAN DE ESTUDIO'!$XFD$41,"",IF(AE259="","",AC259&amp;K259&amp;L259&amp;M259))</f>
        <v/>
      </c>
      <c r="AE259" s="261" t="str">
        <f>IF(J259='PLAN DE ESTUDIO'!$XFD$41,"",IF(AF259=1,K259&amp;L259&amp;M259,""))</f>
        <v/>
      </c>
      <c r="AF259" s="261">
        <f>COUNTIF($O$1:O259,$O259)</f>
        <v>0</v>
      </c>
      <c r="AG259" s="285" t="str">
        <f>IF(J259='PLAN DE ESTUDIO'!$XFD$41,"",IF(P259="TP","Teórico-Práctica",IF(P259="T","Teórico",IF(P259="P","Práctica",""))))</f>
        <v/>
      </c>
      <c r="AH259" s="234" t="str">
        <f t="shared" si="9"/>
        <v xml:space="preserve"> </v>
      </c>
    </row>
    <row r="260" spans="10:34" x14ac:dyDescent="0.3">
      <c r="J260" s="412"/>
      <c r="K260" s="232"/>
      <c r="L260" s="232"/>
      <c r="M260" s="232"/>
      <c r="N260" s="412"/>
      <c r="P260" s="231"/>
      <c r="Q260" s="412"/>
      <c r="R260" s="425"/>
      <c r="S260" s="442"/>
      <c r="T260" s="283" t="str" cm="1">
        <f t="array" ref="T260">IF($B$9="","",_xlfn.IFS($B$9="PRESENCIAL",_xlfn.XLOOKUP($S260,DATA!$B$4:$B$8,DATA!$D$4:$D$8,"",0,),$B$9="VIRTUAL",_xlfn.XLOOKUP($S260,DATA!$G$4:$G$8,DATA!$I$4:$I$8,"",0),$B$9="DISTANCIA",_xlfn.XLOOKUP($S260,DATA!$L$4:$L$8,DATA!$N$4:$N$8,"",0)))</f>
        <v/>
      </c>
      <c r="U260" s="283" t="str" cm="1">
        <f t="array" ref="U260">IF($B$9="","",_xlfn.IFS($B$9="PRESENCIAL",_xlfn.XLOOKUP($S260,DATA!$B$4:$B$8,DATA!$E$4:$E$8,"",0,),$B$9="VIRTUAL",_xlfn.XLOOKUP($S260,DATA!$G$4:$G$8,DATA!$J$4:$J$8,"",0),$B$9="DISTANCIA",_xlfn.XLOOKUP($S260,DATA!$L$4:$L$8,DATA!$O$4:$O$8,"",0)))</f>
        <v/>
      </c>
      <c r="V260" s="261" t="str">
        <f t="shared" si="8"/>
        <v/>
      </c>
      <c r="W260" s="282"/>
      <c r="X260" s="282"/>
      <c r="Y260" s="282"/>
      <c r="Z260" s="282"/>
      <c r="AA260" s="282"/>
      <c r="AB260" s="284"/>
      <c r="AC260" s="262" t="str">
        <f>IF(AE260="","",COUNTIF($AE$1:AE260,AE260))</f>
        <v/>
      </c>
      <c r="AD260" s="261" t="str">
        <f>IF(J260='PLAN DE ESTUDIO'!$XFD$41,"",IF(AE260="","",AC260&amp;K260&amp;L260&amp;M260))</f>
        <v/>
      </c>
      <c r="AE260" s="261" t="str">
        <f>IF(J260='PLAN DE ESTUDIO'!$XFD$41,"",IF(AF260=1,K260&amp;L260&amp;M260,""))</f>
        <v/>
      </c>
      <c r="AF260" s="261">
        <f>COUNTIF($O$1:O260,$O260)</f>
        <v>0</v>
      </c>
      <c r="AG260" s="285" t="str">
        <f>IF(J260='PLAN DE ESTUDIO'!$XFD$41,"",IF(P260="TP","Teórico-Práctica",IF(P260="T","Teórico",IF(P260="P","Práctica",""))))</f>
        <v/>
      </c>
      <c r="AH260" s="234" t="str">
        <f t="shared" si="9"/>
        <v xml:space="preserve"> </v>
      </c>
    </row>
    <row r="261" spans="10:34" x14ac:dyDescent="0.3">
      <c r="J261" s="412"/>
      <c r="K261" s="232"/>
      <c r="L261" s="232"/>
      <c r="M261" s="232"/>
      <c r="N261" s="412"/>
      <c r="P261" s="231"/>
      <c r="Q261" s="412"/>
      <c r="R261" s="425"/>
      <c r="S261" s="442"/>
      <c r="T261" s="283" t="str" cm="1">
        <f t="array" ref="T261">IF($B$9="","",_xlfn.IFS($B$9="PRESENCIAL",_xlfn.XLOOKUP($S261,DATA!$B$4:$B$8,DATA!$D$4:$D$8,"",0,),$B$9="VIRTUAL",_xlfn.XLOOKUP($S261,DATA!$G$4:$G$8,DATA!$I$4:$I$8,"",0),$B$9="DISTANCIA",_xlfn.XLOOKUP($S261,DATA!$L$4:$L$8,DATA!$N$4:$N$8,"",0)))</f>
        <v/>
      </c>
      <c r="U261" s="283" t="str" cm="1">
        <f t="array" ref="U261">IF($B$9="","",_xlfn.IFS($B$9="PRESENCIAL",_xlfn.XLOOKUP($S261,DATA!$B$4:$B$8,DATA!$E$4:$E$8,"",0,),$B$9="VIRTUAL",_xlfn.XLOOKUP($S261,DATA!$G$4:$G$8,DATA!$J$4:$J$8,"",0),$B$9="DISTANCIA",_xlfn.XLOOKUP($S261,DATA!$L$4:$L$8,DATA!$O$4:$O$8,"",0)))</f>
        <v/>
      </c>
      <c r="V261" s="261" t="str">
        <f t="shared" si="8"/>
        <v/>
      </c>
      <c r="W261" s="282"/>
      <c r="X261" s="282"/>
      <c r="Y261" s="282"/>
      <c r="Z261" s="282"/>
      <c r="AA261" s="282"/>
      <c r="AB261" s="284"/>
      <c r="AC261" s="262" t="str">
        <f>IF(AE261="","",COUNTIF($AE$1:AE261,AE261))</f>
        <v/>
      </c>
      <c r="AD261" s="261" t="str">
        <f>IF(J261='PLAN DE ESTUDIO'!$XFD$41,"",IF(AE261="","",AC261&amp;K261&amp;L261&amp;M261))</f>
        <v/>
      </c>
      <c r="AE261" s="261" t="str">
        <f>IF(J261='PLAN DE ESTUDIO'!$XFD$41,"",IF(AF261=1,K261&amp;L261&amp;M261,""))</f>
        <v/>
      </c>
      <c r="AF261" s="261">
        <f>COUNTIF($O$1:O261,$O261)</f>
        <v>0</v>
      </c>
      <c r="AG261" s="285" t="str">
        <f>IF(J261='PLAN DE ESTUDIO'!$XFD$41,"",IF(P261="TP","Teórico-Práctica",IF(P261="T","Teórico",IF(P261="P","Práctica",""))))</f>
        <v/>
      </c>
      <c r="AH261" s="234" t="str">
        <f t="shared" si="9"/>
        <v xml:space="preserve"> </v>
      </c>
    </row>
    <row r="262" spans="10:34" x14ac:dyDescent="0.3">
      <c r="J262" s="412"/>
      <c r="K262" s="232"/>
      <c r="L262" s="232"/>
      <c r="M262" s="232"/>
      <c r="N262" s="412"/>
      <c r="P262" s="231"/>
      <c r="Q262" s="412"/>
      <c r="R262" s="425"/>
      <c r="S262" s="442"/>
      <c r="T262" s="283" t="str" cm="1">
        <f t="array" ref="T262">IF($B$9="","",_xlfn.IFS($B$9="PRESENCIAL",_xlfn.XLOOKUP($S262,DATA!$B$4:$B$8,DATA!$D$4:$D$8,"",0,),$B$9="VIRTUAL",_xlfn.XLOOKUP($S262,DATA!$G$4:$G$8,DATA!$I$4:$I$8,"",0),$B$9="DISTANCIA",_xlfn.XLOOKUP($S262,DATA!$L$4:$L$8,DATA!$N$4:$N$8,"",0)))</f>
        <v/>
      </c>
      <c r="U262" s="283" t="str" cm="1">
        <f t="array" ref="U262">IF($B$9="","",_xlfn.IFS($B$9="PRESENCIAL",_xlfn.XLOOKUP($S262,DATA!$B$4:$B$8,DATA!$E$4:$E$8,"",0,),$B$9="VIRTUAL",_xlfn.XLOOKUP($S262,DATA!$G$4:$G$8,DATA!$J$4:$J$8,"",0),$B$9="DISTANCIA",_xlfn.XLOOKUP($S262,DATA!$L$4:$L$8,DATA!$O$4:$O$8,"",0)))</f>
        <v/>
      </c>
      <c r="V262" s="261" t="str">
        <f t="shared" si="8"/>
        <v/>
      </c>
      <c r="W262" s="282"/>
      <c r="X262" s="282"/>
      <c r="Y262" s="282"/>
      <c r="Z262" s="282"/>
      <c r="AA262" s="282"/>
      <c r="AB262" s="284"/>
      <c r="AC262" s="262" t="str">
        <f>IF(AE262="","",COUNTIF($AE$1:AE262,AE262))</f>
        <v/>
      </c>
      <c r="AD262" s="261" t="str">
        <f>IF(J262='PLAN DE ESTUDIO'!$XFD$41,"",IF(AE262="","",AC262&amp;K262&amp;L262&amp;M262))</f>
        <v/>
      </c>
      <c r="AE262" s="261" t="str">
        <f>IF(J262='PLAN DE ESTUDIO'!$XFD$41,"",IF(AF262=1,K262&amp;L262&amp;M262,""))</f>
        <v/>
      </c>
      <c r="AF262" s="261">
        <f>COUNTIF($O$1:O262,$O262)</f>
        <v>0</v>
      </c>
      <c r="AG262" s="285" t="str">
        <f>IF(J262='PLAN DE ESTUDIO'!$XFD$41,"",IF(P262="TP","Teórico-Práctica",IF(P262="T","Teórico",IF(P262="P","Práctica",""))))</f>
        <v/>
      </c>
      <c r="AH262" s="234" t="str">
        <f t="shared" si="9"/>
        <v xml:space="preserve"> </v>
      </c>
    </row>
    <row r="263" spans="10:34" x14ac:dyDescent="0.3">
      <c r="J263" s="412"/>
      <c r="K263" s="232"/>
      <c r="L263" s="232"/>
      <c r="M263" s="232"/>
      <c r="N263" s="412"/>
      <c r="P263" s="231"/>
      <c r="Q263" s="412"/>
      <c r="R263" s="425"/>
      <c r="S263" s="442"/>
      <c r="T263" s="283" t="str" cm="1">
        <f t="array" ref="T263">IF($B$9="","",_xlfn.IFS($B$9="PRESENCIAL",_xlfn.XLOOKUP($S263,DATA!$B$4:$B$8,DATA!$D$4:$D$8,"",0,),$B$9="VIRTUAL",_xlfn.XLOOKUP($S263,DATA!$G$4:$G$8,DATA!$I$4:$I$8,"",0),$B$9="DISTANCIA",_xlfn.XLOOKUP($S263,DATA!$L$4:$L$8,DATA!$N$4:$N$8,"",0)))</f>
        <v/>
      </c>
      <c r="U263" s="283" t="str" cm="1">
        <f t="array" ref="U263">IF($B$9="","",_xlfn.IFS($B$9="PRESENCIAL",_xlfn.XLOOKUP($S263,DATA!$B$4:$B$8,DATA!$E$4:$E$8,"",0,),$B$9="VIRTUAL",_xlfn.XLOOKUP($S263,DATA!$G$4:$G$8,DATA!$J$4:$J$8,"",0),$B$9="DISTANCIA",_xlfn.XLOOKUP($S263,DATA!$L$4:$L$8,DATA!$O$4:$O$8,"",0)))</f>
        <v/>
      </c>
      <c r="V263" s="261" t="str">
        <f t="shared" si="8"/>
        <v/>
      </c>
      <c r="W263" s="282"/>
      <c r="X263" s="282"/>
      <c r="Y263" s="282"/>
      <c r="Z263" s="282"/>
      <c r="AA263" s="282"/>
      <c r="AB263" s="284"/>
      <c r="AC263" s="262" t="str">
        <f>IF(AE263="","",COUNTIF($AE$1:AE263,AE263))</f>
        <v/>
      </c>
      <c r="AD263" s="261" t="str">
        <f>IF(J263='PLAN DE ESTUDIO'!$XFD$41,"",IF(AE263="","",AC263&amp;K263&amp;L263&amp;M263))</f>
        <v/>
      </c>
      <c r="AE263" s="261" t="str">
        <f>IF(J263='PLAN DE ESTUDIO'!$XFD$41,"",IF(AF263=1,K263&amp;L263&amp;M263,""))</f>
        <v/>
      </c>
      <c r="AF263" s="261">
        <f>COUNTIF($O$1:O263,$O263)</f>
        <v>0</v>
      </c>
      <c r="AG263" s="285" t="str">
        <f>IF(J263='PLAN DE ESTUDIO'!$XFD$41,"",IF(P263="TP","Teórico-Práctica",IF(P263="T","Teórico",IF(P263="P","Práctica",""))))</f>
        <v/>
      </c>
      <c r="AH263" s="234" t="str">
        <f t="shared" si="9"/>
        <v xml:space="preserve"> </v>
      </c>
    </row>
    <row r="264" spans="10:34" x14ac:dyDescent="0.3">
      <c r="J264" s="412"/>
      <c r="K264" s="232"/>
      <c r="L264" s="232"/>
      <c r="M264" s="232"/>
      <c r="N264" s="412"/>
      <c r="P264" s="231"/>
      <c r="Q264" s="412"/>
      <c r="R264" s="425"/>
      <c r="S264" s="442"/>
      <c r="T264" s="283" t="str" cm="1">
        <f t="array" ref="T264">IF($B$9="","",_xlfn.IFS($B$9="PRESENCIAL",_xlfn.XLOOKUP($S264,DATA!$B$4:$B$8,DATA!$D$4:$D$8,"",0,),$B$9="VIRTUAL",_xlfn.XLOOKUP($S264,DATA!$G$4:$G$8,DATA!$I$4:$I$8,"",0),$B$9="DISTANCIA",_xlfn.XLOOKUP($S264,DATA!$L$4:$L$8,DATA!$N$4:$N$8,"",0)))</f>
        <v/>
      </c>
      <c r="U264" s="283" t="str" cm="1">
        <f t="array" ref="U264">IF($B$9="","",_xlfn.IFS($B$9="PRESENCIAL",_xlfn.XLOOKUP($S264,DATA!$B$4:$B$8,DATA!$E$4:$E$8,"",0,),$B$9="VIRTUAL",_xlfn.XLOOKUP($S264,DATA!$G$4:$G$8,DATA!$J$4:$J$8,"",0),$B$9="DISTANCIA",_xlfn.XLOOKUP($S264,DATA!$L$4:$L$8,DATA!$O$4:$O$8,"",0)))</f>
        <v/>
      </c>
      <c r="V264" s="261" t="str">
        <f t="shared" si="8"/>
        <v/>
      </c>
      <c r="W264" s="282"/>
      <c r="X264" s="282"/>
      <c r="Y264" s="282"/>
      <c r="Z264" s="282"/>
      <c r="AA264" s="282"/>
      <c r="AB264" s="284"/>
      <c r="AC264" s="262" t="str">
        <f>IF(AE264="","",COUNTIF($AE$1:AE264,AE264))</f>
        <v/>
      </c>
      <c r="AD264" s="261" t="str">
        <f>IF(J264='PLAN DE ESTUDIO'!$XFD$41,"",IF(AE264="","",AC264&amp;K264&amp;L264&amp;M264))</f>
        <v/>
      </c>
      <c r="AE264" s="261" t="str">
        <f>IF(J264='PLAN DE ESTUDIO'!$XFD$41,"",IF(AF264=1,K264&amp;L264&amp;M264,""))</f>
        <v/>
      </c>
      <c r="AF264" s="261">
        <f>COUNTIF($O$1:O264,$O264)</f>
        <v>0</v>
      </c>
      <c r="AG264" s="285" t="str">
        <f>IF(J264='PLAN DE ESTUDIO'!$XFD$41,"",IF(P264="TP","Teórico-Práctica",IF(P264="T","Teórico",IF(P264="P","Práctica",""))))</f>
        <v/>
      </c>
      <c r="AH264" s="234" t="str">
        <f t="shared" si="9"/>
        <v xml:space="preserve"> </v>
      </c>
    </row>
    <row r="265" spans="10:34" x14ac:dyDescent="0.3">
      <c r="J265" s="412"/>
      <c r="K265" s="232"/>
      <c r="L265" s="232"/>
      <c r="M265" s="232"/>
      <c r="N265" s="412"/>
      <c r="P265" s="231"/>
      <c r="Q265" s="412"/>
      <c r="R265" s="425"/>
      <c r="S265" s="442"/>
      <c r="T265" s="283" t="str" cm="1">
        <f t="array" ref="T265">IF($B$9="","",_xlfn.IFS($B$9="PRESENCIAL",_xlfn.XLOOKUP($S265,DATA!$B$4:$B$8,DATA!$D$4:$D$8,"",0,),$B$9="VIRTUAL",_xlfn.XLOOKUP($S265,DATA!$G$4:$G$8,DATA!$I$4:$I$8,"",0),$B$9="DISTANCIA",_xlfn.XLOOKUP($S265,DATA!$L$4:$L$8,DATA!$N$4:$N$8,"",0)))</f>
        <v/>
      </c>
      <c r="U265" s="283" t="str" cm="1">
        <f t="array" ref="U265">IF($B$9="","",_xlfn.IFS($B$9="PRESENCIAL",_xlfn.XLOOKUP($S265,DATA!$B$4:$B$8,DATA!$E$4:$E$8,"",0,),$B$9="VIRTUAL",_xlfn.XLOOKUP($S265,DATA!$G$4:$G$8,DATA!$J$4:$J$8,"",0),$B$9="DISTANCIA",_xlfn.XLOOKUP($S265,DATA!$L$4:$L$8,DATA!$O$4:$O$8,"",0)))</f>
        <v/>
      </c>
      <c r="V265" s="261" t="str">
        <f t="shared" si="8"/>
        <v/>
      </c>
      <c r="W265" s="282"/>
      <c r="X265" s="282"/>
      <c r="Y265" s="282"/>
      <c r="Z265" s="282"/>
      <c r="AA265" s="282"/>
      <c r="AB265" s="284"/>
      <c r="AC265" s="262" t="str">
        <f>IF(AE265="","",COUNTIF($AE$1:AE265,AE265))</f>
        <v/>
      </c>
      <c r="AD265" s="261" t="str">
        <f>IF(J265='PLAN DE ESTUDIO'!$XFD$41,"",IF(AE265="","",AC265&amp;K265&amp;L265&amp;M265))</f>
        <v/>
      </c>
      <c r="AE265" s="261" t="str">
        <f>IF(J265='PLAN DE ESTUDIO'!$XFD$41,"",IF(AF265=1,K265&amp;L265&amp;M265,""))</f>
        <v/>
      </c>
      <c r="AF265" s="261">
        <f>COUNTIF($O$1:O265,$O265)</f>
        <v>0</v>
      </c>
      <c r="AG265" s="285" t="str">
        <f>IF(J265='PLAN DE ESTUDIO'!$XFD$41,"",IF(P265="TP","Teórico-Práctica",IF(P265="T","Teórico",IF(P265="P","Práctica",""))))</f>
        <v/>
      </c>
      <c r="AH265" s="234" t="str">
        <f t="shared" si="9"/>
        <v xml:space="preserve"> </v>
      </c>
    </row>
    <row r="266" spans="10:34" x14ac:dyDescent="0.3">
      <c r="J266" s="412"/>
      <c r="K266" s="232"/>
      <c r="L266" s="232"/>
      <c r="M266" s="232"/>
      <c r="N266" s="412"/>
      <c r="P266" s="231"/>
      <c r="Q266" s="412"/>
      <c r="R266" s="425"/>
      <c r="S266" s="442"/>
      <c r="T266" s="283" t="str" cm="1">
        <f t="array" ref="T266">IF($B$9="","",_xlfn.IFS($B$9="PRESENCIAL",_xlfn.XLOOKUP($S266,DATA!$B$4:$B$8,DATA!$D$4:$D$8,"",0,),$B$9="VIRTUAL",_xlfn.XLOOKUP($S266,DATA!$G$4:$G$8,DATA!$I$4:$I$8,"",0),$B$9="DISTANCIA",_xlfn.XLOOKUP($S266,DATA!$L$4:$L$8,DATA!$N$4:$N$8,"",0)))</f>
        <v/>
      </c>
      <c r="U266" s="283" t="str" cm="1">
        <f t="array" ref="U266">IF($B$9="","",_xlfn.IFS($B$9="PRESENCIAL",_xlfn.XLOOKUP($S266,DATA!$B$4:$B$8,DATA!$E$4:$E$8,"",0,),$B$9="VIRTUAL",_xlfn.XLOOKUP($S266,DATA!$G$4:$G$8,DATA!$J$4:$J$8,"",0),$B$9="DISTANCIA",_xlfn.XLOOKUP($S266,DATA!$L$4:$L$8,DATA!$O$4:$O$8,"",0)))</f>
        <v/>
      </c>
      <c r="V266" s="261" t="str">
        <f t="shared" si="8"/>
        <v/>
      </c>
      <c r="W266" s="282"/>
      <c r="X266" s="282"/>
      <c r="Y266" s="282"/>
      <c r="Z266" s="282"/>
      <c r="AA266" s="282"/>
      <c r="AB266" s="284"/>
      <c r="AC266" s="262" t="str">
        <f>IF(AE266="","",COUNTIF($AE$1:AE266,AE266))</f>
        <v/>
      </c>
      <c r="AD266" s="261" t="str">
        <f>IF(J266='PLAN DE ESTUDIO'!$XFD$41,"",IF(AE266="","",AC266&amp;K266&amp;L266&amp;M266))</f>
        <v/>
      </c>
      <c r="AE266" s="261" t="str">
        <f>IF(J266='PLAN DE ESTUDIO'!$XFD$41,"",IF(AF266=1,K266&amp;L266&amp;M266,""))</f>
        <v/>
      </c>
      <c r="AF266" s="261">
        <f>COUNTIF($O$1:O266,$O266)</f>
        <v>0</v>
      </c>
      <c r="AG266" s="285" t="str">
        <f>IF(J266='PLAN DE ESTUDIO'!$XFD$41,"",IF(P266="TP","Teórico-Práctica",IF(P266="T","Teórico",IF(P266="P","Práctica",""))))</f>
        <v/>
      </c>
      <c r="AH266" s="234" t="str">
        <f t="shared" si="9"/>
        <v xml:space="preserve"> </v>
      </c>
    </row>
    <row r="267" spans="10:34" x14ac:dyDescent="0.3">
      <c r="J267" s="412"/>
      <c r="K267" s="232"/>
      <c r="L267" s="232"/>
      <c r="M267" s="232"/>
      <c r="N267" s="412"/>
      <c r="P267" s="231"/>
      <c r="Q267" s="412"/>
      <c r="R267" s="425"/>
      <c r="S267" s="442"/>
      <c r="T267" s="283" t="str" cm="1">
        <f t="array" ref="T267">IF($B$9="","",_xlfn.IFS($B$9="PRESENCIAL",_xlfn.XLOOKUP($S267,DATA!$B$4:$B$8,DATA!$D$4:$D$8,"",0,),$B$9="VIRTUAL",_xlfn.XLOOKUP($S267,DATA!$G$4:$G$8,DATA!$I$4:$I$8,"",0),$B$9="DISTANCIA",_xlfn.XLOOKUP($S267,DATA!$L$4:$L$8,DATA!$N$4:$N$8,"",0)))</f>
        <v/>
      </c>
      <c r="U267" s="283" t="str" cm="1">
        <f t="array" ref="U267">IF($B$9="","",_xlfn.IFS($B$9="PRESENCIAL",_xlfn.XLOOKUP($S267,DATA!$B$4:$B$8,DATA!$E$4:$E$8,"",0,),$B$9="VIRTUAL",_xlfn.XLOOKUP($S267,DATA!$G$4:$G$8,DATA!$J$4:$J$8,"",0),$B$9="DISTANCIA",_xlfn.XLOOKUP($S267,DATA!$L$4:$L$8,DATA!$O$4:$O$8,"",0)))</f>
        <v/>
      </c>
      <c r="V267" s="261" t="str">
        <f t="shared" si="8"/>
        <v/>
      </c>
      <c r="W267" s="282"/>
      <c r="X267" s="282"/>
      <c r="Y267" s="282"/>
      <c r="Z267" s="282"/>
      <c r="AA267" s="282"/>
      <c r="AB267" s="284"/>
      <c r="AC267" s="262" t="str">
        <f>IF(AE267="","",COUNTIF($AE$1:AE267,AE267))</f>
        <v/>
      </c>
      <c r="AD267" s="261" t="str">
        <f>IF(J267='PLAN DE ESTUDIO'!$XFD$41,"",IF(AE267="","",AC267&amp;K267&amp;L267&amp;M267))</f>
        <v/>
      </c>
      <c r="AE267" s="261" t="str">
        <f>IF(J267='PLAN DE ESTUDIO'!$XFD$41,"",IF(AF267=1,K267&amp;L267&amp;M267,""))</f>
        <v/>
      </c>
      <c r="AF267" s="261">
        <f>COUNTIF($O$1:O267,$O267)</f>
        <v>0</v>
      </c>
      <c r="AG267" s="285" t="str">
        <f>IF(J267='PLAN DE ESTUDIO'!$XFD$41,"",IF(P267="TP","Teórico-Práctica",IF(P267="T","Teórico",IF(P267="P","Práctica",""))))</f>
        <v/>
      </c>
      <c r="AH267" s="234" t="str">
        <f t="shared" si="9"/>
        <v xml:space="preserve"> </v>
      </c>
    </row>
    <row r="268" spans="10:34" x14ac:dyDescent="0.3">
      <c r="J268" s="412"/>
      <c r="K268" s="232"/>
      <c r="L268" s="232"/>
      <c r="M268" s="232"/>
      <c r="N268" s="412"/>
      <c r="P268" s="231"/>
      <c r="Q268" s="412"/>
      <c r="R268" s="425"/>
      <c r="S268" s="442"/>
      <c r="T268" s="283" t="str" cm="1">
        <f t="array" ref="T268">IF($B$9="","",_xlfn.IFS($B$9="PRESENCIAL",_xlfn.XLOOKUP($S268,DATA!$B$4:$B$8,DATA!$D$4:$D$8,"",0,),$B$9="VIRTUAL",_xlfn.XLOOKUP($S268,DATA!$G$4:$G$8,DATA!$I$4:$I$8,"",0),$B$9="DISTANCIA",_xlfn.XLOOKUP($S268,DATA!$L$4:$L$8,DATA!$N$4:$N$8,"",0)))</f>
        <v/>
      </c>
      <c r="U268" s="283" t="str" cm="1">
        <f t="array" ref="U268">IF($B$9="","",_xlfn.IFS($B$9="PRESENCIAL",_xlfn.XLOOKUP($S268,DATA!$B$4:$B$8,DATA!$E$4:$E$8,"",0,),$B$9="VIRTUAL",_xlfn.XLOOKUP($S268,DATA!$G$4:$G$8,DATA!$J$4:$J$8,"",0),$B$9="DISTANCIA",_xlfn.XLOOKUP($S268,DATA!$L$4:$L$8,DATA!$O$4:$O$8,"",0)))</f>
        <v/>
      </c>
      <c r="V268" s="261" t="str">
        <f t="shared" si="8"/>
        <v/>
      </c>
      <c r="W268" s="282"/>
      <c r="X268" s="282"/>
      <c r="Y268" s="282"/>
      <c r="Z268" s="282"/>
      <c r="AA268" s="282"/>
      <c r="AB268" s="284"/>
      <c r="AC268" s="262" t="str">
        <f>IF(AE268="","",COUNTIF($AE$1:AE268,AE268))</f>
        <v/>
      </c>
      <c r="AD268" s="261" t="str">
        <f>IF(J268='PLAN DE ESTUDIO'!$XFD$41,"",IF(AE268="","",AC268&amp;K268&amp;L268&amp;M268))</f>
        <v/>
      </c>
      <c r="AE268" s="261" t="str">
        <f>IF(J268='PLAN DE ESTUDIO'!$XFD$41,"",IF(AF268=1,K268&amp;L268&amp;M268,""))</f>
        <v/>
      </c>
      <c r="AF268" s="261">
        <f>COUNTIF($O$1:O268,$O268)</f>
        <v>0</v>
      </c>
      <c r="AG268" s="285" t="str">
        <f>IF(J268='PLAN DE ESTUDIO'!$XFD$41,"",IF(P268="TP","Teórico-Práctica",IF(P268="T","Teórico",IF(P268="P","Práctica",""))))</f>
        <v/>
      </c>
      <c r="AH268" s="234" t="str">
        <f t="shared" si="9"/>
        <v xml:space="preserve"> </v>
      </c>
    </row>
    <row r="269" spans="10:34" x14ac:dyDescent="0.3">
      <c r="J269" s="412"/>
      <c r="K269" s="232"/>
      <c r="L269" s="232"/>
      <c r="M269" s="232"/>
      <c r="N269" s="412"/>
      <c r="P269" s="231"/>
      <c r="Q269" s="412"/>
      <c r="R269" s="425"/>
      <c r="S269" s="442"/>
      <c r="T269" s="283" t="str" cm="1">
        <f t="array" ref="T269">IF($B$9="","",_xlfn.IFS($B$9="PRESENCIAL",_xlfn.XLOOKUP($S269,DATA!$B$4:$B$8,DATA!$D$4:$D$8,"",0,),$B$9="VIRTUAL",_xlfn.XLOOKUP($S269,DATA!$G$4:$G$8,DATA!$I$4:$I$8,"",0),$B$9="DISTANCIA",_xlfn.XLOOKUP($S269,DATA!$L$4:$L$8,DATA!$N$4:$N$8,"",0)))</f>
        <v/>
      </c>
      <c r="U269" s="283" t="str" cm="1">
        <f t="array" ref="U269">IF($B$9="","",_xlfn.IFS($B$9="PRESENCIAL",_xlfn.XLOOKUP($S269,DATA!$B$4:$B$8,DATA!$E$4:$E$8,"",0,),$B$9="VIRTUAL",_xlfn.XLOOKUP($S269,DATA!$G$4:$G$8,DATA!$J$4:$J$8,"",0),$B$9="DISTANCIA",_xlfn.XLOOKUP($S269,DATA!$L$4:$L$8,DATA!$O$4:$O$8,"",0)))</f>
        <v/>
      </c>
      <c r="V269" s="261" t="str">
        <f t="shared" si="8"/>
        <v/>
      </c>
      <c r="W269" s="282"/>
      <c r="X269" s="282"/>
      <c r="Y269" s="282"/>
      <c r="Z269" s="282"/>
      <c r="AA269" s="282"/>
      <c r="AB269" s="284"/>
      <c r="AC269" s="262" t="str">
        <f>IF(AE269="","",COUNTIF($AE$1:AE269,AE269))</f>
        <v/>
      </c>
      <c r="AD269" s="261" t="str">
        <f>IF(J269='PLAN DE ESTUDIO'!$XFD$41,"",IF(AE269="","",AC269&amp;K269&amp;L269&amp;M269))</f>
        <v/>
      </c>
      <c r="AE269" s="261" t="str">
        <f>IF(J269='PLAN DE ESTUDIO'!$XFD$41,"",IF(AF269=1,K269&amp;L269&amp;M269,""))</f>
        <v/>
      </c>
      <c r="AF269" s="261">
        <f>COUNTIF($O$1:O269,$O269)</f>
        <v>0</v>
      </c>
      <c r="AG269" s="285" t="str">
        <f>IF(J269='PLAN DE ESTUDIO'!$XFD$41,"",IF(P269="TP","Teórico-Práctica",IF(P269="T","Teórico",IF(P269="P","Práctica",""))))</f>
        <v/>
      </c>
      <c r="AH269" s="234" t="str">
        <f t="shared" si="9"/>
        <v xml:space="preserve"> </v>
      </c>
    </row>
    <row r="270" spans="10:34" x14ac:dyDescent="0.3">
      <c r="J270" s="412"/>
      <c r="K270" s="232"/>
      <c r="L270" s="232"/>
      <c r="M270" s="232"/>
      <c r="N270" s="412"/>
      <c r="P270" s="231"/>
      <c r="Q270" s="412"/>
      <c r="R270" s="425"/>
      <c r="S270" s="442"/>
      <c r="T270" s="283" t="str" cm="1">
        <f t="array" ref="T270">IF($B$9="","",_xlfn.IFS($B$9="PRESENCIAL",_xlfn.XLOOKUP($S270,DATA!$B$4:$B$8,DATA!$D$4:$D$8,"",0,),$B$9="VIRTUAL",_xlfn.XLOOKUP($S270,DATA!$G$4:$G$8,DATA!$I$4:$I$8,"",0),$B$9="DISTANCIA",_xlfn.XLOOKUP($S270,DATA!$L$4:$L$8,DATA!$N$4:$N$8,"",0)))</f>
        <v/>
      </c>
      <c r="U270" s="283" t="str" cm="1">
        <f t="array" ref="U270">IF($B$9="","",_xlfn.IFS($B$9="PRESENCIAL",_xlfn.XLOOKUP($S270,DATA!$B$4:$B$8,DATA!$E$4:$E$8,"",0,),$B$9="VIRTUAL",_xlfn.XLOOKUP($S270,DATA!$G$4:$G$8,DATA!$J$4:$J$8,"",0),$B$9="DISTANCIA",_xlfn.XLOOKUP($S270,DATA!$L$4:$L$8,DATA!$O$4:$O$8,"",0)))</f>
        <v/>
      </c>
      <c r="V270" s="261" t="str">
        <f t="shared" si="8"/>
        <v/>
      </c>
      <c r="W270" s="282"/>
      <c r="X270" s="282"/>
      <c r="Y270" s="282"/>
      <c r="Z270" s="282"/>
      <c r="AA270" s="282"/>
      <c r="AB270" s="284"/>
      <c r="AC270" s="262" t="str">
        <f>IF(AE270="","",COUNTIF($AE$1:AE270,AE270))</f>
        <v/>
      </c>
      <c r="AD270" s="261" t="str">
        <f>IF(J270='PLAN DE ESTUDIO'!$XFD$41,"",IF(AE270="","",AC270&amp;K270&amp;L270&amp;M270))</f>
        <v/>
      </c>
      <c r="AE270" s="261" t="str">
        <f>IF(J270='PLAN DE ESTUDIO'!$XFD$41,"",IF(AF270=1,K270&amp;L270&amp;M270,""))</f>
        <v/>
      </c>
      <c r="AF270" s="261">
        <f>COUNTIF($O$1:O270,$O270)</f>
        <v>0</v>
      </c>
      <c r="AG270" s="285" t="str">
        <f>IF(J270='PLAN DE ESTUDIO'!$XFD$41,"",IF(P270="TP","Teórico-Práctica",IF(P270="T","Teórico",IF(P270="P","Práctica",""))))</f>
        <v/>
      </c>
      <c r="AH270" s="234" t="str">
        <f t="shared" si="9"/>
        <v xml:space="preserve"> </v>
      </c>
    </row>
    <row r="271" spans="10:34" x14ac:dyDescent="0.3">
      <c r="J271" s="412"/>
      <c r="K271" s="232"/>
      <c r="L271" s="232"/>
      <c r="M271" s="232"/>
      <c r="N271" s="412"/>
      <c r="P271" s="231"/>
      <c r="Q271" s="412"/>
      <c r="R271" s="425"/>
      <c r="S271" s="442"/>
      <c r="T271" s="283" t="str" cm="1">
        <f t="array" ref="T271">IF($B$9="","",_xlfn.IFS($B$9="PRESENCIAL",_xlfn.XLOOKUP($S271,DATA!$B$4:$B$8,DATA!$D$4:$D$8,"",0,),$B$9="VIRTUAL",_xlfn.XLOOKUP($S271,DATA!$G$4:$G$8,DATA!$I$4:$I$8,"",0),$B$9="DISTANCIA",_xlfn.XLOOKUP($S271,DATA!$L$4:$L$8,DATA!$N$4:$N$8,"",0)))</f>
        <v/>
      </c>
      <c r="U271" s="283" t="str" cm="1">
        <f t="array" ref="U271">IF($B$9="","",_xlfn.IFS($B$9="PRESENCIAL",_xlfn.XLOOKUP($S271,DATA!$B$4:$B$8,DATA!$E$4:$E$8,"",0,),$B$9="VIRTUAL",_xlfn.XLOOKUP($S271,DATA!$G$4:$G$8,DATA!$J$4:$J$8,"",0),$B$9="DISTANCIA",_xlfn.XLOOKUP($S271,DATA!$L$4:$L$8,DATA!$O$4:$O$8,"",0)))</f>
        <v/>
      </c>
      <c r="V271" s="261" t="str">
        <f t="shared" si="8"/>
        <v/>
      </c>
      <c r="W271" s="282"/>
      <c r="X271" s="282"/>
      <c r="Y271" s="282"/>
      <c r="Z271" s="282"/>
      <c r="AA271" s="282"/>
      <c r="AB271" s="284"/>
      <c r="AC271" s="262" t="str">
        <f>IF(AE271="","",COUNTIF($AE$1:AE271,AE271))</f>
        <v/>
      </c>
      <c r="AD271" s="261" t="str">
        <f>IF(J271='PLAN DE ESTUDIO'!$XFD$41,"",IF(AE271="","",AC271&amp;K271&amp;L271&amp;M271))</f>
        <v/>
      </c>
      <c r="AE271" s="261" t="str">
        <f>IF(J271='PLAN DE ESTUDIO'!$XFD$41,"",IF(AF271=1,K271&amp;L271&amp;M271,""))</f>
        <v/>
      </c>
      <c r="AF271" s="261">
        <f>COUNTIF($O$1:O271,$O271)</f>
        <v>0</v>
      </c>
      <c r="AG271" s="285" t="str">
        <f>IF(J271='PLAN DE ESTUDIO'!$XFD$41,"",IF(P271="TP","Teórico-Práctica",IF(P271="T","Teórico",IF(P271="P","Práctica",""))))</f>
        <v/>
      </c>
      <c r="AH271" s="234" t="str">
        <f t="shared" si="9"/>
        <v xml:space="preserve"> </v>
      </c>
    </row>
    <row r="272" spans="10:34" x14ac:dyDescent="0.3">
      <c r="J272" s="412"/>
      <c r="K272" s="232"/>
      <c r="L272" s="232"/>
      <c r="M272" s="232"/>
      <c r="N272" s="412"/>
      <c r="P272" s="231"/>
      <c r="Q272" s="412"/>
      <c r="R272" s="425"/>
      <c r="S272" s="442"/>
      <c r="T272" s="283" t="str" cm="1">
        <f t="array" ref="T272">IF($B$9="","",_xlfn.IFS($B$9="PRESENCIAL",_xlfn.XLOOKUP($S272,DATA!$B$4:$B$8,DATA!$D$4:$D$8,"",0,),$B$9="VIRTUAL",_xlfn.XLOOKUP($S272,DATA!$G$4:$G$8,DATA!$I$4:$I$8,"",0),$B$9="DISTANCIA",_xlfn.XLOOKUP($S272,DATA!$L$4:$L$8,DATA!$N$4:$N$8,"",0)))</f>
        <v/>
      </c>
      <c r="U272" s="283" t="str" cm="1">
        <f t="array" ref="U272">IF($B$9="","",_xlfn.IFS($B$9="PRESENCIAL",_xlfn.XLOOKUP($S272,DATA!$B$4:$B$8,DATA!$E$4:$E$8,"",0,),$B$9="VIRTUAL",_xlfn.XLOOKUP($S272,DATA!$G$4:$G$8,DATA!$J$4:$J$8,"",0),$B$9="DISTANCIA",_xlfn.XLOOKUP($S272,DATA!$L$4:$L$8,DATA!$O$4:$O$8,"",0)))</f>
        <v/>
      </c>
      <c r="V272" s="261" t="str">
        <f t="shared" si="8"/>
        <v/>
      </c>
      <c r="W272" s="282"/>
      <c r="X272" s="282"/>
      <c r="Y272" s="282"/>
      <c r="Z272" s="282"/>
      <c r="AA272" s="282"/>
      <c r="AB272" s="284"/>
      <c r="AC272" s="262" t="str">
        <f>IF(AE272="","",COUNTIF($AE$1:AE272,AE272))</f>
        <v/>
      </c>
      <c r="AD272" s="261" t="str">
        <f>IF(J272='PLAN DE ESTUDIO'!$XFD$41,"",IF(AE272="","",AC272&amp;K272&amp;L272&amp;M272))</f>
        <v/>
      </c>
      <c r="AE272" s="261" t="str">
        <f>IF(J272='PLAN DE ESTUDIO'!$XFD$41,"",IF(AF272=1,K272&amp;L272&amp;M272,""))</f>
        <v/>
      </c>
      <c r="AF272" s="261">
        <f>COUNTIF($O$1:O272,$O272)</f>
        <v>0</v>
      </c>
      <c r="AG272" s="285" t="str">
        <f>IF(J272='PLAN DE ESTUDIO'!$XFD$41,"",IF(P272="TP","Teórico-Práctica",IF(P272="T","Teórico",IF(P272="P","Práctica",""))))</f>
        <v/>
      </c>
      <c r="AH272" s="234" t="str">
        <f t="shared" si="9"/>
        <v xml:space="preserve"> </v>
      </c>
    </row>
    <row r="273" spans="10:34" x14ac:dyDescent="0.3">
      <c r="J273" s="412"/>
      <c r="K273" s="232"/>
      <c r="L273" s="232"/>
      <c r="M273" s="232"/>
      <c r="N273" s="412"/>
      <c r="P273" s="231"/>
      <c r="Q273" s="412"/>
      <c r="R273" s="425"/>
      <c r="S273" s="442"/>
      <c r="T273" s="283" t="str" cm="1">
        <f t="array" ref="T273">IF($B$9="","",_xlfn.IFS($B$9="PRESENCIAL",_xlfn.XLOOKUP($S273,DATA!$B$4:$B$8,DATA!$D$4:$D$8,"",0,),$B$9="VIRTUAL",_xlfn.XLOOKUP($S273,DATA!$G$4:$G$8,DATA!$I$4:$I$8,"",0),$B$9="DISTANCIA",_xlfn.XLOOKUP($S273,DATA!$L$4:$L$8,DATA!$N$4:$N$8,"",0)))</f>
        <v/>
      </c>
      <c r="U273" s="283" t="str" cm="1">
        <f t="array" ref="U273">IF($B$9="","",_xlfn.IFS($B$9="PRESENCIAL",_xlfn.XLOOKUP($S273,DATA!$B$4:$B$8,DATA!$E$4:$E$8,"",0,),$B$9="VIRTUAL",_xlfn.XLOOKUP($S273,DATA!$G$4:$G$8,DATA!$J$4:$J$8,"",0),$B$9="DISTANCIA",_xlfn.XLOOKUP($S273,DATA!$L$4:$L$8,DATA!$O$4:$O$8,"",0)))</f>
        <v/>
      </c>
      <c r="V273" s="261" t="str">
        <f t="shared" si="8"/>
        <v/>
      </c>
      <c r="W273" s="282"/>
      <c r="X273" s="282"/>
      <c r="Y273" s="282"/>
      <c r="Z273" s="282"/>
      <c r="AA273" s="282"/>
      <c r="AB273" s="284"/>
      <c r="AC273" s="262" t="str">
        <f>IF(AE273="","",COUNTIF($AE$1:AE273,AE273))</f>
        <v/>
      </c>
      <c r="AD273" s="261" t="str">
        <f>IF(J273='PLAN DE ESTUDIO'!$XFD$41,"",IF(AE273="","",AC273&amp;K273&amp;L273&amp;M273))</f>
        <v/>
      </c>
      <c r="AE273" s="261" t="str">
        <f>IF(J273='PLAN DE ESTUDIO'!$XFD$41,"",IF(AF273=1,K273&amp;L273&amp;M273,""))</f>
        <v/>
      </c>
      <c r="AF273" s="261">
        <f>COUNTIF($O$1:O273,$O273)</f>
        <v>0</v>
      </c>
      <c r="AG273" s="285" t="str">
        <f>IF(J273='PLAN DE ESTUDIO'!$XFD$41,"",IF(P273="TP","Teórico-Práctica",IF(P273="T","Teórico",IF(P273="P","Práctica",""))))</f>
        <v/>
      </c>
      <c r="AH273" s="234" t="str">
        <f t="shared" si="9"/>
        <v xml:space="preserve"> </v>
      </c>
    </row>
    <row r="274" spans="10:34" x14ac:dyDescent="0.3">
      <c r="J274" s="412"/>
      <c r="K274" s="232"/>
      <c r="L274" s="232"/>
      <c r="M274" s="232"/>
      <c r="N274" s="412"/>
      <c r="P274" s="231"/>
      <c r="Q274" s="412"/>
      <c r="R274" s="425"/>
      <c r="S274" s="442"/>
      <c r="T274" s="283" t="str" cm="1">
        <f t="array" ref="T274">IF($B$9="","",_xlfn.IFS($B$9="PRESENCIAL",_xlfn.XLOOKUP($S274,DATA!$B$4:$B$8,DATA!$D$4:$D$8,"",0,),$B$9="VIRTUAL",_xlfn.XLOOKUP($S274,DATA!$G$4:$G$8,DATA!$I$4:$I$8,"",0),$B$9="DISTANCIA",_xlfn.XLOOKUP($S274,DATA!$L$4:$L$8,DATA!$N$4:$N$8,"",0)))</f>
        <v/>
      </c>
      <c r="U274" s="283" t="str" cm="1">
        <f t="array" ref="U274">IF($B$9="","",_xlfn.IFS($B$9="PRESENCIAL",_xlfn.XLOOKUP($S274,DATA!$B$4:$B$8,DATA!$E$4:$E$8,"",0,),$B$9="VIRTUAL",_xlfn.XLOOKUP($S274,DATA!$G$4:$G$8,DATA!$J$4:$J$8,"",0),$B$9="DISTANCIA",_xlfn.XLOOKUP($S274,DATA!$L$4:$L$8,DATA!$O$4:$O$8,"",0)))</f>
        <v/>
      </c>
      <c r="V274" s="261" t="str">
        <f t="shared" si="8"/>
        <v/>
      </c>
      <c r="W274" s="282"/>
      <c r="X274" s="282"/>
      <c r="Y274" s="282"/>
      <c r="Z274" s="282"/>
      <c r="AA274" s="282"/>
      <c r="AB274" s="284"/>
      <c r="AC274" s="262" t="str">
        <f>IF(AE274="","",COUNTIF($AE$1:AE274,AE274))</f>
        <v/>
      </c>
      <c r="AD274" s="261" t="str">
        <f>IF(J274='PLAN DE ESTUDIO'!$XFD$41,"",IF(AE274="","",AC274&amp;K274&amp;L274&amp;M274))</f>
        <v/>
      </c>
      <c r="AE274" s="261" t="str">
        <f>IF(J274='PLAN DE ESTUDIO'!$XFD$41,"",IF(AF274=1,K274&amp;L274&amp;M274,""))</f>
        <v/>
      </c>
      <c r="AF274" s="261">
        <f>COUNTIF($O$1:O274,$O274)</f>
        <v>0</v>
      </c>
      <c r="AG274" s="285" t="str">
        <f>IF(J274='PLAN DE ESTUDIO'!$XFD$41,"",IF(P274="TP","Teórico-Práctica",IF(P274="T","Teórico",IF(P274="P","Práctica",""))))</f>
        <v/>
      </c>
      <c r="AH274" s="234" t="str">
        <f t="shared" si="9"/>
        <v xml:space="preserve"> </v>
      </c>
    </row>
    <row r="275" spans="10:34" x14ac:dyDescent="0.3">
      <c r="J275" s="412"/>
      <c r="K275" s="232"/>
      <c r="L275" s="232"/>
      <c r="M275" s="232"/>
      <c r="N275" s="412"/>
      <c r="P275" s="231"/>
      <c r="Q275" s="412"/>
      <c r="R275" s="425"/>
      <c r="S275" s="442"/>
      <c r="T275" s="283" t="str" cm="1">
        <f t="array" ref="T275">IF($B$9="","",_xlfn.IFS($B$9="PRESENCIAL",_xlfn.XLOOKUP($S275,DATA!$B$4:$B$8,DATA!$D$4:$D$8,"",0,),$B$9="VIRTUAL",_xlfn.XLOOKUP($S275,DATA!$G$4:$G$8,DATA!$I$4:$I$8,"",0),$B$9="DISTANCIA",_xlfn.XLOOKUP($S275,DATA!$L$4:$L$8,DATA!$N$4:$N$8,"",0)))</f>
        <v/>
      </c>
      <c r="U275" s="283" t="str" cm="1">
        <f t="array" ref="U275">IF($B$9="","",_xlfn.IFS($B$9="PRESENCIAL",_xlfn.XLOOKUP($S275,DATA!$B$4:$B$8,DATA!$E$4:$E$8,"",0,),$B$9="VIRTUAL",_xlfn.XLOOKUP($S275,DATA!$G$4:$G$8,DATA!$J$4:$J$8,"",0),$B$9="DISTANCIA",_xlfn.XLOOKUP($S275,DATA!$L$4:$L$8,DATA!$O$4:$O$8,"",0)))</f>
        <v/>
      </c>
      <c r="V275" s="261" t="str">
        <f t="shared" si="8"/>
        <v/>
      </c>
      <c r="W275" s="282"/>
      <c r="X275" s="282"/>
      <c r="Y275" s="282"/>
      <c r="Z275" s="282"/>
      <c r="AA275" s="282"/>
      <c r="AB275" s="284"/>
      <c r="AC275" s="262" t="str">
        <f>IF(AE275="","",COUNTIF($AE$1:AE275,AE275))</f>
        <v/>
      </c>
      <c r="AD275" s="261" t="str">
        <f>IF(J275='PLAN DE ESTUDIO'!$XFD$41,"",IF(AE275="","",AC275&amp;K275&amp;L275&amp;M275))</f>
        <v/>
      </c>
      <c r="AE275" s="261" t="str">
        <f>IF(J275='PLAN DE ESTUDIO'!$XFD$41,"",IF(AF275=1,K275&amp;L275&amp;M275,""))</f>
        <v/>
      </c>
      <c r="AF275" s="261">
        <f>COUNTIF($O$1:O275,$O275)</f>
        <v>0</v>
      </c>
      <c r="AG275" s="285" t="str">
        <f>IF(J275='PLAN DE ESTUDIO'!$XFD$41,"",IF(P275="TP","Teórico-Práctica",IF(P275="T","Teórico",IF(P275="P","Práctica",""))))</f>
        <v/>
      </c>
      <c r="AH275" s="234" t="str">
        <f t="shared" si="9"/>
        <v xml:space="preserve"> </v>
      </c>
    </row>
    <row r="276" spans="10:34" x14ac:dyDescent="0.3">
      <c r="J276" s="412"/>
      <c r="K276" s="232"/>
      <c r="L276" s="232"/>
      <c r="M276" s="232"/>
      <c r="N276" s="412"/>
      <c r="P276" s="231"/>
      <c r="Q276" s="412"/>
      <c r="R276" s="425"/>
      <c r="S276" s="442"/>
      <c r="T276" s="283" t="str" cm="1">
        <f t="array" ref="T276">IF($B$9="","",_xlfn.IFS($B$9="PRESENCIAL",_xlfn.XLOOKUP($S276,DATA!$B$4:$B$8,DATA!$D$4:$D$8,"",0,),$B$9="VIRTUAL",_xlfn.XLOOKUP($S276,DATA!$G$4:$G$8,DATA!$I$4:$I$8,"",0),$B$9="DISTANCIA",_xlfn.XLOOKUP($S276,DATA!$L$4:$L$8,DATA!$N$4:$N$8,"",0)))</f>
        <v/>
      </c>
      <c r="U276" s="283" t="str" cm="1">
        <f t="array" ref="U276">IF($B$9="","",_xlfn.IFS($B$9="PRESENCIAL",_xlfn.XLOOKUP($S276,DATA!$B$4:$B$8,DATA!$E$4:$E$8,"",0,),$B$9="VIRTUAL",_xlfn.XLOOKUP($S276,DATA!$G$4:$G$8,DATA!$J$4:$J$8,"",0),$B$9="DISTANCIA",_xlfn.XLOOKUP($S276,DATA!$L$4:$L$8,DATA!$O$4:$O$8,"",0)))</f>
        <v/>
      </c>
      <c r="V276" s="261" t="str">
        <f t="shared" si="8"/>
        <v/>
      </c>
      <c r="W276" s="282"/>
      <c r="X276" s="282"/>
      <c r="Y276" s="282"/>
      <c r="Z276" s="282"/>
      <c r="AA276" s="282"/>
      <c r="AB276" s="284"/>
      <c r="AC276" s="262" t="str">
        <f>IF(AE276="","",COUNTIF($AE$1:AE276,AE276))</f>
        <v/>
      </c>
      <c r="AD276" s="261" t="str">
        <f>IF(J276='PLAN DE ESTUDIO'!$XFD$41,"",IF(AE276="","",AC276&amp;K276&amp;L276&amp;M276))</f>
        <v/>
      </c>
      <c r="AE276" s="261" t="str">
        <f>IF(J276='PLAN DE ESTUDIO'!$XFD$41,"",IF(AF276=1,K276&amp;L276&amp;M276,""))</f>
        <v/>
      </c>
      <c r="AF276" s="261">
        <f>COUNTIF($O$1:O276,$O276)</f>
        <v>0</v>
      </c>
      <c r="AG276" s="285" t="str">
        <f>IF(J276='PLAN DE ESTUDIO'!$XFD$41,"",IF(P276="TP","Teórico-Práctica",IF(P276="T","Teórico",IF(P276="P","Práctica",""))))</f>
        <v/>
      </c>
      <c r="AH276" s="234" t="str">
        <f t="shared" si="9"/>
        <v xml:space="preserve"> </v>
      </c>
    </row>
    <row r="277" spans="10:34" x14ac:dyDescent="0.3">
      <c r="J277" s="412"/>
      <c r="K277" s="232"/>
      <c r="L277" s="232"/>
      <c r="M277" s="232"/>
      <c r="N277" s="412"/>
      <c r="P277" s="231"/>
      <c r="Q277" s="412"/>
      <c r="R277" s="425"/>
      <c r="S277" s="442"/>
      <c r="T277" s="283" t="str" cm="1">
        <f t="array" ref="T277">IF($B$9="","",_xlfn.IFS($B$9="PRESENCIAL",_xlfn.XLOOKUP($S277,DATA!$B$4:$B$8,DATA!$D$4:$D$8,"",0,),$B$9="VIRTUAL",_xlfn.XLOOKUP($S277,DATA!$G$4:$G$8,DATA!$I$4:$I$8,"",0),$B$9="DISTANCIA",_xlfn.XLOOKUP($S277,DATA!$L$4:$L$8,DATA!$N$4:$N$8,"",0)))</f>
        <v/>
      </c>
      <c r="U277" s="283" t="str" cm="1">
        <f t="array" ref="U277">IF($B$9="","",_xlfn.IFS($B$9="PRESENCIAL",_xlfn.XLOOKUP($S277,DATA!$B$4:$B$8,DATA!$E$4:$E$8,"",0,),$B$9="VIRTUAL",_xlfn.XLOOKUP($S277,DATA!$G$4:$G$8,DATA!$J$4:$J$8,"",0),$B$9="DISTANCIA",_xlfn.XLOOKUP($S277,DATA!$L$4:$L$8,DATA!$O$4:$O$8,"",0)))</f>
        <v/>
      </c>
      <c r="V277" s="261" t="str">
        <f t="shared" si="8"/>
        <v/>
      </c>
      <c r="W277" s="282"/>
      <c r="X277" s="282"/>
      <c r="Y277" s="282"/>
      <c r="Z277" s="282"/>
      <c r="AA277" s="282"/>
      <c r="AB277" s="284"/>
      <c r="AC277" s="262" t="str">
        <f>IF(AE277="","",COUNTIF($AE$1:AE277,AE277))</f>
        <v/>
      </c>
      <c r="AD277" s="261" t="str">
        <f>IF(J277='PLAN DE ESTUDIO'!$XFD$41,"",IF(AE277="","",AC277&amp;K277&amp;L277&amp;M277))</f>
        <v/>
      </c>
      <c r="AE277" s="261" t="str">
        <f>IF(J277='PLAN DE ESTUDIO'!$XFD$41,"",IF(AF277=1,K277&amp;L277&amp;M277,""))</f>
        <v/>
      </c>
      <c r="AF277" s="261">
        <f>COUNTIF($O$1:O277,$O277)</f>
        <v>0</v>
      </c>
      <c r="AG277" s="285" t="str">
        <f>IF(J277='PLAN DE ESTUDIO'!$XFD$41,"",IF(P277="TP","Teórico-Práctica",IF(P277="T","Teórico",IF(P277="P","Práctica",""))))</f>
        <v/>
      </c>
      <c r="AH277" s="234" t="str">
        <f t="shared" si="9"/>
        <v xml:space="preserve"> </v>
      </c>
    </row>
    <row r="278" spans="10:34" x14ac:dyDescent="0.3">
      <c r="J278" s="412"/>
      <c r="K278" s="232"/>
      <c r="L278" s="232"/>
      <c r="M278" s="232"/>
      <c r="N278" s="412"/>
      <c r="P278" s="231"/>
      <c r="Q278" s="412"/>
      <c r="R278" s="425"/>
      <c r="S278" s="442"/>
      <c r="T278" s="283" t="str" cm="1">
        <f t="array" ref="T278">IF($B$9="","",_xlfn.IFS($B$9="PRESENCIAL",_xlfn.XLOOKUP($S278,DATA!$B$4:$B$8,DATA!$D$4:$D$8,"",0,),$B$9="VIRTUAL",_xlfn.XLOOKUP($S278,DATA!$G$4:$G$8,DATA!$I$4:$I$8,"",0),$B$9="DISTANCIA",_xlfn.XLOOKUP($S278,DATA!$L$4:$L$8,DATA!$N$4:$N$8,"",0)))</f>
        <v/>
      </c>
      <c r="U278" s="283" t="str" cm="1">
        <f t="array" ref="U278">IF($B$9="","",_xlfn.IFS($B$9="PRESENCIAL",_xlfn.XLOOKUP($S278,DATA!$B$4:$B$8,DATA!$E$4:$E$8,"",0,),$B$9="VIRTUAL",_xlfn.XLOOKUP($S278,DATA!$G$4:$G$8,DATA!$J$4:$J$8,"",0),$B$9="DISTANCIA",_xlfn.XLOOKUP($S278,DATA!$L$4:$L$8,DATA!$O$4:$O$8,"",0)))</f>
        <v/>
      </c>
      <c r="V278" s="261" t="str">
        <f t="shared" si="8"/>
        <v/>
      </c>
      <c r="W278" s="282"/>
      <c r="X278" s="282"/>
      <c r="Y278" s="282"/>
      <c r="Z278" s="282"/>
      <c r="AA278" s="282"/>
      <c r="AB278" s="284"/>
      <c r="AC278" s="262" t="str">
        <f>IF(AE278="","",COUNTIF($AE$1:AE278,AE278))</f>
        <v/>
      </c>
      <c r="AD278" s="261" t="str">
        <f>IF(J278='PLAN DE ESTUDIO'!$XFD$41,"",IF(AE278="","",AC278&amp;K278&amp;L278&amp;M278))</f>
        <v/>
      </c>
      <c r="AE278" s="261" t="str">
        <f>IF(J278='PLAN DE ESTUDIO'!$XFD$41,"",IF(AF278=1,K278&amp;L278&amp;M278,""))</f>
        <v/>
      </c>
      <c r="AF278" s="261">
        <f>COUNTIF($O$1:O278,$O278)</f>
        <v>0</v>
      </c>
      <c r="AG278" s="285" t="str">
        <f>IF(J278='PLAN DE ESTUDIO'!$XFD$41,"",IF(P278="TP","Teórico-Práctica",IF(P278="T","Teórico",IF(P278="P","Práctica",""))))</f>
        <v/>
      </c>
      <c r="AH278" s="234" t="str">
        <f t="shared" si="9"/>
        <v xml:space="preserve"> </v>
      </c>
    </row>
    <row r="279" spans="10:34" x14ac:dyDescent="0.3">
      <c r="J279" s="412"/>
      <c r="K279" s="232"/>
      <c r="L279" s="232"/>
      <c r="M279" s="232"/>
      <c r="N279" s="412"/>
      <c r="P279" s="231"/>
      <c r="Q279" s="412"/>
      <c r="R279" s="425"/>
      <c r="S279" s="442"/>
      <c r="T279" s="283" t="str" cm="1">
        <f t="array" ref="T279">IF($B$9="","",_xlfn.IFS($B$9="PRESENCIAL",_xlfn.XLOOKUP($S279,DATA!$B$4:$B$8,DATA!$D$4:$D$8,"",0,),$B$9="VIRTUAL",_xlfn.XLOOKUP($S279,DATA!$G$4:$G$8,DATA!$I$4:$I$8,"",0),$B$9="DISTANCIA",_xlfn.XLOOKUP($S279,DATA!$L$4:$L$8,DATA!$N$4:$N$8,"",0)))</f>
        <v/>
      </c>
      <c r="U279" s="283" t="str" cm="1">
        <f t="array" ref="U279">IF($B$9="","",_xlfn.IFS($B$9="PRESENCIAL",_xlfn.XLOOKUP($S279,DATA!$B$4:$B$8,DATA!$E$4:$E$8,"",0,),$B$9="VIRTUAL",_xlfn.XLOOKUP($S279,DATA!$G$4:$G$8,DATA!$J$4:$J$8,"",0),$B$9="DISTANCIA",_xlfn.XLOOKUP($S279,DATA!$L$4:$L$8,DATA!$O$4:$O$8,"",0)))</f>
        <v/>
      </c>
      <c r="V279" s="261" t="str">
        <f t="shared" si="8"/>
        <v/>
      </c>
      <c r="W279" s="282"/>
      <c r="X279" s="282"/>
      <c r="Y279" s="282"/>
      <c r="Z279" s="282"/>
      <c r="AA279" s="282"/>
      <c r="AB279" s="284"/>
      <c r="AC279" s="262" t="str">
        <f>IF(AE279="","",COUNTIF($AE$1:AE279,AE279))</f>
        <v/>
      </c>
      <c r="AD279" s="261" t="str">
        <f>IF(J279='PLAN DE ESTUDIO'!$XFD$41,"",IF(AE279="","",AC279&amp;K279&amp;L279&amp;M279))</f>
        <v/>
      </c>
      <c r="AE279" s="261" t="str">
        <f>IF(J279='PLAN DE ESTUDIO'!$XFD$41,"",IF(AF279=1,K279&amp;L279&amp;M279,""))</f>
        <v/>
      </c>
      <c r="AF279" s="261">
        <f>COUNTIF($O$1:O279,$O279)</f>
        <v>0</v>
      </c>
      <c r="AG279" s="285" t="str">
        <f>IF(J279='PLAN DE ESTUDIO'!$XFD$41,"",IF(P279="TP","Teórico-Práctica",IF(P279="T","Teórico",IF(P279="P","Práctica",""))))</f>
        <v/>
      </c>
      <c r="AH279" s="234" t="str">
        <f t="shared" si="9"/>
        <v xml:space="preserve"> </v>
      </c>
    </row>
    <row r="280" spans="10:34" x14ac:dyDescent="0.3">
      <c r="J280" s="412"/>
      <c r="K280" s="232"/>
      <c r="L280" s="232"/>
      <c r="M280" s="232"/>
      <c r="N280" s="412"/>
      <c r="P280" s="231"/>
      <c r="Q280" s="412"/>
      <c r="R280" s="425"/>
      <c r="S280" s="442"/>
      <c r="T280" s="283" t="str" cm="1">
        <f t="array" ref="T280">IF($B$9="","",_xlfn.IFS($B$9="PRESENCIAL",_xlfn.XLOOKUP($S280,DATA!$B$4:$B$8,DATA!$D$4:$D$8,"",0,),$B$9="VIRTUAL",_xlfn.XLOOKUP($S280,DATA!$G$4:$G$8,DATA!$I$4:$I$8,"",0),$B$9="DISTANCIA",_xlfn.XLOOKUP($S280,DATA!$L$4:$L$8,DATA!$N$4:$N$8,"",0)))</f>
        <v/>
      </c>
      <c r="U280" s="283" t="str" cm="1">
        <f t="array" ref="U280">IF($B$9="","",_xlfn.IFS($B$9="PRESENCIAL",_xlfn.XLOOKUP($S280,DATA!$B$4:$B$8,DATA!$E$4:$E$8,"",0,),$B$9="VIRTUAL",_xlfn.XLOOKUP($S280,DATA!$G$4:$G$8,DATA!$J$4:$J$8,"",0),$B$9="DISTANCIA",_xlfn.XLOOKUP($S280,DATA!$L$4:$L$8,DATA!$O$4:$O$8,"",0)))</f>
        <v/>
      </c>
      <c r="V280" s="261" t="str">
        <f t="shared" si="8"/>
        <v/>
      </c>
      <c r="W280" s="282"/>
      <c r="X280" s="282"/>
      <c r="Y280" s="282"/>
      <c r="Z280" s="282"/>
      <c r="AA280" s="282"/>
      <c r="AB280" s="284"/>
      <c r="AC280" s="262" t="str">
        <f>IF(AE280="","",COUNTIF($AE$1:AE280,AE280))</f>
        <v/>
      </c>
      <c r="AD280" s="261" t="str">
        <f>IF(J280='PLAN DE ESTUDIO'!$XFD$41,"",IF(AE280="","",AC280&amp;K280&amp;L280&amp;M280))</f>
        <v/>
      </c>
      <c r="AE280" s="261" t="str">
        <f>IF(J280='PLAN DE ESTUDIO'!$XFD$41,"",IF(AF280=1,K280&amp;L280&amp;M280,""))</f>
        <v/>
      </c>
      <c r="AF280" s="261">
        <f>COUNTIF($O$1:O280,$O280)</f>
        <v>0</v>
      </c>
      <c r="AG280" s="285" t="str">
        <f>IF(J280='PLAN DE ESTUDIO'!$XFD$41,"",IF(P280="TP","Teórico-Práctica",IF(P280="T","Teórico",IF(P280="P","Práctica",""))))</f>
        <v/>
      </c>
      <c r="AH280" s="234" t="str">
        <f t="shared" si="9"/>
        <v xml:space="preserve"> </v>
      </c>
    </row>
    <row r="281" spans="10:34" x14ac:dyDescent="0.3">
      <c r="J281" s="412"/>
      <c r="K281" s="232"/>
      <c r="L281" s="232"/>
      <c r="M281" s="232"/>
      <c r="N281" s="412"/>
      <c r="P281" s="231"/>
      <c r="Q281" s="412"/>
      <c r="R281" s="425"/>
      <c r="S281" s="442"/>
      <c r="T281" s="283" t="str" cm="1">
        <f t="array" ref="T281">IF($B$9="","",_xlfn.IFS($B$9="PRESENCIAL",_xlfn.XLOOKUP($S281,DATA!$B$4:$B$8,DATA!$D$4:$D$8,"",0,),$B$9="VIRTUAL",_xlfn.XLOOKUP($S281,DATA!$G$4:$G$8,DATA!$I$4:$I$8,"",0),$B$9="DISTANCIA",_xlfn.XLOOKUP($S281,DATA!$L$4:$L$8,DATA!$N$4:$N$8,"",0)))</f>
        <v/>
      </c>
      <c r="U281" s="283" t="str" cm="1">
        <f t="array" ref="U281">IF($B$9="","",_xlfn.IFS($B$9="PRESENCIAL",_xlfn.XLOOKUP($S281,DATA!$B$4:$B$8,DATA!$E$4:$E$8,"",0,),$B$9="VIRTUAL",_xlfn.XLOOKUP($S281,DATA!$G$4:$G$8,DATA!$J$4:$J$8,"",0),$B$9="DISTANCIA",_xlfn.XLOOKUP($S281,DATA!$L$4:$L$8,DATA!$O$4:$O$8,"",0)))</f>
        <v/>
      </c>
      <c r="V281" s="261" t="str">
        <f t="shared" si="8"/>
        <v/>
      </c>
      <c r="W281" s="282"/>
      <c r="X281" s="282"/>
      <c r="Y281" s="282"/>
      <c r="Z281" s="282"/>
      <c r="AA281" s="282"/>
      <c r="AB281" s="284"/>
      <c r="AC281" s="262" t="str">
        <f>IF(AE281="","",COUNTIF($AE$1:AE281,AE281))</f>
        <v/>
      </c>
      <c r="AD281" s="261" t="str">
        <f>IF(J281='PLAN DE ESTUDIO'!$XFD$41,"",IF(AE281="","",AC281&amp;K281&amp;L281&amp;M281))</f>
        <v/>
      </c>
      <c r="AE281" s="261" t="str">
        <f>IF(J281='PLAN DE ESTUDIO'!$XFD$41,"",IF(AF281=1,K281&amp;L281&amp;M281,""))</f>
        <v/>
      </c>
      <c r="AF281" s="261">
        <f>COUNTIF($O$1:O281,$O281)</f>
        <v>0</v>
      </c>
      <c r="AG281" s="285" t="str">
        <f>IF(J281='PLAN DE ESTUDIO'!$XFD$41,"",IF(P281="TP","Teórico-Práctica",IF(P281="T","Teórico",IF(P281="P","Práctica",""))))</f>
        <v/>
      </c>
      <c r="AH281" s="234" t="str">
        <f t="shared" si="9"/>
        <v xml:space="preserve"> </v>
      </c>
    </row>
    <row r="282" spans="10:34" x14ac:dyDescent="0.3">
      <c r="J282" s="412"/>
      <c r="K282" s="232"/>
      <c r="L282" s="232"/>
      <c r="M282" s="232"/>
      <c r="N282" s="412"/>
      <c r="P282" s="231"/>
      <c r="Q282" s="412"/>
      <c r="R282" s="425"/>
      <c r="S282" s="442"/>
      <c r="T282" s="283" t="str" cm="1">
        <f t="array" ref="T282">IF($B$9="","",_xlfn.IFS($B$9="PRESENCIAL",_xlfn.XLOOKUP($S282,DATA!$B$4:$B$8,DATA!$D$4:$D$8,"",0,),$B$9="VIRTUAL",_xlfn.XLOOKUP($S282,DATA!$G$4:$G$8,DATA!$I$4:$I$8,"",0),$B$9="DISTANCIA",_xlfn.XLOOKUP($S282,DATA!$L$4:$L$8,DATA!$N$4:$N$8,"",0)))</f>
        <v/>
      </c>
      <c r="U282" s="283" t="str" cm="1">
        <f t="array" ref="U282">IF($B$9="","",_xlfn.IFS($B$9="PRESENCIAL",_xlfn.XLOOKUP($S282,DATA!$B$4:$B$8,DATA!$E$4:$E$8,"",0,),$B$9="VIRTUAL",_xlfn.XLOOKUP($S282,DATA!$G$4:$G$8,DATA!$J$4:$J$8,"",0),$B$9="DISTANCIA",_xlfn.XLOOKUP($S282,DATA!$L$4:$L$8,DATA!$O$4:$O$8,"",0)))</f>
        <v/>
      </c>
      <c r="V282" s="261" t="str">
        <f t="shared" si="8"/>
        <v/>
      </c>
      <c r="W282" s="282"/>
      <c r="X282" s="282"/>
      <c r="Y282" s="282"/>
      <c r="Z282" s="282"/>
      <c r="AA282" s="282"/>
      <c r="AB282" s="284"/>
      <c r="AC282" s="262" t="str">
        <f>IF(AE282="","",COUNTIF($AE$1:AE282,AE282))</f>
        <v/>
      </c>
      <c r="AD282" s="261" t="str">
        <f>IF(J282='PLAN DE ESTUDIO'!$XFD$41,"",IF(AE282="","",AC282&amp;K282&amp;L282&amp;M282))</f>
        <v/>
      </c>
      <c r="AE282" s="261" t="str">
        <f>IF(J282='PLAN DE ESTUDIO'!$XFD$41,"",IF(AF282=1,K282&amp;L282&amp;M282,""))</f>
        <v/>
      </c>
      <c r="AF282" s="261">
        <f>COUNTIF($O$1:O282,$O282)</f>
        <v>0</v>
      </c>
      <c r="AG282" s="285" t="str">
        <f>IF(J282='PLAN DE ESTUDIO'!$XFD$41,"",IF(P282="TP","Teórico-Práctica",IF(P282="T","Teórico",IF(P282="P","Práctica",""))))</f>
        <v/>
      </c>
      <c r="AH282" s="234" t="str">
        <f t="shared" si="9"/>
        <v xml:space="preserve"> </v>
      </c>
    </row>
    <row r="283" spans="10:34" x14ac:dyDescent="0.3">
      <c r="J283" s="412"/>
      <c r="K283" s="232"/>
      <c r="L283" s="232"/>
      <c r="M283" s="232"/>
      <c r="N283" s="412"/>
      <c r="P283" s="231"/>
      <c r="Q283" s="412"/>
      <c r="R283" s="425"/>
      <c r="S283" s="442"/>
      <c r="T283" s="283" t="str" cm="1">
        <f t="array" ref="T283">IF($B$9="","",_xlfn.IFS($B$9="PRESENCIAL",_xlfn.XLOOKUP($S283,DATA!$B$4:$B$8,DATA!$D$4:$D$8,"",0,),$B$9="VIRTUAL",_xlfn.XLOOKUP($S283,DATA!$G$4:$G$8,DATA!$I$4:$I$8,"",0),$B$9="DISTANCIA",_xlfn.XLOOKUP($S283,DATA!$L$4:$L$8,DATA!$N$4:$N$8,"",0)))</f>
        <v/>
      </c>
      <c r="U283" s="283" t="str" cm="1">
        <f t="array" ref="U283">IF($B$9="","",_xlfn.IFS($B$9="PRESENCIAL",_xlfn.XLOOKUP($S283,DATA!$B$4:$B$8,DATA!$E$4:$E$8,"",0,),$B$9="VIRTUAL",_xlfn.XLOOKUP($S283,DATA!$G$4:$G$8,DATA!$J$4:$J$8,"",0),$B$9="DISTANCIA",_xlfn.XLOOKUP($S283,DATA!$L$4:$L$8,DATA!$O$4:$O$8,"",0)))</f>
        <v/>
      </c>
      <c r="V283" s="261" t="str">
        <f t="shared" si="8"/>
        <v/>
      </c>
      <c r="W283" s="282"/>
      <c r="X283" s="282"/>
      <c r="Y283" s="282"/>
      <c r="Z283" s="282"/>
      <c r="AA283" s="282"/>
      <c r="AB283" s="284"/>
      <c r="AC283" s="262" t="str">
        <f>IF(AE283="","",COUNTIF($AE$1:AE283,AE283))</f>
        <v/>
      </c>
      <c r="AD283" s="261" t="str">
        <f>IF(J283='PLAN DE ESTUDIO'!$XFD$41,"",IF(AE283="","",AC283&amp;K283&amp;L283&amp;M283))</f>
        <v/>
      </c>
      <c r="AE283" s="261" t="str">
        <f>IF(J283='PLAN DE ESTUDIO'!$XFD$41,"",IF(AF283=1,K283&amp;L283&amp;M283,""))</f>
        <v/>
      </c>
      <c r="AF283" s="261">
        <f>COUNTIF($O$1:O283,$O283)</f>
        <v>0</v>
      </c>
      <c r="AG283" s="285" t="str">
        <f>IF(J283='PLAN DE ESTUDIO'!$XFD$41,"",IF(P283="TP","Teórico-Práctica",IF(P283="T","Teórico",IF(P283="P","Práctica",""))))</f>
        <v/>
      </c>
      <c r="AH283" s="234" t="str">
        <f t="shared" si="9"/>
        <v xml:space="preserve"> </v>
      </c>
    </row>
    <row r="284" spans="10:34" x14ac:dyDescent="0.3">
      <c r="J284" s="412"/>
      <c r="K284" s="232"/>
      <c r="L284" s="232"/>
      <c r="M284" s="232"/>
      <c r="N284" s="412"/>
      <c r="P284" s="231"/>
      <c r="Q284" s="412"/>
      <c r="R284" s="425"/>
      <c r="S284" s="442"/>
      <c r="T284" s="283" t="str" cm="1">
        <f t="array" ref="T284">IF($B$9="","",_xlfn.IFS($B$9="PRESENCIAL",_xlfn.XLOOKUP($S284,DATA!$B$4:$B$8,DATA!$D$4:$D$8,"",0,),$B$9="VIRTUAL",_xlfn.XLOOKUP($S284,DATA!$G$4:$G$8,DATA!$I$4:$I$8,"",0),$B$9="DISTANCIA",_xlfn.XLOOKUP($S284,DATA!$L$4:$L$8,DATA!$N$4:$N$8,"",0)))</f>
        <v/>
      </c>
      <c r="U284" s="283" t="str" cm="1">
        <f t="array" ref="U284">IF($B$9="","",_xlfn.IFS($B$9="PRESENCIAL",_xlfn.XLOOKUP($S284,DATA!$B$4:$B$8,DATA!$E$4:$E$8,"",0,),$B$9="VIRTUAL",_xlfn.XLOOKUP($S284,DATA!$G$4:$G$8,DATA!$J$4:$J$8,"",0),$B$9="DISTANCIA",_xlfn.XLOOKUP($S284,DATA!$L$4:$L$8,DATA!$O$4:$O$8,"",0)))</f>
        <v/>
      </c>
      <c r="V284" s="261" t="str">
        <f t="shared" si="8"/>
        <v/>
      </c>
      <c r="W284" s="282"/>
      <c r="X284" s="282"/>
      <c r="Y284" s="282"/>
      <c r="Z284" s="282"/>
      <c r="AA284" s="282"/>
      <c r="AB284" s="284"/>
      <c r="AC284" s="262" t="str">
        <f>IF(AE284="","",COUNTIF($AE$1:AE284,AE284))</f>
        <v/>
      </c>
      <c r="AD284" s="261" t="str">
        <f>IF(J284='PLAN DE ESTUDIO'!$XFD$41,"",IF(AE284="","",AC284&amp;K284&amp;L284&amp;M284))</f>
        <v/>
      </c>
      <c r="AE284" s="261" t="str">
        <f>IF(J284='PLAN DE ESTUDIO'!$XFD$41,"",IF(AF284=1,K284&amp;L284&amp;M284,""))</f>
        <v/>
      </c>
      <c r="AF284" s="261">
        <f>COUNTIF($O$1:O284,$O284)</f>
        <v>0</v>
      </c>
      <c r="AG284" s="285" t="str">
        <f>IF(J284='PLAN DE ESTUDIO'!$XFD$41,"",IF(P284="TP","Teórico-Práctica",IF(P284="T","Teórico",IF(P284="P","Práctica",""))))</f>
        <v/>
      </c>
      <c r="AH284" s="234" t="str">
        <f t="shared" si="9"/>
        <v xml:space="preserve"> </v>
      </c>
    </row>
    <row r="285" spans="10:34" x14ac:dyDescent="0.3">
      <c r="J285" s="412"/>
      <c r="K285" s="232"/>
      <c r="L285" s="232"/>
      <c r="M285" s="232"/>
      <c r="N285" s="412"/>
      <c r="P285" s="231"/>
      <c r="Q285" s="412"/>
      <c r="R285" s="425"/>
      <c r="S285" s="442"/>
      <c r="T285" s="283" t="str" cm="1">
        <f t="array" ref="T285">IF($B$9="","",_xlfn.IFS($B$9="PRESENCIAL",_xlfn.XLOOKUP($S285,DATA!$B$4:$B$8,DATA!$D$4:$D$8,"",0,),$B$9="VIRTUAL",_xlfn.XLOOKUP($S285,DATA!$G$4:$G$8,DATA!$I$4:$I$8,"",0),$B$9="DISTANCIA",_xlfn.XLOOKUP($S285,DATA!$L$4:$L$8,DATA!$N$4:$N$8,"",0)))</f>
        <v/>
      </c>
      <c r="U285" s="283" t="str" cm="1">
        <f t="array" ref="U285">IF($B$9="","",_xlfn.IFS($B$9="PRESENCIAL",_xlfn.XLOOKUP($S285,DATA!$B$4:$B$8,DATA!$E$4:$E$8,"",0,),$B$9="VIRTUAL",_xlfn.XLOOKUP($S285,DATA!$G$4:$G$8,DATA!$J$4:$J$8,"",0),$B$9="DISTANCIA",_xlfn.XLOOKUP($S285,DATA!$L$4:$L$8,DATA!$O$4:$O$8,"",0)))</f>
        <v/>
      </c>
      <c r="V285" s="261" t="str">
        <f t="shared" si="8"/>
        <v/>
      </c>
      <c r="W285" s="282"/>
      <c r="X285" s="282"/>
      <c r="Y285" s="282"/>
      <c r="Z285" s="282"/>
      <c r="AA285" s="282"/>
      <c r="AB285" s="284"/>
      <c r="AC285" s="262" t="str">
        <f>IF(AE285="","",COUNTIF($AE$1:AE285,AE285))</f>
        <v/>
      </c>
      <c r="AD285" s="261" t="str">
        <f>IF(J285='PLAN DE ESTUDIO'!$XFD$41,"",IF(AE285="","",AC285&amp;K285&amp;L285&amp;M285))</f>
        <v/>
      </c>
      <c r="AE285" s="261" t="str">
        <f>IF(J285='PLAN DE ESTUDIO'!$XFD$41,"",IF(AF285=1,K285&amp;L285&amp;M285,""))</f>
        <v/>
      </c>
      <c r="AF285" s="261">
        <f>COUNTIF($O$1:O285,$O285)</f>
        <v>0</v>
      </c>
      <c r="AG285" s="285" t="str">
        <f>IF(J285='PLAN DE ESTUDIO'!$XFD$41,"",IF(P285="TP","Teórico-Práctica",IF(P285="T","Teórico",IF(P285="P","Práctica",""))))</f>
        <v/>
      </c>
      <c r="AH285" s="234" t="str">
        <f t="shared" si="9"/>
        <v xml:space="preserve"> </v>
      </c>
    </row>
    <row r="286" spans="10:34" x14ac:dyDescent="0.3">
      <c r="J286" s="412"/>
      <c r="K286" s="232"/>
      <c r="L286" s="232"/>
      <c r="M286" s="232"/>
      <c r="N286" s="412"/>
      <c r="P286" s="231"/>
      <c r="Q286" s="412"/>
      <c r="R286" s="425"/>
      <c r="S286" s="442"/>
      <c r="T286" s="283" t="str" cm="1">
        <f t="array" ref="T286">IF($B$9="","",_xlfn.IFS($B$9="PRESENCIAL",_xlfn.XLOOKUP($S286,DATA!$B$4:$B$8,DATA!$D$4:$D$8,"",0,),$B$9="VIRTUAL",_xlfn.XLOOKUP($S286,DATA!$G$4:$G$8,DATA!$I$4:$I$8,"",0),$B$9="DISTANCIA",_xlfn.XLOOKUP($S286,DATA!$L$4:$L$8,DATA!$N$4:$N$8,"",0)))</f>
        <v/>
      </c>
      <c r="U286" s="283" t="str" cm="1">
        <f t="array" ref="U286">IF($B$9="","",_xlfn.IFS($B$9="PRESENCIAL",_xlfn.XLOOKUP($S286,DATA!$B$4:$B$8,DATA!$E$4:$E$8,"",0,),$B$9="VIRTUAL",_xlfn.XLOOKUP($S286,DATA!$G$4:$G$8,DATA!$J$4:$J$8,"",0),$B$9="DISTANCIA",_xlfn.XLOOKUP($S286,DATA!$L$4:$L$8,DATA!$O$4:$O$8,"",0)))</f>
        <v/>
      </c>
      <c r="V286" s="261" t="str">
        <f t="shared" si="8"/>
        <v/>
      </c>
      <c r="W286" s="282"/>
      <c r="X286" s="282"/>
      <c r="Y286" s="282"/>
      <c r="Z286" s="282"/>
      <c r="AA286" s="282"/>
      <c r="AB286" s="284"/>
      <c r="AC286" s="262" t="str">
        <f>IF(AE286="","",COUNTIF($AE$1:AE286,AE286))</f>
        <v/>
      </c>
      <c r="AD286" s="261" t="str">
        <f>IF(J286='PLAN DE ESTUDIO'!$XFD$41,"",IF(AE286="","",AC286&amp;K286&amp;L286&amp;M286))</f>
        <v/>
      </c>
      <c r="AE286" s="261" t="str">
        <f>IF(J286='PLAN DE ESTUDIO'!$XFD$41,"",IF(AF286=1,K286&amp;L286&amp;M286,""))</f>
        <v/>
      </c>
      <c r="AF286" s="261">
        <f>COUNTIF($O$1:O286,$O286)</f>
        <v>0</v>
      </c>
      <c r="AG286" s="285" t="str">
        <f>IF(J286='PLAN DE ESTUDIO'!$XFD$41,"",IF(P286="TP","Teórico-Práctica",IF(P286="T","Teórico",IF(P286="P","Práctica",""))))</f>
        <v/>
      </c>
      <c r="AH286" s="234" t="str">
        <f t="shared" si="9"/>
        <v xml:space="preserve"> </v>
      </c>
    </row>
    <row r="287" spans="10:34" x14ac:dyDescent="0.3">
      <c r="J287" s="412"/>
      <c r="K287" s="232"/>
      <c r="L287" s="232"/>
      <c r="M287" s="232"/>
      <c r="N287" s="412"/>
      <c r="P287" s="231"/>
      <c r="Q287" s="412"/>
      <c r="R287" s="425"/>
      <c r="S287" s="442"/>
      <c r="T287" s="283" t="str" cm="1">
        <f t="array" ref="T287">IF($B$9="","",_xlfn.IFS($B$9="PRESENCIAL",_xlfn.XLOOKUP($S287,DATA!$B$4:$B$8,DATA!$D$4:$D$8,"",0,),$B$9="VIRTUAL",_xlfn.XLOOKUP($S287,DATA!$G$4:$G$8,DATA!$I$4:$I$8,"",0),$B$9="DISTANCIA",_xlfn.XLOOKUP($S287,DATA!$L$4:$L$8,DATA!$N$4:$N$8,"",0)))</f>
        <v/>
      </c>
      <c r="U287" s="283" t="str" cm="1">
        <f t="array" ref="U287">IF($B$9="","",_xlfn.IFS($B$9="PRESENCIAL",_xlfn.XLOOKUP($S287,DATA!$B$4:$B$8,DATA!$E$4:$E$8,"",0,),$B$9="VIRTUAL",_xlfn.XLOOKUP($S287,DATA!$G$4:$G$8,DATA!$J$4:$J$8,"",0),$B$9="DISTANCIA",_xlfn.XLOOKUP($S287,DATA!$L$4:$L$8,DATA!$O$4:$O$8,"",0)))</f>
        <v/>
      </c>
      <c r="V287" s="261" t="str">
        <f t="shared" si="8"/>
        <v/>
      </c>
      <c r="W287" s="282"/>
      <c r="X287" s="282"/>
      <c r="Y287" s="282"/>
      <c r="Z287" s="282"/>
      <c r="AA287" s="282"/>
      <c r="AB287" s="284"/>
      <c r="AC287" s="262" t="str">
        <f>IF(AE287="","",COUNTIF($AE$1:AE287,AE287))</f>
        <v/>
      </c>
      <c r="AD287" s="261" t="str">
        <f>IF(J287='PLAN DE ESTUDIO'!$XFD$41,"",IF(AE287="","",AC287&amp;K287&amp;L287&amp;M287))</f>
        <v/>
      </c>
      <c r="AE287" s="261" t="str">
        <f>IF(J287='PLAN DE ESTUDIO'!$XFD$41,"",IF(AF287=1,K287&amp;L287&amp;M287,""))</f>
        <v/>
      </c>
      <c r="AF287" s="261">
        <f>COUNTIF($O$1:O287,$O287)</f>
        <v>0</v>
      </c>
      <c r="AG287" s="285" t="str">
        <f>IF(J287='PLAN DE ESTUDIO'!$XFD$41,"",IF(P287="TP","Teórico-Práctica",IF(P287="T","Teórico",IF(P287="P","Práctica",""))))</f>
        <v/>
      </c>
      <c r="AH287" s="234" t="str">
        <f t="shared" si="9"/>
        <v xml:space="preserve"> </v>
      </c>
    </row>
    <row r="288" spans="10:34" x14ac:dyDescent="0.3">
      <c r="J288" s="412"/>
      <c r="K288" s="232"/>
      <c r="L288" s="232"/>
      <c r="M288" s="232"/>
      <c r="N288" s="412"/>
      <c r="P288" s="231"/>
      <c r="Q288" s="412"/>
      <c r="R288" s="425"/>
      <c r="S288" s="442"/>
      <c r="T288" s="283" t="str" cm="1">
        <f t="array" ref="T288">IF($B$9="","",_xlfn.IFS($B$9="PRESENCIAL",_xlfn.XLOOKUP($S288,DATA!$B$4:$B$8,DATA!$D$4:$D$8,"",0,),$B$9="VIRTUAL",_xlfn.XLOOKUP($S288,DATA!$G$4:$G$8,DATA!$I$4:$I$8,"",0),$B$9="DISTANCIA",_xlfn.XLOOKUP($S288,DATA!$L$4:$L$8,DATA!$N$4:$N$8,"",0)))</f>
        <v/>
      </c>
      <c r="U288" s="283" t="str" cm="1">
        <f t="array" ref="U288">IF($B$9="","",_xlfn.IFS($B$9="PRESENCIAL",_xlfn.XLOOKUP($S288,DATA!$B$4:$B$8,DATA!$E$4:$E$8,"",0,),$B$9="VIRTUAL",_xlfn.XLOOKUP($S288,DATA!$G$4:$G$8,DATA!$J$4:$J$8,"",0),$B$9="DISTANCIA",_xlfn.XLOOKUP($S288,DATA!$L$4:$L$8,DATA!$O$4:$O$8,"",0)))</f>
        <v/>
      </c>
      <c r="V288" s="261" t="str">
        <f t="shared" si="8"/>
        <v/>
      </c>
      <c r="W288" s="282"/>
      <c r="X288" s="282"/>
      <c r="Y288" s="282"/>
      <c r="Z288" s="282"/>
      <c r="AA288" s="282"/>
      <c r="AB288" s="284"/>
      <c r="AC288" s="262" t="str">
        <f>IF(AE288="","",COUNTIF($AE$1:AE288,AE288))</f>
        <v/>
      </c>
      <c r="AD288" s="261" t="str">
        <f>IF(J288='PLAN DE ESTUDIO'!$XFD$41,"",IF(AE288="","",AC288&amp;K288&amp;L288&amp;M288))</f>
        <v/>
      </c>
      <c r="AE288" s="261" t="str">
        <f>IF(J288='PLAN DE ESTUDIO'!$XFD$41,"",IF(AF288=1,K288&amp;L288&amp;M288,""))</f>
        <v/>
      </c>
      <c r="AF288" s="261">
        <f>COUNTIF($O$1:O288,$O288)</f>
        <v>0</v>
      </c>
      <c r="AG288" s="285" t="str">
        <f>IF(J288='PLAN DE ESTUDIO'!$XFD$41,"",IF(P288="TP","Teórico-Práctica",IF(P288="T","Teórico",IF(P288="P","Práctica",""))))</f>
        <v/>
      </c>
      <c r="AH288" s="234" t="str">
        <f t="shared" si="9"/>
        <v xml:space="preserve"> </v>
      </c>
    </row>
    <row r="289" spans="10:34" x14ac:dyDescent="0.3">
      <c r="J289" s="412"/>
      <c r="K289" s="232"/>
      <c r="L289" s="232"/>
      <c r="M289" s="232"/>
      <c r="N289" s="412"/>
      <c r="P289" s="231"/>
      <c r="Q289" s="412"/>
      <c r="R289" s="425"/>
      <c r="S289" s="442"/>
      <c r="T289" s="283" t="str" cm="1">
        <f t="array" ref="T289">IF($B$9="","",_xlfn.IFS($B$9="PRESENCIAL",_xlfn.XLOOKUP($S289,DATA!$B$4:$B$8,DATA!$D$4:$D$8,"",0,),$B$9="VIRTUAL",_xlfn.XLOOKUP($S289,DATA!$G$4:$G$8,DATA!$I$4:$I$8,"",0),$B$9="DISTANCIA",_xlfn.XLOOKUP($S289,DATA!$L$4:$L$8,DATA!$N$4:$N$8,"",0)))</f>
        <v/>
      </c>
      <c r="U289" s="283" t="str" cm="1">
        <f t="array" ref="U289">IF($B$9="","",_xlfn.IFS($B$9="PRESENCIAL",_xlfn.XLOOKUP($S289,DATA!$B$4:$B$8,DATA!$E$4:$E$8,"",0,),$B$9="VIRTUAL",_xlfn.XLOOKUP($S289,DATA!$G$4:$G$8,DATA!$J$4:$J$8,"",0),$B$9="DISTANCIA",_xlfn.XLOOKUP($S289,DATA!$L$4:$L$8,DATA!$O$4:$O$8,"",0)))</f>
        <v/>
      </c>
      <c r="V289" s="261" t="str">
        <f t="shared" si="8"/>
        <v/>
      </c>
      <c r="W289" s="282"/>
      <c r="X289" s="282"/>
      <c r="Y289" s="282"/>
      <c r="Z289" s="282"/>
      <c r="AA289" s="282"/>
      <c r="AB289" s="284"/>
      <c r="AC289" s="262" t="str">
        <f>IF(AE289="","",COUNTIF($AE$1:AE289,AE289))</f>
        <v/>
      </c>
      <c r="AD289" s="261" t="str">
        <f>IF(J289='PLAN DE ESTUDIO'!$XFD$41,"",IF(AE289="","",AC289&amp;K289&amp;L289&amp;M289))</f>
        <v/>
      </c>
      <c r="AE289" s="261" t="str">
        <f>IF(J289='PLAN DE ESTUDIO'!$XFD$41,"",IF(AF289=1,K289&amp;L289&amp;M289,""))</f>
        <v/>
      </c>
      <c r="AF289" s="261">
        <f>COUNTIF($O$1:O289,$O289)</f>
        <v>0</v>
      </c>
      <c r="AG289" s="285" t="str">
        <f>IF(J289='PLAN DE ESTUDIO'!$XFD$41,"",IF(P289="TP","Teórico-Práctica",IF(P289="T","Teórico",IF(P289="P","Práctica",""))))</f>
        <v/>
      </c>
      <c r="AH289" s="234" t="str">
        <f t="shared" si="9"/>
        <v xml:space="preserve"> </v>
      </c>
    </row>
    <row r="290" spans="10:34" x14ac:dyDescent="0.3">
      <c r="J290" s="412"/>
      <c r="K290" s="232"/>
      <c r="L290" s="232"/>
      <c r="M290" s="232"/>
      <c r="N290" s="412"/>
      <c r="P290" s="231"/>
      <c r="Q290" s="412"/>
      <c r="R290" s="425"/>
      <c r="S290" s="442"/>
      <c r="T290" s="283" t="str" cm="1">
        <f t="array" ref="T290">IF($B$9="","",_xlfn.IFS($B$9="PRESENCIAL",_xlfn.XLOOKUP($S290,DATA!$B$4:$B$8,DATA!$D$4:$D$8,"",0,),$B$9="VIRTUAL",_xlfn.XLOOKUP($S290,DATA!$G$4:$G$8,DATA!$I$4:$I$8,"",0),$B$9="DISTANCIA",_xlfn.XLOOKUP($S290,DATA!$L$4:$L$8,DATA!$N$4:$N$8,"",0)))</f>
        <v/>
      </c>
      <c r="U290" s="283" t="str" cm="1">
        <f t="array" ref="U290">IF($B$9="","",_xlfn.IFS($B$9="PRESENCIAL",_xlfn.XLOOKUP($S290,DATA!$B$4:$B$8,DATA!$E$4:$E$8,"",0,),$B$9="VIRTUAL",_xlfn.XLOOKUP($S290,DATA!$G$4:$G$8,DATA!$J$4:$J$8,"",0),$B$9="DISTANCIA",_xlfn.XLOOKUP($S290,DATA!$L$4:$L$8,DATA!$O$4:$O$8,"",0)))</f>
        <v/>
      </c>
      <c r="V290" s="261" t="str">
        <f t="shared" si="8"/>
        <v/>
      </c>
      <c r="W290" s="282"/>
      <c r="X290" s="282"/>
      <c r="Y290" s="282"/>
      <c r="Z290" s="282"/>
      <c r="AA290" s="282"/>
      <c r="AB290" s="284"/>
      <c r="AC290" s="262" t="str">
        <f>IF(AE290="","",COUNTIF($AE$1:AE290,AE290))</f>
        <v/>
      </c>
      <c r="AD290" s="261" t="str">
        <f>IF(J290='PLAN DE ESTUDIO'!$XFD$41,"",IF(AE290="","",AC290&amp;K290&amp;L290&amp;M290))</f>
        <v/>
      </c>
      <c r="AE290" s="261" t="str">
        <f>IF(J290='PLAN DE ESTUDIO'!$XFD$41,"",IF(AF290=1,K290&amp;L290&amp;M290,""))</f>
        <v/>
      </c>
      <c r="AF290" s="261">
        <f>COUNTIF($O$1:O290,$O290)</f>
        <v>0</v>
      </c>
      <c r="AG290" s="285" t="str">
        <f>IF(J290='PLAN DE ESTUDIO'!$XFD$41,"",IF(P290="TP","Teórico-Práctica",IF(P290="T","Teórico",IF(P290="P","Práctica",""))))</f>
        <v/>
      </c>
      <c r="AH290" s="234" t="str">
        <f t="shared" si="9"/>
        <v xml:space="preserve"> </v>
      </c>
    </row>
    <row r="291" spans="10:34" x14ac:dyDescent="0.3">
      <c r="J291" s="412"/>
      <c r="K291" s="232"/>
      <c r="L291" s="232"/>
      <c r="M291" s="232"/>
      <c r="N291" s="412"/>
      <c r="P291" s="231"/>
      <c r="Q291" s="412"/>
      <c r="R291" s="425"/>
      <c r="S291" s="442"/>
      <c r="T291" s="283" t="str" cm="1">
        <f t="array" ref="T291">IF($B$9="","",_xlfn.IFS($B$9="PRESENCIAL",_xlfn.XLOOKUP($S291,DATA!$B$4:$B$8,DATA!$D$4:$D$8,"",0,),$B$9="VIRTUAL",_xlfn.XLOOKUP($S291,DATA!$G$4:$G$8,DATA!$I$4:$I$8,"",0),$B$9="DISTANCIA",_xlfn.XLOOKUP($S291,DATA!$L$4:$L$8,DATA!$N$4:$N$8,"",0)))</f>
        <v/>
      </c>
      <c r="U291" s="283" t="str" cm="1">
        <f t="array" ref="U291">IF($B$9="","",_xlfn.IFS($B$9="PRESENCIAL",_xlfn.XLOOKUP($S291,DATA!$B$4:$B$8,DATA!$E$4:$E$8,"",0,),$B$9="VIRTUAL",_xlfn.XLOOKUP($S291,DATA!$G$4:$G$8,DATA!$J$4:$J$8,"",0),$B$9="DISTANCIA",_xlfn.XLOOKUP($S291,DATA!$L$4:$L$8,DATA!$O$4:$O$8,"",0)))</f>
        <v/>
      </c>
      <c r="V291" s="261" t="str">
        <f t="shared" si="8"/>
        <v/>
      </c>
      <c r="W291" s="282"/>
      <c r="X291" s="282"/>
      <c r="Y291" s="282"/>
      <c r="Z291" s="282"/>
      <c r="AA291" s="282"/>
      <c r="AB291" s="284"/>
      <c r="AC291" s="262" t="str">
        <f>IF(AE291="","",COUNTIF($AE$1:AE291,AE291))</f>
        <v/>
      </c>
      <c r="AD291" s="261" t="str">
        <f>IF(J291='PLAN DE ESTUDIO'!$XFD$41,"",IF(AE291="","",AC291&amp;K291&amp;L291&amp;M291))</f>
        <v/>
      </c>
      <c r="AE291" s="261" t="str">
        <f>IF(J291='PLAN DE ESTUDIO'!$XFD$41,"",IF(AF291=1,K291&amp;L291&amp;M291,""))</f>
        <v/>
      </c>
      <c r="AF291" s="261">
        <f>COUNTIF($O$1:O291,$O291)</f>
        <v>0</v>
      </c>
      <c r="AG291" s="285" t="str">
        <f>IF(J291='PLAN DE ESTUDIO'!$XFD$41,"",IF(P291="TP","Teórico-Práctica",IF(P291="T","Teórico",IF(P291="P","Práctica",""))))</f>
        <v/>
      </c>
      <c r="AH291" s="234" t="str">
        <f t="shared" si="9"/>
        <v xml:space="preserve"> </v>
      </c>
    </row>
    <row r="292" spans="10:34" x14ac:dyDescent="0.3">
      <c r="J292" s="412"/>
      <c r="K292" s="232"/>
      <c r="L292" s="232"/>
      <c r="M292" s="232"/>
      <c r="N292" s="412"/>
      <c r="P292" s="231"/>
      <c r="Q292" s="412"/>
      <c r="R292" s="425"/>
      <c r="S292" s="442"/>
      <c r="T292" s="283" t="str" cm="1">
        <f t="array" ref="T292">IF($B$9="","",_xlfn.IFS($B$9="PRESENCIAL",_xlfn.XLOOKUP($S292,DATA!$B$4:$B$8,DATA!$D$4:$D$8,"",0,),$B$9="VIRTUAL",_xlfn.XLOOKUP($S292,DATA!$G$4:$G$8,DATA!$I$4:$I$8,"",0),$B$9="DISTANCIA",_xlfn.XLOOKUP($S292,DATA!$L$4:$L$8,DATA!$N$4:$N$8,"",0)))</f>
        <v/>
      </c>
      <c r="U292" s="283" t="str" cm="1">
        <f t="array" ref="U292">IF($B$9="","",_xlfn.IFS($B$9="PRESENCIAL",_xlfn.XLOOKUP($S292,DATA!$B$4:$B$8,DATA!$E$4:$E$8,"",0,),$B$9="VIRTUAL",_xlfn.XLOOKUP($S292,DATA!$G$4:$G$8,DATA!$J$4:$J$8,"",0),$B$9="DISTANCIA",_xlfn.XLOOKUP($S292,DATA!$L$4:$L$8,DATA!$O$4:$O$8,"",0)))</f>
        <v/>
      </c>
      <c r="V292" s="261" t="str">
        <f t="shared" si="8"/>
        <v/>
      </c>
      <c r="W292" s="282"/>
      <c r="X292" s="282"/>
      <c r="Y292" s="282"/>
      <c r="Z292" s="282"/>
      <c r="AA292" s="282"/>
      <c r="AB292" s="284"/>
      <c r="AC292" s="262" t="str">
        <f>IF(AE292="","",COUNTIF($AE$1:AE292,AE292))</f>
        <v/>
      </c>
      <c r="AD292" s="261" t="str">
        <f>IF(J292='PLAN DE ESTUDIO'!$XFD$41,"",IF(AE292="","",AC292&amp;K292&amp;L292&amp;M292))</f>
        <v/>
      </c>
      <c r="AE292" s="261" t="str">
        <f>IF(J292='PLAN DE ESTUDIO'!$XFD$41,"",IF(AF292=1,K292&amp;L292&amp;M292,""))</f>
        <v/>
      </c>
      <c r="AF292" s="261">
        <f>COUNTIF($O$1:O292,$O292)</f>
        <v>0</v>
      </c>
      <c r="AG292" s="285" t="str">
        <f>IF(J292='PLAN DE ESTUDIO'!$XFD$41,"",IF(P292="TP","Teórico-Práctica",IF(P292="T","Teórico",IF(P292="P","Práctica",""))))</f>
        <v/>
      </c>
      <c r="AH292" s="234" t="str">
        <f t="shared" si="9"/>
        <v xml:space="preserve"> </v>
      </c>
    </row>
    <row r="293" spans="10:34" x14ac:dyDescent="0.3">
      <c r="J293" s="412"/>
      <c r="K293" s="232"/>
      <c r="L293" s="232"/>
      <c r="M293" s="232"/>
      <c r="N293" s="412"/>
      <c r="P293" s="231"/>
      <c r="Q293" s="412"/>
      <c r="R293" s="425"/>
      <c r="S293" s="442"/>
      <c r="T293" s="283" t="str" cm="1">
        <f t="array" ref="T293">IF($B$9="","",_xlfn.IFS($B$9="PRESENCIAL",_xlfn.XLOOKUP($S293,DATA!$B$4:$B$8,DATA!$D$4:$D$8,"",0,),$B$9="VIRTUAL",_xlfn.XLOOKUP($S293,DATA!$G$4:$G$8,DATA!$I$4:$I$8,"",0),$B$9="DISTANCIA",_xlfn.XLOOKUP($S293,DATA!$L$4:$L$8,DATA!$N$4:$N$8,"",0)))</f>
        <v/>
      </c>
      <c r="U293" s="283" t="str" cm="1">
        <f t="array" ref="U293">IF($B$9="","",_xlfn.IFS($B$9="PRESENCIAL",_xlfn.XLOOKUP($S293,DATA!$B$4:$B$8,DATA!$E$4:$E$8,"",0,),$B$9="VIRTUAL",_xlfn.XLOOKUP($S293,DATA!$G$4:$G$8,DATA!$J$4:$J$8,"",0),$B$9="DISTANCIA",_xlfn.XLOOKUP($S293,DATA!$L$4:$L$8,DATA!$O$4:$O$8,"",0)))</f>
        <v/>
      </c>
      <c r="V293" s="261" t="str">
        <f t="shared" si="8"/>
        <v/>
      </c>
      <c r="W293" s="282"/>
      <c r="X293" s="282"/>
      <c r="Y293" s="282"/>
      <c r="Z293" s="282"/>
      <c r="AA293" s="282"/>
      <c r="AB293" s="284"/>
      <c r="AC293" s="262" t="str">
        <f>IF(AE293="","",COUNTIF($AE$1:AE293,AE293))</f>
        <v/>
      </c>
      <c r="AD293" s="261" t="str">
        <f>IF(J293='PLAN DE ESTUDIO'!$XFD$41,"",IF(AE293="","",AC293&amp;K293&amp;L293&amp;M293))</f>
        <v/>
      </c>
      <c r="AE293" s="261" t="str">
        <f>IF(J293='PLAN DE ESTUDIO'!$XFD$41,"",IF(AF293=1,K293&amp;L293&amp;M293,""))</f>
        <v/>
      </c>
      <c r="AF293" s="261">
        <f>COUNTIF($O$1:O293,$O293)</f>
        <v>0</v>
      </c>
      <c r="AG293" s="285" t="str">
        <f>IF(J293='PLAN DE ESTUDIO'!$XFD$41,"",IF(P293="TP","Teórico-Práctica",IF(P293="T","Teórico",IF(P293="P","Práctica",""))))</f>
        <v/>
      </c>
      <c r="AH293" s="234" t="str">
        <f t="shared" si="9"/>
        <v xml:space="preserve"> </v>
      </c>
    </row>
    <row r="294" spans="10:34" x14ac:dyDescent="0.3">
      <c r="J294" s="412"/>
      <c r="K294" s="232"/>
      <c r="L294" s="232"/>
      <c r="M294" s="232"/>
      <c r="N294" s="412"/>
      <c r="P294" s="231"/>
      <c r="Q294" s="412"/>
      <c r="R294" s="425"/>
      <c r="S294" s="442"/>
      <c r="T294" s="283" t="str" cm="1">
        <f t="array" ref="T294">IF($B$9="","",_xlfn.IFS($B$9="PRESENCIAL",_xlfn.XLOOKUP($S294,DATA!$B$4:$B$8,DATA!$D$4:$D$8,"",0,),$B$9="VIRTUAL",_xlfn.XLOOKUP($S294,DATA!$G$4:$G$8,DATA!$I$4:$I$8,"",0),$B$9="DISTANCIA",_xlfn.XLOOKUP($S294,DATA!$L$4:$L$8,DATA!$N$4:$N$8,"",0)))</f>
        <v/>
      </c>
      <c r="U294" s="283" t="str" cm="1">
        <f t="array" ref="U294">IF($B$9="","",_xlfn.IFS($B$9="PRESENCIAL",_xlfn.XLOOKUP($S294,DATA!$B$4:$B$8,DATA!$E$4:$E$8,"",0,),$B$9="VIRTUAL",_xlfn.XLOOKUP($S294,DATA!$G$4:$G$8,DATA!$J$4:$J$8,"",0),$B$9="DISTANCIA",_xlfn.XLOOKUP($S294,DATA!$L$4:$L$8,DATA!$O$4:$O$8,"",0)))</f>
        <v/>
      </c>
      <c r="V294" s="261" t="str">
        <f t="shared" si="8"/>
        <v/>
      </c>
      <c r="W294" s="282"/>
      <c r="X294" s="282"/>
      <c r="Y294" s="282"/>
      <c r="Z294" s="282"/>
      <c r="AA294" s="282"/>
      <c r="AB294" s="284"/>
      <c r="AC294" s="262" t="str">
        <f>IF(AE294="","",COUNTIF($AE$1:AE294,AE294))</f>
        <v/>
      </c>
      <c r="AD294" s="261" t="str">
        <f>IF(J294='PLAN DE ESTUDIO'!$XFD$41,"",IF(AE294="","",AC294&amp;K294&amp;L294&amp;M294))</f>
        <v/>
      </c>
      <c r="AE294" s="261" t="str">
        <f>IF(J294='PLAN DE ESTUDIO'!$XFD$41,"",IF(AF294=1,K294&amp;L294&amp;M294,""))</f>
        <v/>
      </c>
      <c r="AF294" s="261">
        <f>COUNTIF($O$1:O294,$O294)</f>
        <v>0</v>
      </c>
      <c r="AG294" s="285" t="str">
        <f>IF(J294='PLAN DE ESTUDIO'!$XFD$41,"",IF(P294="TP","Teórico-Práctica",IF(P294="T","Teórico",IF(P294="P","Práctica",""))))</f>
        <v/>
      </c>
      <c r="AH294" s="234" t="str">
        <f t="shared" si="9"/>
        <v xml:space="preserve"> </v>
      </c>
    </row>
    <row r="295" spans="10:34" x14ac:dyDescent="0.3">
      <c r="J295" s="412"/>
      <c r="K295" s="232"/>
      <c r="L295" s="232"/>
      <c r="M295" s="232"/>
      <c r="N295" s="412"/>
      <c r="P295" s="231"/>
      <c r="Q295" s="412"/>
      <c r="R295" s="425"/>
      <c r="S295" s="442"/>
      <c r="T295" s="283" t="str" cm="1">
        <f t="array" ref="T295">IF($B$9="","",_xlfn.IFS($B$9="PRESENCIAL",_xlfn.XLOOKUP($S295,DATA!$B$4:$B$8,DATA!$D$4:$D$8,"",0,),$B$9="VIRTUAL",_xlfn.XLOOKUP($S295,DATA!$G$4:$G$8,DATA!$I$4:$I$8,"",0),$B$9="DISTANCIA",_xlfn.XLOOKUP($S295,DATA!$L$4:$L$8,DATA!$N$4:$N$8,"",0)))</f>
        <v/>
      </c>
      <c r="U295" s="283" t="str" cm="1">
        <f t="array" ref="U295">IF($B$9="","",_xlfn.IFS($B$9="PRESENCIAL",_xlfn.XLOOKUP($S295,DATA!$B$4:$B$8,DATA!$E$4:$E$8,"",0,),$B$9="VIRTUAL",_xlfn.XLOOKUP($S295,DATA!$G$4:$G$8,DATA!$J$4:$J$8,"",0),$B$9="DISTANCIA",_xlfn.XLOOKUP($S295,DATA!$L$4:$L$8,DATA!$O$4:$O$8,"",0)))</f>
        <v/>
      </c>
      <c r="V295" s="261" t="str">
        <f t="shared" si="8"/>
        <v/>
      </c>
      <c r="W295" s="282"/>
      <c r="X295" s="282"/>
      <c r="Y295" s="282"/>
      <c r="Z295" s="282"/>
      <c r="AA295" s="282"/>
      <c r="AB295" s="284"/>
      <c r="AC295" s="262" t="str">
        <f>IF(AE295="","",COUNTIF($AE$1:AE295,AE295))</f>
        <v/>
      </c>
      <c r="AD295" s="261" t="str">
        <f>IF(J295='PLAN DE ESTUDIO'!$XFD$41,"",IF(AE295="","",AC295&amp;K295&amp;L295&amp;M295))</f>
        <v/>
      </c>
      <c r="AE295" s="261" t="str">
        <f>IF(J295='PLAN DE ESTUDIO'!$XFD$41,"",IF(AF295=1,K295&amp;L295&amp;M295,""))</f>
        <v/>
      </c>
      <c r="AF295" s="261">
        <f>COUNTIF($O$1:O295,$O295)</f>
        <v>0</v>
      </c>
      <c r="AG295" s="285" t="str">
        <f>IF(J295='PLAN DE ESTUDIO'!$XFD$41,"",IF(P295="TP","Teórico-Práctica",IF(P295="T","Teórico",IF(P295="P","Práctica",""))))</f>
        <v/>
      </c>
      <c r="AH295" s="234" t="str">
        <f t="shared" si="9"/>
        <v xml:space="preserve"> </v>
      </c>
    </row>
    <row r="296" spans="10:34" x14ac:dyDescent="0.3">
      <c r="J296" s="412"/>
      <c r="K296" s="232"/>
      <c r="L296" s="232"/>
      <c r="M296" s="232"/>
      <c r="N296" s="412"/>
      <c r="P296" s="231"/>
      <c r="Q296" s="412"/>
      <c r="R296" s="425"/>
      <c r="S296" s="442"/>
      <c r="T296" s="283" t="str" cm="1">
        <f t="array" ref="T296">IF($B$9="","",_xlfn.IFS($B$9="PRESENCIAL",_xlfn.XLOOKUP($S296,DATA!$B$4:$B$8,DATA!$D$4:$D$8,"",0,),$B$9="VIRTUAL",_xlfn.XLOOKUP($S296,DATA!$G$4:$G$8,DATA!$I$4:$I$8,"",0),$B$9="DISTANCIA",_xlfn.XLOOKUP($S296,DATA!$L$4:$L$8,DATA!$N$4:$N$8,"",0)))</f>
        <v/>
      </c>
      <c r="U296" s="283" t="str" cm="1">
        <f t="array" ref="U296">IF($B$9="","",_xlfn.IFS($B$9="PRESENCIAL",_xlfn.XLOOKUP($S296,DATA!$B$4:$B$8,DATA!$E$4:$E$8,"",0,),$B$9="VIRTUAL",_xlfn.XLOOKUP($S296,DATA!$G$4:$G$8,DATA!$J$4:$J$8,"",0),$B$9="DISTANCIA",_xlfn.XLOOKUP($S296,DATA!$L$4:$L$8,DATA!$O$4:$O$8,"",0)))</f>
        <v/>
      </c>
      <c r="V296" s="261" t="str">
        <f t="shared" ref="V296:V359" si="10">IF($U296="","",T296+U296)</f>
        <v/>
      </c>
      <c r="W296" s="282"/>
      <c r="X296" s="282"/>
      <c r="Y296" s="282"/>
      <c r="Z296" s="282"/>
      <c r="AA296" s="282"/>
      <c r="AB296" s="284"/>
      <c r="AC296" s="262" t="str">
        <f>IF(AE296="","",COUNTIF($AE$1:AE296,AE296))</f>
        <v/>
      </c>
      <c r="AD296" s="261" t="str">
        <f>IF(J296='PLAN DE ESTUDIO'!$XFD$41,"",IF(AE296="","",AC296&amp;K296&amp;L296&amp;M296))</f>
        <v/>
      </c>
      <c r="AE296" s="261" t="str">
        <f>IF(J296='PLAN DE ESTUDIO'!$XFD$41,"",IF(AF296=1,K296&amp;L296&amp;M296,""))</f>
        <v/>
      </c>
      <c r="AF296" s="261">
        <f>COUNTIF($O$1:O296,$O296)</f>
        <v>0</v>
      </c>
      <c r="AG296" s="285" t="str">
        <f>IF(J296='PLAN DE ESTUDIO'!$XFD$41,"",IF(P296="TP","Teórico-Práctica",IF(P296="T","Teórico",IF(P296="P","Práctica",""))))</f>
        <v/>
      </c>
      <c r="AH296" s="234" t="str">
        <f t="shared" ref="AH296:AH359" si="11">IF(AC296&lt;&gt;1," ",S296)</f>
        <v xml:space="preserve"> </v>
      </c>
    </row>
    <row r="297" spans="10:34" x14ac:dyDescent="0.3">
      <c r="J297" s="412"/>
      <c r="K297" s="232"/>
      <c r="L297" s="232"/>
      <c r="M297" s="232"/>
      <c r="N297" s="412"/>
      <c r="P297" s="231"/>
      <c r="Q297" s="412"/>
      <c r="R297" s="425"/>
      <c r="S297" s="442"/>
      <c r="T297" s="283" t="str" cm="1">
        <f t="array" ref="T297">IF($B$9="","",_xlfn.IFS($B$9="PRESENCIAL",_xlfn.XLOOKUP($S297,DATA!$B$4:$B$8,DATA!$D$4:$D$8,"",0,),$B$9="VIRTUAL",_xlfn.XLOOKUP($S297,DATA!$G$4:$G$8,DATA!$I$4:$I$8,"",0),$B$9="DISTANCIA",_xlfn.XLOOKUP($S297,DATA!$L$4:$L$8,DATA!$N$4:$N$8,"",0)))</f>
        <v/>
      </c>
      <c r="U297" s="283" t="str" cm="1">
        <f t="array" ref="U297">IF($B$9="","",_xlfn.IFS($B$9="PRESENCIAL",_xlfn.XLOOKUP($S297,DATA!$B$4:$B$8,DATA!$E$4:$E$8,"",0,),$B$9="VIRTUAL",_xlfn.XLOOKUP($S297,DATA!$G$4:$G$8,DATA!$J$4:$J$8,"",0),$B$9="DISTANCIA",_xlfn.XLOOKUP($S297,DATA!$L$4:$L$8,DATA!$O$4:$O$8,"",0)))</f>
        <v/>
      </c>
      <c r="V297" s="261" t="str">
        <f t="shared" si="10"/>
        <v/>
      </c>
      <c r="W297" s="282"/>
      <c r="X297" s="282"/>
      <c r="Y297" s="282"/>
      <c r="Z297" s="282"/>
      <c r="AA297" s="282"/>
      <c r="AB297" s="284"/>
      <c r="AC297" s="262" t="str">
        <f>IF(AE297="","",COUNTIF($AE$1:AE297,AE297))</f>
        <v/>
      </c>
      <c r="AD297" s="261" t="str">
        <f>IF(J297='PLAN DE ESTUDIO'!$XFD$41,"",IF(AE297="","",AC297&amp;K297&amp;L297&amp;M297))</f>
        <v/>
      </c>
      <c r="AE297" s="261" t="str">
        <f>IF(J297='PLAN DE ESTUDIO'!$XFD$41,"",IF(AF297=1,K297&amp;L297&amp;M297,""))</f>
        <v/>
      </c>
      <c r="AF297" s="261">
        <f>COUNTIF($O$1:O297,$O297)</f>
        <v>0</v>
      </c>
      <c r="AG297" s="285" t="str">
        <f>IF(J297='PLAN DE ESTUDIO'!$XFD$41,"",IF(P297="TP","Teórico-Práctica",IF(P297="T","Teórico",IF(P297="P","Práctica",""))))</f>
        <v/>
      </c>
      <c r="AH297" s="234" t="str">
        <f t="shared" si="11"/>
        <v xml:space="preserve"> </v>
      </c>
    </row>
    <row r="298" spans="10:34" x14ac:dyDescent="0.3">
      <c r="J298" s="412"/>
      <c r="K298" s="232"/>
      <c r="L298" s="232"/>
      <c r="M298" s="232"/>
      <c r="N298" s="412"/>
      <c r="P298" s="231"/>
      <c r="Q298" s="412"/>
      <c r="R298" s="425"/>
      <c r="S298" s="442"/>
      <c r="T298" s="283" t="str" cm="1">
        <f t="array" ref="T298">IF($B$9="","",_xlfn.IFS($B$9="PRESENCIAL",_xlfn.XLOOKUP($S298,DATA!$B$4:$B$8,DATA!$D$4:$D$8,"",0,),$B$9="VIRTUAL",_xlfn.XLOOKUP($S298,DATA!$G$4:$G$8,DATA!$I$4:$I$8,"",0),$B$9="DISTANCIA",_xlfn.XLOOKUP($S298,DATA!$L$4:$L$8,DATA!$N$4:$N$8,"",0)))</f>
        <v/>
      </c>
      <c r="U298" s="283" t="str" cm="1">
        <f t="array" ref="U298">IF($B$9="","",_xlfn.IFS($B$9="PRESENCIAL",_xlfn.XLOOKUP($S298,DATA!$B$4:$B$8,DATA!$E$4:$E$8,"",0,),$B$9="VIRTUAL",_xlfn.XLOOKUP($S298,DATA!$G$4:$G$8,DATA!$J$4:$J$8,"",0),$B$9="DISTANCIA",_xlfn.XLOOKUP($S298,DATA!$L$4:$L$8,DATA!$O$4:$O$8,"",0)))</f>
        <v/>
      </c>
      <c r="V298" s="261" t="str">
        <f t="shared" si="10"/>
        <v/>
      </c>
      <c r="W298" s="282"/>
      <c r="X298" s="282"/>
      <c r="Y298" s="282"/>
      <c r="Z298" s="282"/>
      <c r="AA298" s="282"/>
      <c r="AB298" s="284"/>
      <c r="AC298" s="262" t="str">
        <f>IF(AE298="","",COUNTIF($AE$1:AE298,AE298))</f>
        <v/>
      </c>
      <c r="AD298" s="261" t="str">
        <f>IF(J298='PLAN DE ESTUDIO'!$XFD$41,"",IF(AE298="","",AC298&amp;K298&amp;L298&amp;M298))</f>
        <v/>
      </c>
      <c r="AE298" s="261" t="str">
        <f>IF(J298='PLAN DE ESTUDIO'!$XFD$41,"",IF(AF298=1,K298&amp;L298&amp;M298,""))</f>
        <v/>
      </c>
      <c r="AF298" s="261">
        <f>COUNTIF($O$1:O298,$O298)</f>
        <v>0</v>
      </c>
      <c r="AG298" s="285" t="str">
        <f>IF(J298='PLAN DE ESTUDIO'!$XFD$41,"",IF(P298="TP","Teórico-Práctica",IF(P298="T","Teórico",IF(P298="P","Práctica",""))))</f>
        <v/>
      </c>
      <c r="AH298" s="234" t="str">
        <f t="shared" si="11"/>
        <v xml:space="preserve"> </v>
      </c>
    </row>
    <row r="299" spans="10:34" x14ac:dyDescent="0.3">
      <c r="J299" s="412"/>
      <c r="K299" s="232"/>
      <c r="L299" s="232"/>
      <c r="M299" s="232"/>
      <c r="N299" s="412"/>
      <c r="P299" s="231"/>
      <c r="Q299" s="412"/>
      <c r="R299" s="425"/>
      <c r="S299" s="442"/>
      <c r="T299" s="283" t="str" cm="1">
        <f t="array" ref="T299">IF($B$9="","",_xlfn.IFS($B$9="PRESENCIAL",_xlfn.XLOOKUP($S299,DATA!$B$4:$B$8,DATA!$D$4:$D$8,"",0,),$B$9="VIRTUAL",_xlfn.XLOOKUP($S299,DATA!$G$4:$G$8,DATA!$I$4:$I$8,"",0),$B$9="DISTANCIA",_xlfn.XLOOKUP($S299,DATA!$L$4:$L$8,DATA!$N$4:$N$8,"",0)))</f>
        <v/>
      </c>
      <c r="U299" s="283" t="str" cm="1">
        <f t="array" ref="U299">IF($B$9="","",_xlfn.IFS($B$9="PRESENCIAL",_xlfn.XLOOKUP($S299,DATA!$B$4:$B$8,DATA!$E$4:$E$8,"",0,),$B$9="VIRTUAL",_xlfn.XLOOKUP($S299,DATA!$G$4:$G$8,DATA!$J$4:$J$8,"",0),$B$9="DISTANCIA",_xlfn.XLOOKUP($S299,DATA!$L$4:$L$8,DATA!$O$4:$O$8,"",0)))</f>
        <v/>
      </c>
      <c r="V299" s="261" t="str">
        <f t="shared" si="10"/>
        <v/>
      </c>
      <c r="W299" s="282"/>
      <c r="X299" s="282"/>
      <c r="Y299" s="282"/>
      <c r="Z299" s="282"/>
      <c r="AA299" s="282"/>
      <c r="AB299" s="284"/>
      <c r="AC299" s="262" t="str">
        <f>IF(AE299="","",COUNTIF($AE$1:AE299,AE299))</f>
        <v/>
      </c>
      <c r="AD299" s="261" t="str">
        <f>IF(J299='PLAN DE ESTUDIO'!$XFD$41,"",IF(AE299="","",AC299&amp;K299&amp;L299&amp;M299))</f>
        <v/>
      </c>
      <c r="AE299" s="261" t="str">
        <f>IF(J299='PLAN DE ESTUDIO'!$XFD$41,"",IF(AF299=1,K299&amp;L299&amp;M299,""))</f>
        <v/>
      </c>
      <c r="AF299" s="261">
        <f>COUNTIF($O$1:O299,$O299)</f>
        <v>0</v>
      </c>
      <c r="AG299" s="285" t="str">
        <f>IF(J299='PLAN DE ESTUDIO'!$XFD$41,"",IF(P299="TP","Teórico-Práctica",IF(P299="T","Teórico",IF(P299="P","Práctica",""))))</f>
        <v/>
      </c>
      <c r="AH299" s="234" t="str">
        <f t="shared" si="11"/>
        <v xml:space="preserve"> </v>
      </c>
    </row>
    <row r="300" spans="10:34" x14ac:dyDescent="0.3">
      <c r="J300" s="412"/>
      <c r="K300" s="232"/>
      <c r="L300" s="232"/>
      <c r="M300" s="232"/>
      <c r="N300" s="412"/>
      <c r="P300" s="231"/>
      <c r="Q300" s="412"/>
      <c r="R300" s="425"/>
      <c r="S300" s="442"/>
      <c r="T300" s="283" t="str" cm="1">
        <f t="array" ref="T300">IF($B$9="","",_xlfn.IFS($B$9="PRESENCIAL",_xlfn.XLOOKUP($S300,DATA!$B$4:$B$8,DATA!$D$4:$D$8,"",0,),$B$9="VIRTUAL",_xlfn.XLOOKUP($S300,DATA!$G$4:$G$8,DATA!$I$4:$I$8,"",0),$B$9="DISTANCIA",_xlfn.XLOOKUP($S300,DATA!$L$4:$L$8,DATA!$N$4:$N$8,"",0)))</f>
        <v/>
      </c>
      <c r="U300" s="283" t="str" cm="1">
        <f t="array" ref="U300">IF($B$9="","",_xlfn.IFS($B$9="PRESENCIAL",_xlfn.XLOOKUP($S300,DATA!$B$4:$B$8,DATA!$E$4:$E$8,"",0,),$B$9="VIRTUAL",_xlfn.XLOOKUP($S300,DATA!$G$4:$G$8,DATA!$J$4:$J$8,"",0),$B$9="DISTANCIA",_xlfn.XLOOKUP($S300,DATA!$L$4:$L$8,DATA!$O$4:$O$8,"",0)))</f>
        <v/>
      </c>
      <c r="V300" s="261" t="str">
        <f t="shared" si="10"/>
        <v/>
      </c>
      <c r="W300" s="282"/>
      <c r="X300" s="282"/>
      <c r="Y300" s="282"/>
      <c r="Z300" s="282"/>
      <c r="AA300" s="282"/>
      <c r="AB300" s="284"/>
      <c r="AC300" s="262" t="str">
        <f>IF(AE300="","",COUNTIF($AE$1:AE300,AE300))</f>
        <v/>
      </c>
      <c r="AD300" s="261" t="str">
        <f>IF(J300='PLAN DE ESTUDIO'!$XFD$41,"",IF(AE300="","",AC300&amp;K300&amp;L300&amp;M300))</f>
        <v/>
      </c>
      <c r="AE300" s="261" t="str">
        <f>IF(J300='PLAN DE ESTUDIO'!$XFD$41,"",IF(AF300=1,K300&amp;L300&amp;M300,""))</f>
        <v/>
      </c>
      <c r="AF300" s="261">
        <f>COUNTIF($O$1:O300,$O300)</f>
        <v>0</v>
      </c>
      <c r="AG300" s="285" t="str">
        <f>IF(J300='PLAN DE ESTUDIO'!$XFD$41,"",IF(P300="TP","Teórico-Práctica",IF(P300="T","Teórico",IF(P300="P","Práctica",""))))</f>
        <v/>
      </c>
      <c r="AH300" s="234" t="str">
        <f t="shared" si="11"/>
        <v xml:space="preserve"> </v>
      </c>
    </row>
    <row r="301" spans="10:34" x14ac:dyDescent="0.3">
      <c r="J301" s="412"/>
      <c r="K301" s="232"/>
      <c r="L301" s="232"/>
      <c r="M301" s="232"/>
      <c r="N301" s="412"/>
      <c r="P301" s="231"/>
      <c r="Q301" s="412"/>
      <c r="R301" s="425"/>
      <c r="S301" s="442"/>
      <c r="T301" s="283" t="str" cm="1">
        <f t="array" ref="T301">IF($B$9="","",_xlfn.IFS($B$9="PRESENCIAL",_xlfn.XLOOKUP($S301,DATA!$B$4:$B$8,DATA!$D$4:$D$8,"",0,),$B$9="VIRTUAL",_xlfn.XLOOKUP($S301,DATA!$G$4:$G$8,DATA!$I$4:$I$8,"",0),$B$9="DISTANCIA",_xlfn.XLOOKUP($S301,DATA!$L$4:$L$8,DATA!$N$4:$N$8,"",0)))</f>
        <v/>
      </c>
      <c r="U301" s="283" t="str" cm="1">
        <f t="array" ref="U301">IF($B$9="","",_xlfn.IFS($B$9="PRESENCIAL",_xlfn.XLOOKUP($S301,DATA!$B$4:$B$8,DATA!$E$4:$E$8,"",0,),$B$9="VIRTUAL",_xlfn.XLOOKUP($S301,DATA!$G$4:$G$8,DATA!$J$4:$J$8,"",0),$B$9="DISTANCIA",_xlfn.XLOOKUP($S301,DATA!$L$4:$L$8,DATA!$O$4:$O$8,"",0)))</f>
        <v/>
      </c>
      <c r="V301" s="261" t="str">
        <f t="shared" si="10"/>
        <v/>
      </c>
      <c r="W301" s="282"/>
      <c r="X301" s="282"/>
      <c r="Y301" s="282"/>
      <c r="Z301" s="282"/>
      <c r="AA301" s="282"/>
      <c r="AB301" s="284"/>
      <c r="AC301" s="262" t="str">
        <f>IF(AE301="","",COUNTIF($AE$1:AE301,AE301))</f>
        <v/>
      </c>
      <c r="AD301" s="261" t="str">
        <f>IF(J301='PLAN DE ESTUDIO'!$XFD$41,"",IF(AE301="","",AC301&amp;K301&amp;L301&amp;M301))</f>
        <v/>
      </c>
      <c r="AE301" s="261" t="str">
        <f>IF(J301='PLAN DE ESTUDIO'!$XFD$41,"",IF(AF301=1,K301&amp;L301&amp;M301,""))</f>
        <v/>
      </c>
      <c r="AF301" s="261">
        <f>COUNTIF($O$1:O301,$O301)</f>
        <v>0</v>
      </c>
      <c r="AG301" s="285" t="str">
        <f>IF(J301='PLAN DE ESTUDIO'!$XFD$41,"",IF(P301="TP","Teórico-Práctica",IF(P301="T","Teórico",IF(P301="P","Práctica",""))))</f>
        <v/>
      </c>
      <c r="AH301" s="234" t="str">
        <f t="shared" si="11"/>
        <v xml:space="preserve"> </v>
      </c>
    </row>
    <row r="302" spans="10:34" x14ac:dyDescent="0.3">
      <c r="J302" s="412"/>
      <c r="K302" s="232"/>
      <c r="L302" s="232"/>
      <c r="M302" s="232"/>
      <c r="N302" s="412"/>
      <c r="P302" s="231"/>
      <c r="Q302" s="412"/>
      <c r="R302" s="425"/>
      <c r="S302" s="442"/>
      <c r="T302" s="283" t="str" cm="1">
        <f t="array" ref="T302">IF($B$9="","",_xlfn.IFS($B$9="PRESENCIAL",_xlfn.XLOOKUP($S302,DATA!$B$4:$B$8,DATA!$D$4:$D$8,"",0,),$B$9="VIRTUAL",_xlfn.XLOOKUP($S302,DATA!$G$4:$G$8,DATA!$I$4:$I$8,"",0),$B$9="DISTANCIA",_xlfn.XLOOKUP($S302,DATA!$L$4:$L$8,DATA!$N$4:$N$8,"",0)))</f>
        <v/>
      </c>
      <c r="U302" s="283" t="str" cm="1">
        <f t="array" ref="U302">IF($B$9="","",_xlfn.IFS($B$9="PRESENCIAL",_xlfn.XLOOKUP($S302,DATA!$B$4:$B$8,DATA!$E$4:$E$8,"",0,),$B$9="VIRTUAL",_xlfn.XLOOKUP($S302,DATA!$G$4:$G$8,DATA!$J$4:$J$8,"",0),$B$9="DISTANCIA",_xlfn.XLOOKUP($S302,DATA!$L$4:$L$8,DATA!$O$4:$O$8,"",0)))</f>
        <v/>
      </c>
      <c r="V302" s="261" t="str">
        <f t="shared" si="10"/>
        <v/>
      </c>
      <c r="W302" s="282"/>
      <c r="X302" s="282"/>
      <c r="Y302" s="282"/>
      <c r="Z302" s="282"/>
      <c r="AA302" s="282"/>
      <c r="AB302" s="284"/>
      <c r="AC302" s="262" t="str">
        <f>IF(AE302="","",COUNTIF($AE$1:AE302,AE302))</f>
        <v/>
      </c>
      <c r="AD302" s="261" t="str">
        <f>IF(J302='PLAN DE ESTUDIO'!$XFD$41,"",IF(AE302="","",AC302&amp;K302&amp;L302&amp;M302))</f>
        <v/>
      </c>
      <c r="AE302" s="261" t="str">
        <f>IF(J302='PLAN DE ESTUDIO'!$XFD$41,"",IF(AF302=1,K302&amp;L302&amp;M302,""))</f>
        <v/>
      </c>
      <c r="AF302" s="261">
        <f>COUNTIF($O$1:O302,$O302)</f>
        <v>0</v>
      </c>
      <c r="AG302" s="285" t="str">
        <f>IF(J302='PLAN DE ESTUDIO'!$XFD$41,"",IF(P302="TP","Teórico-Práctica",IF(P302="T","Teórico",IF(P302="P","Práctica",""))))</f>
        <v/>
      </c>
      <c r="AH302" s="234" t="str">
        <f t="shared" si="11"/>
        <v xml:space="preserve"> </v>
      </c>
    </row>
    <row r="303" spans="10:34" x14ac:dyDescent="0.3">
      <c r="J303" s="412"/>
      <c r="K303" s="232"/>
      <c r="L303" s="232"/>
      <c r="M303" s="232"/>
      <c r="N303" s="412"/>
      <c r="P303" s="231"/>
      <c r="Q303" s="412"/>
      <c r="R303" s="425"/>
      <c r="S303" s="442"/>
      <c r="T303" s="283" t="str" cm="1">
        <f t="array" ref="T303">IF($B$9="","",_xlfn.IFS($B$9="PRESENCIAL",_xlfn.XLOOKUP($S303,DATA!$B$4:$B$8,DATA!$D$4:$D$8,"",0,),$B$9="VIRTUAL",_xlfn.XLOOKUP($S303,DATA!$G$4:$G$8,DATA!$I$4:$I$8,"",0),$B$9="DISTANCIA",_xlfn.XLOOKUP($S303,DATA!$L$4:$L$8,DATA!$N$4:$N$8,"",0)))</f>
        <v/>
      </c>
      <c r="U303" s="283" t="str" cm="1">
        <f t="array" ref="U303">IF($B$9="","",_xlfn.IFS($B$9="PRESENCIAL",_xlfn.XLOOKUP($S303,DATA!$B$4:$B$8,DATA!$E$4:$E$8,"",0,),$B$9="VIRTUAL",_xlfn.XLOOKUP($S303,DATA!$G$4:$G$8,DATA!$J$4:$J$8,"",0),$B$9="DISTANCIA",_xlfn.XLOOKUP($S303,DATA!$L$4:$L$8,DATA!$O$4:$O$8,"",0)))</f>
        <v/>
      </c>
      <c r="V303" s="261" t="str">
        <f t="shared" si="10"/>
        <v/>
      </c>
      <c r="W303" s="282"/>
      <c r="X303" s="282"/>
      <c r="Y303" s="282"/>
      <c r="Z303" s="282"/>
      <c r="AA303" s="282"/>
      <c r="AB303" s="284"/>
      <c r="AC303" s="262" t="str">
        <f>IF(AE303="","",COUNTIF($AE$1:AE303,AE303))</f>
        <v/>
      </c>
      <c r="AD303" s="261" t="str">
        <f>IF(J303='PLAN DE ESTUDIO'!$XFD$41,"",IF(AE303="","",AC303&amp;K303&amp;L303&amp;M303))</f>
        <v/>
      </c>
      <c r="AE303" s="261" t="str">
        <f>IF(J303='PLAN DE ESTUDIO'!$XFD$41,"",IF(AF303=1,K303&amp;L303&amp;M303,""))</f>
        <v/>
      </c>
      <c r="AF303" s="261">
        <f>COUNTIF($O$1:O303,$O303)</f>
        <v>0</v>
      </c>
      <c r="AG303" s="285" t="str">
        <f>IF(J303='PLAN DE ESTUDIO'!$XFD$41,"",IF(P303="TP","Teórico-Práctica",IF(P303="T","Teórico",IF(P303="P","Práctica",""))))</f>
        <v/>
      </c>
      <c r="AH303" s="234" t="str">
        <f t="shared" si="11"/>
        <v xml:space="preserve"> </v>
      </c>
    </row>
    <row r="304" spans="10:34" x14ac:dyDescent="0.3">
      <c r="J304" s="412"/>
      <c r="K304" s="232"/>
      <c r="L304" s="232"/>
      <c r="M304" s="232"/>
      <c r="N304" s="412"/>
      <c r="P304" s="231"/>
      <c r="Q304" s="412"/>
      <c r="R304" s="425"/>
      <c r="S304" s="442"/>
      <c r="T304" s="283" t="str" cm="1">
        <f t="array" ref="T304">IF($B$9="","",_xlfn.IFS($B$9="PRESENCIAL",_xlfn.XLOOKUP($S304,DATA!$B$4:$B$8,DATA!$D$4:$D$8,"",0,),$B$9="VIRTUAL",_xlfn.XLOOKUP($S304,DATA!$G$4:$G$8,DATA!$I$4:$I$8,"",0),$B$9="DISTANCIA",_xlfn.XLOOKUP($S304,DATA!$L$4:$L$8,DATA!$N$4:$N$8,"",0)))</f>
        <v/>
      </c>
      <c r="U304" s="283" t="str" cm="1">
        <f t="array" ref="U304">IF($B$9="","",_xlfn.IFS($B$9="PRESENCIAL",_xlfn.XLOOKUP($S304,DATA!$B$4:$B$8,DATA!$E$4:$E$8,"",0,),$B$9="VIRTUAL",_xlfn.XLOOKUP($S304,DATA!$G$4:$G$8,DATA!$J$4:$J$8,"",0),$B$9="DISTANCIA",_xlfn.XLOOKUP($S304,DATA!$L$4:$L$8,DATA!$O$4:$O$8,"",0)))</f>
        <v/>
      </c>
      <c r="V304" s="261" t="str">
        <f t="shared" si="10"/>
        <v/>
      </c>
      <c r="W304" s="282"/>
      <c r="X304" s="282"/>
      <c r="Y304" s="282"/>
      <c r="Z304" s="282"/>
      <c r="AA304" s="282"/>
      <c r="AB304" s="284"/>
      <c r="AC304" s="262" t="str">
        <f>IF(AE304="","",COUNTIF($AE$1:AE304,AE304))</f>
        <v/>
      </c>
      <c r="AD304" s="261" t="str">
        <f>IF(J304='PLAN DE ESTUDIO'!$XFD$41,"",IF(AE304="","",AC304&amp;K304&amp;L304&amp;M304))</f>
        <v/>
      </c>
      <c r="AE304" s="261" t="str">
        <f>IF(J304='PLAN DE ESTUDIO'!$XFD$41,"",IF(AF304=1,K304&amp;L304&amp;M304,""))</f>
        <v/>
      </c>
      <c r="AF304" s="261">
        <f>COUNTIF($O$1:O304,$O304)</f>
        <v>0</v>
      </c>
      <c r="AG304" s="285" t="str">
        <f>IF(J304='PLAN DE ESTUDIO'!$XFD$41,"",IF(P304="TP","Teórico-Práctica",IF(P304="T","Teórico",IF(P304="P","Práctica",""))))</f>
        <v/>
      </c>
      <c r="AH304" s="234" t="str">
        <f t="shared" si="11"/>
        <v xml:space="preserve"> </v>
      </c>
    </row>
    <row r="305" spans="10:34" x14ac:dyDescent="0.3">
      <c r="J305" s="412"/>
      <c r="K305" s="232"/>
      <c r="L305" s="232"/>
      <c r="M305" s="232"/>
      <c r="N305" s="412"/>
      <c r="P305" s="231"/>
      <c r="Q305" s="412"/>
      <c r="R305" s="425"/>
      <c r="S305" s="442"/>
      <c r="T305" s="283" t="str" cm="1">
        <f t="array" ref="T305">IF($B$9="","",_xlfn.IFS($B$9="PRESENCIAL",_xlfn.XLOOKUP($S305,DATA!$B$4:$B$8,DATA!$D$4:$D$8,"",0,),$B$9="VIRTUAL",_xlfn.XLOOKUP($S305,DATA!$G$4:$G$8,DATA!$I$4:$I$8,"",0),$B$9="DISTANCIA",_xlfn.XLOOKUP($S305,DATA!$L$4:$L$8,DATA!$N$4:$N$8,"",0)))</f>
        <v/>
      </c>
      <c r="U305" s="283" t="str" cm="1">
        <f t="array" ref="U305">IF($B$9="","",_xlfn.IFS($B$9="PRESENCIAL",_xlfn.XLOOKUP($S305,DATA!$B$4:$B$8,DATA!$E$4:$E$8,"",0,),$B$9="VIRTUAL",_xlfn.XLOOKUP($S305,DATA!$G$4:$G$8,DATA!$J$4:$J$8,"",0),$B$9="DISTANCIA",_xlfn.XLOOKUP($S305,DATA!$L$4:$L$8,DATA!$O$4:$O$8,"",0)))</f>
        <v/>
      </c>
      <c r="V305" s="261" t="str">
        <f t="shared" si="10"/>
        <v/>
      </c>
      <c r="W305" s="282"/>
      <c r="X305" s="282"/>
      <c r="Y305" s="282"/>
      <c r="Z305" s="282"/>
      <c r="AA305" s="282"/>
      <c r="AB305" s="284"/>
      <c r="AC305" s="262" t="str">
        <f>IF(AE305="","",COUNTIF($AE$1:AE305,AE305))</f>
        <v/>
      </c>
      <c r="AD305" s="261" t="str">
        <f>IF(J305='PLAN DE ESTUDIO'!$XFD$41,"",IF(AE305="","",AC305&amp;K305&amp;L305&amp;M305))</f>
        <v/>
      </c>
      <c r="AE305" s="261" t="str">
        <f>IF(J305='PLAN DE ESTUDIO'!$XFD$41,"",IF(AF305=1,K305&amp;L305&amp;M305,""))</f>
        <v/>
      </c>
      <c r="AF305" s="261">
        <f>COUNTIF($O$1:O305,$O305)</f>
        <v>0</v>
      </c>
      <c r="AG305" s="285" t="str">
        <f>IF(J305='PLAN DE ESTUDIO'!$XFD$41,"",IF(P305="TP","Teórico-Práctica",IF(P305="T","Teórico",IF(P305="P","Práctica",""))))</f>
        <v/>
      </c>
      <c r="AH305" s="234" t="str">
        <f t="shared" si="11"/>
        <v xml:space="preserve"> </v>
      </c>
    </row>
    <row r="306" spans="10:34" x14ac:dyDescent="0.3">
      <c r="J306" s="412"/>
      <c r="K306" s="232"/>
      <c r="L306" s="232"/>
      <c r="M306" s="232"/>
      <c r="N306" s="412"/>
      <c r="P306" s="231"/>
      <c r="Q306" s="412"/>
      <c r="R306" s="425"/>
      <c r="S306" s="442"/>
      <c r="T306" s="283" t="str" cm="1">
        <f t="array" ref="T306">IF($B$9="","",_xlfn.IFS($B$9="PRESENCIAL",_xlfn.XLOOKUP($S306,DATA!$B$4:$B$8,DATA!$D$4:$D$8,"",0,),$B$9="VIRTUAL",_xlfn.XLOOKUP($S306,DATA!$G$4:$G$8,DATA!$I$4:$I$8,"",0),$B$9="DISTANCIA",_xlfn.XLOOKUP($S306,DATA!$L$4:$L$8,DATA!$N$4:$N$8,"",0)))</f>
        <v/>
      </c>
      <c r="U306" s="283" t="str" cm="1">
        <f t="array" ref="U306">IF($B$9="","",_xlfn.IFS($B$9="PRESENCIAL",_xlfn.XLOOKUP($S306,DATA!$B$4:$B$8,DATA!$E$4:$E$8,"",0,),$B$9="VIRTUAL",_xlfn.XLOOKUP($S306,DATA!$G$4:$G$8,DATA!$J$4:$J$8,"",0),$B$9="DISTANCIA",_xlfn.XLOOKUP($S306,DATA!$L$4:$L$8,DATA!$O$4:$O$8,"",0)))</f>
        <v/>
      </c>
      <c r="V306" s="261" t="str">
        <f t="shared" si="10"/>
        <v/>
      </c>
      <c r="W306" s="282"/>
      <c r="X306" s="282"/>
      <c r="Y306" s="282"/>
      <c r="Z306" s="282"/>
      <c r="AA306" s="282"/>
      <c r="AB306" s="284"/>
      <c r="AC306" s="262" t="str">
        <f>IF(AE306="","",COUNTIF($AE$1:AE306,AE306))</f>
        <v/>
      </c>
      <c r="AD306" s="261" t="str">
        <f>IF(J306='PLAN DE ESTUDIO'!$XFD$41,"",IF(AE306="","",AC306&amp;K306&amp;L306&amp;M306))</f>
        <v/>
      </c>
      <c r="AE306" s="261" t="str">
        <f>IF(J306='PLAN DE ESTUDIO'!$XFD$41,"",IF(AF306=1,K306&amp;L306&amp;M306,""))</f>
        <v/>
      </c>
      <c r="AF306" s="261">
        <f>COUNTIF($O$1:O306,$O306)</f>
        <v>0</v>
      </c>
      <c r="AG306" s="285" t="str">
        <f>IF(J306='PLAN DE ESTUDIO'!$XFD$41,"",IF(P306="TP","Teórico-Práctica",IF(P306="T","Teórico",IF(P306="P","Práctica",""))))</f>
        <v/>
      </c>
      <c r="AH306" s="234" t="str">
        <f t="shared" si="11"/>
        <v xml:space="preserve"> </v>
      </c>
    </row>
    <row r="307" spans="10:34" x14ac:dyDescent="0.3">
      <c r="J307" s="412"/>
      <c r="K307" s="232"/>
      <c r="L307" s="232"/>
      <c r="M307" s="232"/>
      <c r="N307" s="412"/>
      <c r="P307" s="231"/>
      <c r="Q307" s="412"/>
      <c r="R307" s="425"/>
      <c r="S307" s="442"/>
      <c r="T307" s="283" t="str" cm="1">
        <f t="array" ref="T307">IF($B$9="","",_xlfn.IFS($B$9="PRESENCIAL",_xlfn.XLOOKUP($S307,DATA!$B$4:$B$8,DATA!$D$4:$D$8,"",0,),$B$9="VIRTUAL",_xlfn.XLOOKUP($S307,DATA!$G$4:$G$8,DATA!$I$4:$I$8,"",0),$B$9="DISTANCIA",_xlfn.XLOOKUP($S307,DATA!$L$4:$L$8,DATA!$N$4:$N$8,"",0)))</f>
        <v/>
      </c>
      <c r="U307" s="283" t="str" cm="1">
        <f t="array" ref="U307">IF($B$9="","",_xlfn.IFS($B$9="PRESENCIAL",_xlfn.XLOOKUP($S307,DATA!$B$4:$B$8,DATA!$E$4:$E$8,"",0,),$B$9="VIRTUAL",_xlfn.XLOOKUP($S307,DATA!$G$4:$G$8,DATA!$J$4:$J$8,"",0),$B$9="DISTANCIA",_xlfn.XLOOKUP($S307,DATA!$L$4:$L$8,DATA!$O$4:$O$8,"",0)))</f>
        <v/>
      </c>
      <c r="V307" s="261" t="str">
        <f t="shared" si="10"/>
        <v/>
      </c>
      <c r="W307" s="282"/>
      <c r="X307" s="282"/>
      <c r="Y307" s="282"/>
      <c r="Z307" s="282"/>
      <c r="AA307" s="282"/>
      <c r="AB307" s="284"/>
      <c r="AC307" s="262" t="str">
        <f>IF(AE307="","",COUNTIF($AE$1:AE307,AE307))</f>
        <v/>
      </c>
      <c r="AD307" s="261" t="str">
        <f>IF(J307='PLAN DE ESTUDIO'!$XFD$41,"",IF(AE307="","",AC307&amp;K307&amp;L307&amp;M307))</f>
        <v/>
      </c>
      <c r="AE307" s="261" t="str">
        <f>IF(J307='PLAN DE ESTUDIO'!$XFD$41,"",IF(AF307=1,K307&amp;L307&amp;M307,""))</f>
        <v/>
      </c>
      <c r="AF307" s="261">
        <f>COUNTIF($O$1:O307,$O307)</f>
        <v>0</v>
      </c>
      <c r="AG307" s="285" t="str">
        <f>IF(J307='PLAN DE ESTUDIO'!$XFD$41,"",IF(P307="TP","Teórico-Práctica",IF(P307="T","Teórico",IF(P307="P","Práctica",""))))</f>
        <v/>
      </c>
      <c r="AH307" s="234" t="str">
        <f t="shared" si="11"/>
        <v xml:space="preserve"> </v>
      </c>
    </row>
    <row r="308" spans="10:34" x14ac:dyDescent="0.3">
      <c r="J308" s="412"/>
      <c r="K308" s="232"/>
      <c r="L308" s="232"/>
      <c r="M308" s="232"/>
      <c r="N308" s="412"/>
      <c r="P308" s="231"/>
      <c r="Q308" s="412"/>
      <c r="R308" s="425"/>
      <c r="S308" s="442"/>
      <c r="T308" s="283" t="str" cm="1">
        <f t="array" ref="T308">IF($B$9="","",_xlfn.IFS($B$9="PRESENCIAL",_xlfn.XLOOKUP($S308,DATA!$B$4:$B$8,DATA!$D$4:$D$8,"",0,),$B$9="VIRTUAL",_xlfn.XLOOKUP($S308,DATA!$G$4:$G$8,DATA!$I$4:$I$8,"",0),$B$9="DISTANCIA",_xlfn.XLOOKUP($S308,DATA!$L$4:$L$8,DATA!$N$4:$N$8,"",0)))</f>
        <v/>
      </c>
      <c r="U308" s="283" t="str" cm="1">
        <f t="array" ref="U308">IF($B$9="","",_xlfn.IFS($B$9="PRESENCIAL",_xlfn.XLOOKUP($S308,DATA!$B$4:$B$8,DATA!$E$4:$E$8,"",0,),$B$9="VIRTUAL",_xlfn.XLOOKUP($S308,DATA!$G$4:$G$8,DATA!$J$4:$J$8,"",0),$B$9="DISTANCIA",_xlfn.XLOOKUP($S308,DATA!$L$4:$L$8,DATA!$O$4:$O$8,"",0)))</f>
        <v/>
      </c>
      <c r="V308" s="261" t="str">
        <f t="shared" si="10"/>
        <v/>
      </c>
      <c r="W308" s="282"/>
      <c r="X308" s="282"/>
      <c r="Y308" s="282"/>
      <c r="Z308" s="282"/>
      <c r="AA308" s="282"/>
      <c r="AB308" s="284"/>
      <c r="AC308" s="262" t="str">
        <f>IF(AE308="","",COUNTIF($AE$1:AE308,AE308))</f>
        <v/>
      </c>
      <c r="AD308" s="261" t="str">
        <f>IF(J308='PLAN DE ESTUDIO'!$XFD$41,"",IF(AE308="","",AC308&amp;K308&amp;L308&amp;M308))</f>
        <v/>
      </c>
      <c r="AE308" s="261" t="str">
        <f>IF(J308='PLAN DE ESTUDIO'!$XFD$41,"",IF(AF308=1,K308&amp;L308&amp;M308,""))</f>
        <v/>
      </c>
      <c r="AF308" s="261">
        <f>COUNTIF($O$1:O308,$O308)</f>
        <v>0</v>
      </c>
      <c r="AG308" s="285" t="str">
        <f>IF(J308='PLAN DE ESTUDIO'!$XFD$41,"",IF(P308="TP","Teórico-Práctica",IF(P308="T","Teórico",IF(P308="P","Práctica",""))))</f>
        <v/>
      </c>
      <c r="AH308" s="234" t="str">
        <f t="shared" si="11"/>
        <v xml:space="preserve"> </v>
      </c>
    </row>
    <row r="309" spans="10:34" x14ac:dyDescent="0.3">
      <c r="J309" s="412"/>
      <c r="K309" s="232"/>
      <c r="L309" s="232"/>
      <c r="M309" s="232"/>
      <c r="N309" s="412"/>
      <c r="P309" s="231"/>
      <c r="Q309" s="412"/>
      <c r="R309" s="425"/>
      <c r="S309" s="442"/>
      <c r="T309" s="283" t="str" cm="1">
        <f t="array" ref="T309">IF($B$9="","",_xlfn.IFS($B$9="PRESENCIAL",_xlfn.XLOOKUP($S309,DATA!$B$4:$B$8,DATA!$D$4:$D$8,"",0,),$B$9="VIRTUAL",_xlfn.XLOOKUP($S309,DATA!$G$4:$G$8,DATA!$I$4:$I$8,"",0),$B$9="DISTANCIA",_xlfn.XLOOKUP($S309,DATA!$L$4:$L$8,DATA!$N$4:$N$8,"",0)))</f>
        <v/>
      </c>
      <c r="U309" s="283" t="str" cm="1">
        <f t="array" ref="U309">IF($B$9="","",_xlfn.IFS($B$9="PRESENCIAL",_xlfn.XLOOKUP($S309,DATA!$B$4:$B$8,DATA!$E$4:$E$8,"",0,),$B$9="VIRTUAL",_xlfn.XLOOKUP($S309,DATA!$G$4:$G$8,DATA!$J$4:$J$8,"",0),$B$9="DISTANCIA",_xlfn.XLOOKUP($S309,DATA!$L$4:$L$8,DATA!$O$4:$O$8,"",0)))</f>
        <v/>
      </c>
      <c r="V309" s="261" t="str">
        <f t="shared" si="10"/>
        <v/>
      </c>
      <c r="W309" s="282"/>
      <c r="X309" s="282"/>
      <c r="Y309" s="282"/>
      <c r="Z309" s="282"/>
      <c r="AA309" s="282"/>
      <c r="AB309" s="284"/>
      <c r="AC309" s="262" t="str">
        <f>IF(AE309="","",COUNTIF($AE$1:AE309,AE309))</f>
        <v/>
      </c>
      <c r="AD309" s="261" t="str">
        <f>IF(J309='PLAN DE ESTUDIO'!$XFD$41,"",IF(AE309="","",AC309&amp;K309&amp;L309&amp;M309))</f>
        <v/>
      </c>
      <c r="AE309" s="261" t="str">
        <f>IF(J309='PLAN DE ESTUDIO'!$XFD$41,"",IF(AF309=1,K309&amp;L309&amp;M309,""))</f>
        <v/>
      </c>
      <c r="AF309" s="261">
        <f>COUNTIF($O$1:O309,$O309)</f>
        <v>0</v>
      </c>
      <c r="AG309" s="285" t="str">
        <f>IF(J309='PLAN DE ESTUDIO'!$XFD$41,"",IF(P309="TP","Teórico-Práctica",IF(P309="T","Teórico",IF(P309="P","Práctica",""))))</f>
        <v/>
      </c>
      <c r="AH309" s="234" t="str">
        <f t="shared" si="11"/>
        <v xml:space="preserve"> </v>
      </c>
    </row>
    <row r="310" spans="10:34" x14ac:dyDescent="0.3">
      <c r="J310" s="412"/>
      <c r="K310" s="232"/>
      <c r="L310" s="232"/>
      <c r="M310" s="232"/>
      <c r="N310" s="412"/>
      <c r="P310" s="231"/>
      <c r="Q310" s="412"/>
      <c r="R310" s="425"/>
      <c r="S310" s="442"/>
      <c r="T310" s="283" t="str" cm="1">
        <f t="array" ref="T310">IF($B$9="","",_xlfn.IFS($B$9="PRESENCIAL",_xlfn.XLOOKUP($S310,DATA!$B$4:$B$8,DATA!$D$4:$D$8,"",0,),$B$9="VIRTUAL",_xlfn.XLOOKUP($S310,DATA!$G$4:$G$8,DATA!$I$4:$I$8,"",0),$B$9="DISTANCIA",_xlfn.XLOOKUP($S310,DATA!$L$4:$L$8,DATA!$N$4:$N$8,"",0)))</f>
        <v/>
      </c>
      <c r="U310" s="283" t="str" cm="1">
        <f t="array" ref="U310">IF($B$9="","",_xlfn.IFS($B$9="PRESENCIAL",_xlfn.XLOOKUP($S310,DATA!$B$4:$B$8,DATA!$E$4:$E$8,"",0,),$B$9="VIRTUAL",_xlfn.XLOOKUP($S310,DATA!$G$4:$G$8,DATA!$J$4:$J$8,"",0),$B$9="DISTANCIA",_xlfn.XLOOKUP($S310,DATA!$L$4:$L$8,DATA!$O$4:$O$8,"",0)))</f>
        <v/>
      </c>
      <c r="V310" s="261" t="str">
        <f t="shared" si="10"/>
        <v/>
      </c>
      <c r="W310" s="282"/>
      <c r="X310" s="282"/>
      <c r="Y310" s="282"/>
      <c r="Z310" s="282"/>
      <c r="AA310" s="282"/>
      <c r="AB310" s="284"/>
      <c r="AC310" s="262" t="str">
        <f>IF(AE310="","",COUNTIF($AE$1:AE310,AE310))</f>
        <v/>
      </c>
      <c r="AD310" s="261" t="str">
        <f>IF(J310='PLAN DE ESTUDIO'!$XFD$41,"",IF(AE310="","",AC310&amp;K310&amp;L310&amp;M310))</f>
        <v/>
      </c>
      <c r="AE310" s="261" t="str">
        <f>IF(J310='PLAN DE ESTUDIO'!$XFD$41,"",IF(AF310=1,K310&amp;L310&amp;M310,""))</f>
        <v/>
      </c>
      <c r="AF310" s="261">
        <f>COUNTIF($O$1:O310,$O310)</f>
        <v>0</v>
      </c>
      <c r="AG310" s="285" t="str">
        <f>IF(J310='PLAN DE ESTUDIO'!$XFD$41,"",IF(P310="TP","Teórico-Práctica",IF(P310="T","Teórico",IF(P310="P","Práctica",""))))</f>
        <v/>
      </c>
      <c r="AH310" s="234" t="str">
        <f t="shared" si="11"/>
        <v xml:space="preserve"> </v>
      </c>
    </row>
    <row r="311" spans="10:34" x14ac:dyDescent="0.3">
      <c r="J311" s="412"/>
      <c r="K311" s="232"/>
      <c r="L311" s="232"/>
      <c r="M311" s="232"/>
      <c r="N311" s="412"/>
      <c r="P311" s="231"/>
      <c r="Q311" s="412"/>
      <c r="R311" s="425"/>
      <c r="S311" s="442"/>
      <c r="T311" s="283" t="str" cm="1">
        <f t="array" ref="T311">IF($B$9="","",_xlfn.IFS($B$9="PRESENCIAL",_xlfn.XLOOKUP($S311,DATA!$B$4:$B$8,DATA!$D$4:$D$8,"",0,),$B$9="VIRTUAL",_xlfn.XLOOKUP($S311,DATA!$G$4:$G$8,DATA!$I$4:$I$8,"",0),$B$9="DISTANCIA",_xlfn.XLOOKUP($S311,DATA!$L$4:$L$8,DATA!$N$4:$N$8,"",0)))</f>
        <v/>
      </c>
      <c r="U311" s="283" t="str" cm="1">
        <f t="array" ref="U311">IF($B$9="","",_xlfn.IFS($B$9="PRESENCIAL",_xlfn.XLOOKUP($S311,DATA!$B$4:$B$8,DATA!$E$4:$E$8,"",0,),$B$9="VIRTUAL",_xlfn.XLOOKUP($S311,DATA!$G$4:$G$8,DATA!$J$4:$J$8,"",0),$B$9="DISTANCIA",_xlfn.XLOOKUP($S311,DATA!$L$4:$L$8,DATA!$O$4:$O$8,"",0)))</f>
        <v/>
      </c>
      <c r="V311" s="261" t="str">
        <f t="shared" si="10"/>
        <v/>
      </c>
      <c r="W311" s="282"/>
      <c r="X311" s="282"/>
      <c r="Y311" s="282"/>
      <c r="Z311" s="282"/>
      <c r="AA311" s="282"/>
      <c r="AB311" s="284"/>
      <c r="AC311" s="262" t="str">
        <f>IF(AE311="","",COUNTIF($AE$1:AE311,AE311))</f>
        <v/>
      </c>
      <c r="AD311" s="261" t="str">
        <f>IF(J311='PLAN DE ESTUDIO'!$XFD$41,"",IF(AE311="","",AC311&amp;K311&amp;L311&amp;M311))</f>
        <v/>
      </c>
      <c r="AE311" s="261" t="str">
        <f>IF(J311='PLAN DE ESTUDIO'!$XFD$41,"",IF(AF311=1,K311&amp;L311&amp;M311,""))</f>
        <v/>
      </c>
      <c r="AF311" s="261">
        <f>COUNTIF($O$1:O311,$O311)</f>
        <v>0</v>
      </c>
      <c r="AG311" s="285" t="str">
        <f>IF(J311='PLAN DE ESTUDIO'!$XFD$41,"",IF(P311="TP","Teórico-Práctica",IF(P311="T","Teórico",IF(P311="P","Práctica",""))))</f>
        <v/>
      </c>
      <c r="AH311" s="234" t="str">
        <f t="shared" si="11"/>
        <v xml:space="preserve"> </v>
      </c>
    </row>
    <row r="312" spans="10:34" x14ac:dyDescent="0.3">
      <c r="J312" s="412"/>
      <c r="K312" s="232"/>
      <c r="L312" s="232"/>
      <c r="M312" s="232"/>
      <c r="N312" s="412"/>
      <c r="P312" s="231"/>
      <c r="Q312" s="412"/>
      <c r="R312" s="425"/>
      <c r="S312" s="442"/>
      <c r="T312" s="283" t="str" cm="1">
        <f t="array" ref="T312">IF($B$9="","",_xlfn.IFS($B$9="PRESENCIAL",_xlfn.XLOOKUP($S312,DATA!$B$4:$B$8,DATA!$D$4:$D$8,"",0,),$B$9="VIRTUAL",_xlfn.XLOOKUP($S312,DATA!$G$4:$G$8,DATA!$I$4:$I$8,"",0),$B$9="DISTANCIA",_xlfn.XLOOKUP($S312,DATA!$L$4:$L$8,DATA!$N$4:$N$8,"",0)))</f>
        <v/>
      </c>
      <c r="U312" s="283" t="str" cm="1">
        <f t="array" ref="U312">IF($B$9="","",_xlfn.IFS($B$9="PRESENCIAL",_xlfn.XLOOKUP($S312,DATA!$B$4:$B$8,DATA!$E$4:$E$8,"",0,),$B$9="VIRTUAL",_xlfn.XLOOKUP($S312,DATA!$G$4:$G$8,DATA!$J$4:$J$8,"",0),$B$9="DISTANCIA",_xlfn.XLOOKUP($S312,DATA!$L$4:$L$8,DATA!$O$4:$O$8,"",0)))</f>
        <v/>
      </c>
      <c r="V312" s="261" t="str">
        <f t="shared" si="10"/>
        <v/>
      </c>
      <c r="W312" s="282"/>
      <c r="X312" s="282"/>
      <c r="Y312" s="282"/>
      <c r="Z312" s="282"/>
      <c r="AA312" s="282"/>
      <c r="AB312" s="284"/>
      <c r="AC312" s="262" t="str">
        <f>IF(AE312="","",COUNTIF($AE$1:AE312,AE312))</f>
        <v/>
      </c>
      <c r="AD312" s="261" t="str">
        <f>IF(J312='PLAN DE ESTUDIO'!$XFD$41,"",IF(AE312="","",AC312&amp;K312&amp;L312&amp;M312))</f>
        <v/>
      </c>
      <c r="AE312" s="261" t="str">
        <f>IF(J312='PLAN DE ESTUDIO'!$XFD$41,"",IF(AF312=1,K312&amp;L312&amp;M312,""))</f>
        <v/>
      </c>
      <c r="AF312" s="261">
        <f>COUNTIF($O$1:O312,$O312)</f>
        <v>0</v>
      </c>
      <c r="AG312" s="285" t="str">
        <f>IF(J312='PLAN DE ESTUDIO'!$XFD$41,"",IF(P312="TP","Teórico-Práctica",IF(P312="T","Teórico",IF(P312="P","Práctica",""))))</f>
        <v/>
      </c>
      <c r="AH312" s="234" t="str">
        <f t="shared" si="11"/>
        <v xml:space="preserve"> </v>
      </c>
    </row>
    <row r="313" spans="10:34" x14ac:dyDescent="0.3">
      <c r="J313" s="412"/>
      <c r="K313" s="232"/>
      <c r="L313" s="232"/>
      <c r="M313" s="232"/>
      <c r="N313" s="412"/>
      <c r="P313" s="231"/>
      <c r="Q313" s="412"/>
      <c r="R313" s="425"/>
      <c r="S313" s="442"/>
      <c r="T313" s="283" t="str" cm="1">
        <f t="array" ref="T313">IF($B$9="","",_xlfn.IFS($B$9="PRESENCIAL",_xlfn.XLOOKUP($S313,DATA!$B$4:$B$8,DATA!$D$4:$D$8,"",0,),$B$9="VIRTUAL",_xlfn.XLOOKUP($S313,DATA!$G$4:$G$8,DATA!$I$4:$I$8,"",0),$B$9="DISTANCIA",_xlfn.XLOOKUP($S313,DATA!$L$4:$L$8,DATA!$N$4:$N$8,"",0)))</f>
        <v/>
      </c>
      <c r="U313" s="283" t="str" cm="1">
        <f t="array" ref="U313">IF($B$9="","",_xlfn.IFS($B$9="PRESENCIAL",_xlfn.XLOOKUP($S313,DATA!$B$4:$B$8,DATA!$E$4:$E$8,"",0,),$B$9="VIRTUAL",_xlfn.XLOOKUP($S313,DATA!$G$4:$G$8,DATA!$J$4:$J$8,"",0),$B$9="DISTANCIA",_xlfn.XLOOKUP($S313,DATA!$L$4:$L$8,DATA!$O$4:$O$8,"",0)))</f>
        <v/>
      </c>
      <c r="V313" s="261" t="str">
        <f t="shared" si="10"/>
        <v/>
      </c>
      <c r="W313" s="282"/>
      <c r="X313" s="282"/>
      <c r="Y313" s="282"/>
      <c r="Z313" s="282"/>
      <c r="AA313" s="282"/>
      <c r="AB313" s="284"/>
      <c r="AC313" s="262" t="str">
        <f>IF(AE313="","",COUNTIF($AE$1:AE313,AE313))</f>
        <v/>
      </c>
      <c r="AD313" s="261" t="str">
        <f>IF(J313='PLAN DE ESTUDIO'!$XFD$41,"",IF(AE313="","",AC313&amp;K313&amp;L313&amp;M313))</f>
        <v/>
      </c>
      <c r="AE313" s="261" t="str">
        <f>IF(J313='PLAN DE ESTUDIO'!$XFD$41,"",IF(AF313=1,K313&amp;L313&amp;M313,""))</f>
        <v/>
      </c>
      <c r="AF313" s="261">
        <f>COUNTIF($O$1:O313,$O313)</f>
        <v>0</v>
      </c>
      <c r="AG313" s="285" t="str">
        <f>IF(J313='PLAN DE ESTUDIO'!$XFD$41,"",IF(P313="TP","Teórico-Práctica",IF(P313="T","Teórico",IF(P313="P","Práctica",""))))</f>
        <v/>
      </c>
      <c r="AH313" s="234" t="str">
        <f t="shared" si="11"/>
        <v xml:space="preserve"> </v>
      </c>
    </row>
    <row r="314" spans="10:34" x14ac:dyDescent="0.3">
      <c r="J314" s="412"/>
      <c r="K314" s="232"/>
      <c r="L314" s="232"/>
      <c r="M314" s="232"/>
      <c r="N314" s="412"/>
      <c r="P314" s="231"/>
      <c r="Q314" s="412"/>
      <c r="R314" s="425"/>
      <c r="S314" s="442"/>
      <c r="T314" s="283" t="str" cm="1">
        <f t="array" ref="T314">IF($B$9="","",_xlfn.IFS($B$9="PRESENCIAL",_xlfn.XLOOKUP($S314,DATA!$B$4:$B$8,DATA!$D$4:$D$8,"",0,),$B$9="VIRTUAL",_xlfn.XLOOKUP($S314,DATA!$G$4:$G$8,DATA!$I$4:$I$8,"",0),$B$9="DISTANCIA",_xlfn.XLOOKUP($S314,DATA!$L$4:$L$8,DATA!$N$4:$N$8,"",0)))</f>
        <v/>
      </c>
      <c r="U314" s="283" t="str" cm="1">
        <f t="array" ref="U314">IF($B$9="","",_xlfn.IFS($B$9="PRESENCIAL",_xlfn.XLOOKUP($S314,DATA!$B$4:$B$8,DATA!$E$4:$E$8,"",0,),$B$9="VIRTUAL",_xlfn.XLOOKUP($S314,DATA!$G$4:$G$8,DATA!$J$4:$J$8,"",0),$B$9="DISTANCIA",_xlfn.XLOOKUP($S314,DATA!$L$4:$L$8,DATA!$O$4:$O$8,"",0)))</f>
        <v/>
      </c>
      <c r="V314" s="261" t="str">
        <f t="shared" si="10"/>
        <v/>
      </c>
      <c r="W314" s="282"/>
      <c r="X314" s="282"/>
      <c r="Y314" s="282"/>
      <c r="Z314" s="282"/>
      <c r="AA314" s="282"/>
      <c r="AB314" s="284"/>
      <c r="AC314" s="262" t="str">
        <f>IF(AE314="","",COUNTIF($AE$1:AE314,AE314))</f>
        <v/>
      </c>
      <c r="AD314" s="261" t="str">
        <f>IF(J314='PLAN DE ESTUDIO'!$XFD$41,"",IF(AE314="","",AC314&amp;K314&amp;L314&amp;M314))</f>
        <v/>
      </c>
      <c r="AE314" s="261" t="str">
        <f>IF(J314='PLAN DE ESTUDIO'!$XFD$41,"",IF(AF314=1,K314&amp;L314&amp;M314,""))</f>
        <v/>
      </c>
      <c r="AF314" s="261">
        <f>COUNTIF($O$1:O314,$O314)</f>
        <v>0</v>
      </c>
      <c r="AG314" s="285" t="str">
        <f>IF(J314='PLAN DE ESTUDIO'!$XFD$41,"",IF(P314="TP","Teórico-Práctica",IF(P314="T","Teórico",IF(P314="P","Práctica",""))))</f>
        <v/>
      </c>
      <c r="AH314" s="234" t="str">
        <f t="shared" si="11"/>
        <v xml:space="preserve"> </v>
      </c>
    </row>
    <row r="315" spans="10:34" x14ac:dyDescent="0.3">
      <c r="J315" s="412"/>
      <c r="K315" s="232"/>
      <c r="L315" s="232"/>
      <c r="M315" s="232"/>
      <c r="N315" s="412"/>
      <c r="P315" s="231"/>
      <c r="Q315" s="412"/>
      <c r="R315" s="425"/>
      <c r="S315" s="442"/>
      <c r="T315" s="283" t="str" cm="1">
        <f t="array" ref="T315">IF($B$9="","",_xlfn.IFS($B$9="PRESENCIAL",_xlfn.XLOOKUP($S315,DATA!$B$4:$B$8,DATA!$D$4:$D$8,"",0,),$B$9="VIRTUAL",_xlfn.XLOOKUP($S315,DATA!$G$4:$G$8,DATA!$I$4:$I$8,"",0),$B$9="DISTANCIA",_xlfn.XLOOKUP($S315,DATA!$L$4:$L$8,DATA!$N$4:$N$8,"",0)))</f>
        <v/>
      </c>
      <c r="U315" s="283" t="str" cm="1">
        <f t="array" ref="U315">IF($B$9="","",_xlfn.IFS($B$9="PRESENCIAL",_xlfn.XLOOKUP($S315,DATA!$B$4:$B$8,DATA!$E$4:$E$8,"",0,),$B$9="VIRTUAL",_xlfn.XLOOKUP($S315,DATA!$G$4:$G$8,DATA!$J$4:$J$8,"",0),$B$9="DISTANCIA",_xlfn.XLOOKUP($S315,DATA!$L$4:$L$8,DATA!$O$4:$O$8,"",0)))</f>
        <v/>
      </c>
      <c r="V315" s="261" t="str">
        <f t="shared" si="10"/>
        <v/>
      </c>
      <c r="W315" s="282"/>
      <c r="X315" s="282"/>
      <c r="Y315" s="282"/>
      <c r="Z315" s="282"/>
      <c r="AA315" s="282"/>
      <c r="AB315" s="284"/>
      <c r="AC315" s="262" t="str">
        <f>IF(AE315="","",COUNTIF($AE$1:AE315,AE315))</f>
        <v/>
      </c>
      <c r="AD315" s="261" t="str">
        <f>IF(J315='PLAN DE ESTUDIO'!$XFD$41,"",IF(AE315="","",AC315&amp;K315&amp;L315&amp;M315))</f>
        <v/>
      </c>
      <c r="AE315" s="261" t="str">
        <f>IF(J315='PLAN DE ESTUDIO'!$XFD$41,"",IF(AF315=1,K315&amp;L315&amp;M315,""))</f>
        <v/>
      </c>
      <c r="AF315" s="261">
        <f>COUNTIF($O$1:O315,$O315)</f>
        <v>0</v>
      </c>
      <c r="AG315" s="285" t="str">
        <f>IF(J315='PLAN DE ESTUDIO'!$XFD$41,"",IF(P315="TP","Teórico-Práctica",IF(P315="T","Teórico",IF(P315="P","Práctica",""))))</f>
        <v/>
      </c>
      <c r="AH315" s="234" t="str">
        <f t="shared" si="11"/>
        <v xml:space="preserve"> </v>
      </c>
    </row>
    <row r="316" spans="10:34" x14ac:dyDescent="0.3">
      <c r="J316" s="412"/>
      <c r="K316" s="232"/>
      <c r="L316" s="232"/>
      <c r="M316" s="232"/>
      <c r="N316" s="412"/>
      <c r="P316" s="231"/>
      <c r="Q316" s="412"/>
      <c r="R316" s="425"/>
      <c r="S316" s="442"/>
      <c r="T316" s="283" t="str" cm="1">
        <f t="array" ref="T316">IF($B$9="","",_xlfn.IFS($B$9="PRESENCIAL",_xlfn.XLOOKUP($S316,DATA!$B$4:$B$8,DATA!$D$4:$D$8,"",0,),$B$9="VIRTUAL",_xlfn.XLOOKUP($S316,DATA!$G$4:$G$8,DATA!$I$4:$I$8,"",0),$B$9="DISTANCIA",_xlfn.XLOOKUP($S316,DATA!$L$4:$L$8,DATA!$N$4:$N$8,"",0)))</f>
        <v/>
      </c>
      <c r="U316" s="283" t="str" cm="1">
        <f t="array" ref="U316">IF($B$9="","",_xlfn.IFS($B$9="PRESENCIAL",_xlfn.XLOOKUP($S316,DATA!$B$4:$B$8,DATA!$E$4:$E$8,"",0,),$B$9="VIRTUAL",_xlfn.XLOOKUP($S316,DATA!$G$4:$G$8,DATA!$J$4:$J$8,"",0),$B$9="DISTANCIA",_xlfn.XLOOKUP($S316,DATA!$L$4:$L$8,DATA!$O$4:$O$8,"",0)))</f>
        <v/>
      </c>
      <c r="V316" s="261" t="str">
        <f t="shared" si="10"/>
        <v/>
      </c>
      <c r="W316" s="282"/>
      <c r="X316" s="282"/>
      <c r="Y316" s="282"/>
      <c r="Z316" s="282"/>
      <c r="AA316" s="282"/>
      <c r="AB316" s="284"/>
      <c r="AC316" s="262" t="str">
        <f>IF(AE316="","",COUNTIF($AE$1:AE316,AE316))</f>
        <v/>
      </c>
      <c r="AD316" s="261" t="str">
        <f>IF(J316='PLAN DE ESTUDIO'!$XFD$41,"",IF(AE316="","",AC316&amp;K316&amp;L316&amp;M316))</f>
        <v/>
      </c>
      <c r="AE316" s="261" t="str">
        <f>IF(J316='PLAN DE ESTUDIO'!$XFD$41,"",IF(AF316=1,K316&amp;L316&amp;M316,""))</f>
        <v/>
      </c>
      <c r="AF316" s="261">
        <f>COUNTIF($O$1:O316,$O316)</f>
        <v>0</v>
      </c>
      <c r="AG316" s="285" t="str">
        <f>IF(J316='PLAN DE ESTUDIO'!$XFD$41,"",IF(P316="TP","Teórico-Práctica",IF(P316="T","Teórico",IF(P316="P","Práctica",""))))</f>
        <v/>
      </c>
      <c r="AH316" s="234" t="str">
        <f t="shared" si="11"/>
        <v xml:space="preserve"> </v>
      </c>
    </row>
    <row r="317" spans="10:34" x14ac:dyDescent="0.3">
      <c r="J317" s="412"/>
      <c r="K317" s="232"/>
      <c r="L317" s="232"/>
      <c r="M317" s="232"/>
      <c r="N317" s="412"/>
      <c r="P317" s="231"/>
      <c r="Q317" s="412"/>
      <c r="R317" s="425"/>
      <c r="S317" s="442"/>
      <c r="T317" s="283" t="str" cm="1">
        <f t="array" ref="T317">IF($B$9="","",_xlfn.IFS($B$9="PRESENCIAL",_xlfn.XLOOKUP($S317,DATA!$B$4:$B$8,DATA!$D$4:$D$8,"",0,),$B$9="VIRTUAL",_xlfn.XLOOKUP($S317,DATA!$G$4:$G$8,DATA!$I$4:$I$8,"",0),$B$9="DISTANCIA",_xlfn.XLOOKUP($S317,DATA!$L$4:$L$8,DATA!$N$4:$N$8,"",0)))</f>
        <v/>
      </c>
      <c r="U317" s="283" t="str" cm="1">
        <f t="array" ref="U317">IF($B$9="","",_xlfn.IFS($B$9="PRESENCIAL",_xlfn.XLOOKUP($S317,DATA!$B$4:$B$8,DATA!$E$4:$E$8,"",0,),$B$9="VIRTUAL",_xlfn.XLOOKUP($S317,DATA!$G$4:$G$8,DATA!$J$4:$J$8,"",0),$B$9="DISTANCIA",_xlfn.XLOOKUP($S317,DATA!$L$4:$L$8,DATA!$O$4:$O$8,"",0)))</f>
        <v/>
      </c>
      <c r="V317" s="261" t="str">
        <f t="shared" si="10"/>
        <v/>
      </c>
      <c r="W317" s="282"/>
      <c r="X317" s="282"/>
      <c r="Y317" s="282"/>
      <c r="Z317" s="282"/>
      <c r="AA317" s="282"/>
      <c r="AB317" s="284"/>
      <c r="AC317" s="262" t="str">
        <f>IF(AE317="","",COUNTIF($AE$1:AE317,AE317))</f>
        <v/>
      </c>
      <c r="AD317" s="261" t="str">
        <f>IF(J317='PLAN DE ESTUDIO'!$XFD$41,"",IF(AE317="","",AC317&amp;K317&amp;L317&amp;M317))</f>
        <v/>
      </c>
      <c r="AE317" s="261" t="str">
        <f>IF(J317='PLAN DE ESTUDIO'!$XFD$41,"",IF(AF317=1,K317&amp;L317&amp;M317,""))</f>
        <v/>
      </c>
      <c r="AF317" s="261">
        <f>COUNTIF($O$1:O317,$O317)</f>
        <v>0</v>
      </c>
      <c r="AG317" s="285" t="str">
        <f>IF(J317='PLAN DE ESTUDIO'!$XFD$41,"",IF(P317="TP","Teórico-Práctica",IF(P317="T","Teórico",IF(P317="P","Práctica",""))))</f>
        <v/>
      </c>
      <c r="AH317" s="234" t="str">
        <f t="shared" si="11"/>
        <v xml:space="preserve"> </v>
      </c>
    </row>
    <row r="318" spans="10:34" x14ac:dyDescent="0.3">
      <c r="J318" s="412"/>
      <c r="K318" s="232"/>
      <c r="L318" s="232"/>
      <c r="M318" s="232"/>
      <c r="N318" s="412"/>
      <c r="P318" s="231"/>
      <c r="Q318" s="412"/>
      <c r="R318" s="425"/>
      <c r="S318" s="442"/>
      <c r="T318" s="283" t="str" cm="1">
        <f t="array" ref="T318">IF($B$9="","",_xlfn.IFS($B$9="PRESENCIAL",_xlfn.XLOOKUP($S318,DATA!$B$4:$B$8,DATA!$D$4:$D$8,"",0,),$B$9="VIRTUAL",_xlfn.XLOOKUP($S318,DATA!$G$4:$G$8,DATA!$I$4:$I$8,"",0),$B$9="DISTANCIA",_xlfn.XLOOKUP($S318,DATA!$L$4:$L$8,DATA!$N$4:$N$8,"",0)))</f>
        <v/>
      </c>
      <c r="U318" s="283" t="str" cm="1">
        <f t="array" ref="U318">IF($B$9="","",_xlfn.IFS($B$9="PRESENCIAL",_xlfn.XLOOKUP($S318,DATA!$B$4:$B$8,DATA!$E$4:$E$8,"",0,),$B$9="VIRTUAL",_xlfn.XLOOKUP($S318,DATA!$G$4:$G$8,DATA!$J$4:$J$8,"",0),$B$9="DISTANCIA",_xlfn.XLOOKUP($S318,DATA!$L$4:$L$8,DATA!$O$4:$O$8,"",0)))</f>
        <v/>
      </c>
      <c r="V318" s="261" t="str">
        <f t="shared" si="10"/>
        <v/>
      </c>
      <c r="W318" s="282"/>
      <c r="X318" s="282"/>
      <c r="Y318" s="282"/>
      <c r="Z318" s="282"/>
      <c r="AA318" s="282"/>
      <c r="AB318" s="284"/>
      <c r="AC318" s="262" t="str">
        <f>IF(AE318="","",COUNTIF($AE$1:AE318,AE318))</f>
        <v/>
      </c>
      <c r="AD318" s="261" t="str">
        <f>IF(J318='PLAN DE ESTUDIO'!$XFD$41,"",IF(AE318="","",AC318&amp;K318&amp;L318&amp;M318))</f>
        <v/>
      </c>
      <c r="AE318" s="261" t="str">
        <f>IF(J318='PLAN DE ESTUDIO'!$XFD$41,"",IF(AF318=1,K318&amp;L318&amp;M318,""))</f>
        <v/>
      </c>
      <c r="AF318" s="261">
        <f>COUNTIF($O$1:O318,$O318)</f>
        <v>0</v>
      </c>
      <c r="AG318" s="285" t="str">
        <f>IF(J318='PLAN DE ESTUDIO'!$XFD$41,"",IF(P318="TP","Teórico-Práctica",IF(P318="T","Teórico",IF(P318="P","Práctica",""))))</f>
        <v/>
      </c>
      <c r="AH318" s="234" t="str">
        <f t="shared" si="11"/>
        <v xml:space="preserve"> </v>
      </c>
    </row>
    <row r="319" spans="10:34" x14ac:dyDescent="0.3">
      <c r="J319" s="412"/>
      <c r="K319" s="232"/>
      <c r="L319" s="232"/>
      <c r="M319" s="232"/>
      <c r="N319" s="412"/>
      <c r="P319" s="231"/>
      <c r="Q319" s="412"/>
      <c r="R319" s="425"/>
      <c r="S319" s="442"/>
      <c r="T319" s="283" t="str" cm="1">
        <f t="array" ref="T319">IF($B$9="","",_xlfn.IFS($B$9="PRESENCIAL",_xlfn.XLOOKUP($S319,DATA!$B$4:$B$8,DATA!$D$4:$D$8,"",0,),$B$9="VIRTUAL",_xlfn.XLOOKUP($S319,DATA!$G$4:$G$8,DATA!$I$4:$I$8,"",0),$B$9="DISTANCIA",_xlfn.XLOOKUP($S319,DATA!$L$4:$L$8,DATA!$N$4:$N$8,"",0)))</f>
        <v/>
      </c>
      <c r="U319" s="283" t="str" cm="1">
        <f t="array" ref="U319">IF($B$9="","",_xlfn.IFS($B$9="PRESENCIAL",_xlfn.XLOOKUP($S319,DATA!$B$4:$B$8,DATA!$E$4:$E$8,"",0,),$B$9="VIRTUAL",_xlfn.XLOOKUP($S319,DATA!$G$4:$G$8,DATA!$J$4:$J$8,"",0),$B$9="DISTANCIA",_xlfn.XLOOKUP($S319,DATA!$L$4:$L$8,DATA!$O$4:$O$8,"",0)))</f>
        <v/>
      </c>
      <c r="V319" s="261" t="str">
        <f t="shared" si="10"/>
        <v/>
      </c>
      <c r="W319" s="282"/>
      <c r="X319" s="282"/>
      <c r="Y319" s="282"/>
      <c r="Z319" s="282"/>
      <c r="AA319" s="282"/>
      <c r="AB319" s="284"/>
      <c r="AC319" s="262" t="str">
        <f>IF(AE319="","",COUNTIF($AE$1:AE319,AE319))</f>
        <v/>
      </c>
      <c r="AD319" s="261" t="str">
        <f>IF(J319='PLAN DE ESTUDIO'!$XFD$41,"",IF(AE319="","",AC319&amp;K319&amp;L319&amp;M319))</f>
        <v/>
      </c>
      <c r="AE319" s="261" t="str">
        <f>IF(J319='PLAN DE ESTUDIO'!$XFD$41,"",IF(AF319=1,K319&amp;L319&amp;M319,""))</f>
        <v/>
      </c>
      <c r="AF319" s="261">
        <f>COUNTIF($O$1:O319,$O319)</f>
        <v>0</v>
      </c>
      <c r="AG319" s="285" t="str">
        <f>IF(J319='PLAN DE ESTUDIO'!$XFD$41,"",IF(P319="TP","Teórico-Práctica",IF(P319="T","Teórico",IF(P319="P","Práctica",""))))</f>
        <v/>
      </c>
      <c r="AH319" s="234" t="str">
        <f t="shared" si="11"/>
        <v xml:space="preserve"> </v>
      </c>
    </row>
    <row r="320" spans="10:34" x14ac:dyDescent="0.3">
      <c r="J320" s="412"/>
      <c r="K320" s="232"/>
      <c r="L320" s="232"/>
      <c r="M320" s="232"/>
      <c r="N320" s="412"/>
      <c r="P320" s="231"/>
      <c r="Q320" s="412"/>
      <c r="R320" s="425"/>
      <c r="S320" s="442"/>
      <c r="T320" s="283" t="str" cm="1">
        <f t="array" ref="T320">IF($B$9="","",_xlfn.IFS($B$9="PRESENCIAL",_xlfn.XLOOKUP($S320,DATA!$B$4:$B$8,DATA!$D$4:$D$8,"",0,),$B$9="VIRTUAL",_xlfn.XLOOKUP($S320,DATA!$G$4:$G$8,DATA!$I$4:$I$8,"",0),$B$9="DISTANCIA",_xlfn.XLOOKUP($S320,DATA!$L$4:$L$8,DATA!$N$4:$N$8,"",0)))</f>
        <v/>
      </c>
      <c r="U320" s="283" t="str" cm="1">
        <f t="array" ref="U320">IF($B$9="","",_xlfn.IFS($B$9="PRESENCIAL",_xlfn.XLOOKUP($S320,DATA!$B$4:$B$8,DATA!$E$4:$E$8,"",0,),$B$9="VIRTUAL",_xlfn.XLOOKUP($S320,DATA!$G$4:$G$8,DATA!$J$4:$J$8,"",0),$B$9="DISTANCIA",_xlfn.XLOOKUP($S320,DATA!$L$4:$L$8,DATA!$O$4:$O$8,"",0)))</f>
        <v/>
      </c>
      <c r="V320" s="261" t="str">
        <f t="shared" si="10"/>
        <v/>
      </c>
      <c r="W320" s="282"/>
      <c r="X320" s="282"/>
      <c r="Y320" s="282"/>
      <c r="Z320" s="282"/>
      <c r="AA320" s="282"/>
      <c r="AB320" s="284"/>
      <c r="AC320" s="262" t="str">
        <f>IF(AE320="","",COUNTIF($AE$1:AE320,AE320))</f>
        <v/>
      </c>
      <c r="AD320" s="261" t="str">
        <f>IF(J320='PLAN DE ESTUDIO'!$XFD$41,"",IF(AE320="","",AC320&amp;K320&amp;L320&amp;M320))</f>
        <v/>
      </c>
      <c r="AE320" s="261" t="str">
        <f>IF(J320='PLAN DE ESTUDIO'!$XFD$41,"",IF(AF320=1,K320&amp;L320&amp;M320,""))</f>
        <v/>
      </c>
      <c r="AF320" s="261">
        <f>COUNTIF($O$1:O320,$O320)</f>
        <v>0</v>
      </c>
      <c r="AG320" s="285" t="str">
        <f>IF(J320='PLAN DE ESTUDIO'!$XFD$41,"",IF(P320="TP","Teórico-Práctica",IF(P320="T","Teórico",IF(P320="P","Práctica",""))))</f>
        <v/>
      </c>
      <c r="AH320" s="234" t="str">
        <f t="shared" si="11"/>
        <v xml:space="preserve"> </v>
      </c>
    </row>
    <row r="321" spans="10:34" x14ac:dyDescent="0.3">
      <c r="J321" s="412"/>
      <c r="K321" s="232"/>
      <c r="L321" s="232"/>
      <c r="M321" s="232"/>
      <c r="N321" s="412"/>
      <c r="P321" s="231"/>
      <c r="Q321" s="412"/>
      <c r="R321" s="425"/>
      <c r="S321" s="442"/>
      <c r="T321" s="283" t="str" cm="1">
        <f t="array" ref="T321">IF($B$9="","",_xlfn.IFS($B$9="PRESENCIAL",_xlfn.XLOOKUP($S321,DATA!$B$4:$B$8,DATA!$D$4:$D$8,"",0,),$B$9="VIRTUAL",_xlfn.XLOOKUP($S321,DATA!$G$4:$G$8,DATA!$I$4:$I$8,"",0),$B$9="DISTANCIA",_xlfn.XLOOKUP($S321,DATA!$L$4:$L$8,DATA!$N$4:$N$8,"",0)))</f>
        <v/>
      </c>
      <c r="U321" s="283" t="str" cm="1">
        <f t="array" ref="U321">IF($B$9="","",_xlfn.IFS($B$9="PRESENCIAL",_xlfn.XLOOKUP($S321,DATA!$B$4:$B$8,DATA!$E$4:$E$8,"",0,),$B$9="VIRTUAL",_xlfn.XLOOKUP($S321,DATA!$G$4:$G$8,DATA!$J$4:$J$8,"",0),$B$9="DISTANCIA",_xlfn.XLOOKUP($S321,DATA!$L$4:$L$8,DATA!$O$4:$O$8,"",0)))</f>
        <v/>
      </c>
      <c r="V321" s="261" t="str">
        <f t="shared" si="10"/>
        <v/>
      </c>
      <c r="W321" s="282"/>
      <c r="X321" s="282"/>
      <c r="Y321" s="282"/>
      <c r="Z321" s="282"/>
      <c r="AA321" s="282"/>
      <c r="AB321" s="284"/>
      <c r="AC321" s="262" t="str">
        <f>IF(AE321="","",COUNTIF($AE$1:AE321,AE321))</f>
        <v/>
      </c>
      <c r="AD321" s="261" t="str">
        <f>IF(J321='PLAN DE ESTUDIO'!$XFD$41,"",IF(AE321="","",AC321&amp;K321&amp;L321&amp;M321))</f>
        <v/>
      </c>
      <c r="AE321" s="261" t="str">
        <f>IF(J321='PLAN DE ESTUDIO'!$XFD$41,"",IF(AF321=1,K321&amp;L321&amp;M321,""))</f>
        <v/>
      </c>
      <c r="AF321" s="261">
        <f>COUNTIF($O$1:O321,$O321)</f>
        <v>0</v>
      </c>
      <c r="AG321" s="285" t="str">
        <f>IF(J321='PLAN DE ESTUDIO'!$XFD$41,"",IF(P321="TP","Teórico-Práctica",IF(P321="T","Teórico",IF(P321="P","Práctica",""))))</f>
        <v/>
      </c>
      <c r="AH321" s="234" t="str">
        <f t="shared" si="11"/>
        <v xml:space="preserve"> </v>
      </c>
    </row>
    <row r="322" spans="10:34" x14ac:dyDescent="0.3">
      <c r="J322" s="412"/>
      <c r="K322" s="232"/>
      <c r="L322" s="232"/>
      <c r="M322" s="232"/>
      <c r="N322" s="412"/>
      <c r="P322" s="231"/>
      <c r="Q322" s="412"/>
      <c r="R322" s="425"/>
      <c r="S322" s="442"/>
      <c r="T322" s="283" t="str" cm="1">
        <f t="array" ref="T322">IF($B$9="","",_xlfn.IFS($B$9="PRESENCIAL",_xlfn.XLOOKUP($S322,DATA!$B$4:$B$8,DATA!$D$4:$D$8,"",0,),$B$9="VIRTUAL",_xlfn.XLOOKUP($S322,DATA!$G$4:$G$8,DATA!$I$4:$I$8,"",0),$B$9="DISTANCIA",_xlfn.XLOOKUP($S322,DATA!$L$4:$L$8,DATA!$N$4:$N$8,"",0)))</f>
        <v/>
      </c>
      <c r="U322" s="283" t="str" cm="1">
        <f t="array" ref="U322">IF($B$9="","",_xlfn.IFS($B$9="PRESENCIAL",_xlfn.XLOOKUP($S322,DATA!$B$4:$B$8,DATA!$E$4:$E$8,"",0,),$B$9="VIRTUAL",_xlfn.XLOOKUP($S322,DATA!$G$4:$G$8,DATA!$J$4:$J$8,"",0),$B$9="DISTANCIA",_xlfn.XLOOKUP($S322,DATA!$L$4:$L$8,DATA!$O$4:$O$8,"",0)))</f>
        <v/>
      </c>
      <c r="V322" s="261" t="str">
        <f t="shared" si="10"/>
        <v/>
      </c>
      <c r="W322" s="282"/>
      <c r="X322" s="282"/>
      <c r="Y322" s="282"/>
      <c r="Z322" s="282"/>
      <c r="AA322" s="282"/>
      <c r="AB322" s="284"/>
      <c r="AC322" s="262" t="str">
        <f>IF(AE322="","",COUNTIF($AE$1:AE322,AE322))</f>
        <v/>
      </c>
      <c r="AD322" s="261" t="str">
        <f>IF(J322='PLAN DE ESTUDIO'!$XFD$41,"",IF(AE322="","",AC322&amp;K322&amp;L322&amp;M322))</f>
        <v/>
      </c>
      <c r="AE322" s="261" t="str">
        <f>IF(J322='PLAN DE ESTUDIO'!$XFD$41,"",IF(AF322=1,K322&amp;L322&amp;M322,""))</f>
        <v/>
      </c>
      <c r="AF322" s="261">
        <f>COUNTIF($O$1:O322,$O322)</f>
        <v>0</v>
      </c>
      <c r="AG322" s="285" t="str">
        <f>IF(J322='PLAN DE ESTUDIO'!$XFD$41,"",IF(P322="TP","Teórico-Práctica",IF(P322="T","Teórico",IF(P322="P","Práctica",""))))</f>
        <v/>
      </c>
      <c r="AH322" s="234" t="str">
        <f t="shared" si="11"/>
        <v xml:space="preserve"> </v>
      </c>
    </row>
    <row r="323" spans="10:34" x14ac:dyDescent="0.3">
      <c r="J323" s="412"/>
      <c r="K323" s="232"/>
      <c r="L323" s="232"/>
      <c r="M323" s="232"/>
      <c r="N323" s="412"/>
      <c r="P323" s="231"/>
      <c r="Q323" s="412"/>
      <c r="R323" s="425"/>
      <c r="S323" s="442"/>
      <c r="T323" s="283" t="str" cm="1">
        <f t="array" ref="T323">IF($B$9="","",_xlfn.IFS($B$9="PRESENCIAL",_xlfn.XLOOKUP($S323,DATA!$B$4:$B$8,DATA!$D$4:$D$8,"",0,),$B$9="VIRTUAL",_xlfn.XLOOKUP($S323,DATA!$G$4:$G$8,DATA!$I$4:$I$8,"",0),$B$9="DISTANCIA",_xlfn.XLOOKUP($S323,DATA!$L$4:$L$8,DATA!$N$4:$N$8,"",0)))</f>
        <v/>
      </c>
      <c r="U323" s="283" t="str" cm="1">
        <f t="array" ref="U323">IF($B$9="","",_xlfn.IFS($B$9="PRESENCIAL",_xlfn.XLOOKUP($S323,DATA!$B$4:$B$8,DATA!$E$4:$E$8,"",0,),$B$9="VIRTUAL",_xlfn.XLOOKUP($S323,DATA!$G$4:$G$8,DATA!$J$4:$J$8,"",0),$B$9="DISTANCIA",_xlfn.XLOOKUP($S323,DATA!$L$4:$L$8,DATA!$O$4:$O$8,"",0)))</f>
        <v/>
      </c>
      <c r="V323" s="261" t="str">
        <f t="shared" si="10"/>
        <v/>
      </c>
      <c r="W323" s="282"/>
      <c r="X323" s="282"/>
      <c r="Y323" s="282"/>
      <c r="Z323" s="282"/>
      <c r="AA323" s="282"/>
      <c r="AB323" s="284"/>
      <c r="AC323" s="262" t="str">
        <f>IF(AE323="","",COUNTIF($AE$1:AE323,AE323))</f>
        <v/>
      </c>
      <c r="AD323" s="261" t="str">
        <f>IF(J323='PLAN DE ESTUDIO'!$XFD$41,"",IF(AE323="","",AC323&amp;K323&amp;L323&amp;M323))</f>
        <v/>
      </c>
      <c r="AE323" s="261" t="str">
        <f>IF(J323='PLAN DE ESTUDIO'!$XFD$41,"",IF(AF323=1,K323&amp;L323&amp;M323,""))</f>
        <v/>
      </c>
      <c r="AF323" s="261">
        <f>COUNTIF($O$1:O323,$O323)</f>
        <v>0</v>
      </c>
      <c r="AG323" s="285" t="str">
        <f>IF(J323='PLAN DE ESTUDIO'!$XFD$41,"",IF(P323="TP","Teórico-Práctica",IF(P323="T","Teórico",IF(P323="P","Práctica",""))))</f>
        <v/>
      </c>
      <c r="AH323" s="234" t="str">
        <f t="shared" si="11"/>
        <v xml:space="preserve"> </v>
      </c>
    </row>
    <row r="324" spans="10:34" x14ac:dyDescent="0.3">
      <c r="J324" s="412"/>
      <c r="K324" s="232"/>
      <c r="L324" s="232"/>
      <c r="M324" s="232"/>
      <c r="N324" s="412"/>
      <c r="P324" s="231"/>
      <c r="Q324" s="412"/>
      <c r="R324" s="425"/>
      <c r="S324" s="442"/>
      <c r="T324" s="283" t="str" cm="1">
        <f t="array" ref="T324">IF($B$9="","",_xlfn.IFS($B$9="PRESENCIAL",_xlfn.XLOOKUP($S324,DATA!$B$4:$B$8,DATA!$D$4:$D$8,"",0,),$B$9="VIRTUAL",_xlfn.XLOOKUP($S324,DATA!$G$4:$G$8,DATA!$I$4:$I$8,"",0),$B$9="DISTANCIA",_xlfn.XLOOKUP($S324,DATA!$L$4:$L$8,DATA!$N$4:$N$8,"",0)))</f>
        <v/>
      </c>
      <c r="U324" s="283" t="str" cm="1">
        <f t="array" ref="U324">IF($B$9="","",_xlfn.IFS($B$9="PRESENCIAL",_xlfn.XLOOKUP($S324,DATA!$B$4:$B$8,DATA!$E$4:$E$8,"",0,),$B$9="VIRTUAL",_xlfn.XLOOKUP($S324,DATA!$G$4:$G$8,DATA!$J$4:$J$8,"",0),$B$9="DISTANCIA",_xlfn.XLOOKUP($S324,DATA!$L$4:$L$8,DATA!$O$4:$O$8,"",0)))</f>
        <v/>
      </c>
      <c r="V324" s="261" t="str">
        <f t="shared" si="10"/>
        <v/>
      </c>
      <c r="W324" s="282"/>
      <c r="X324" s="282"/>
      <c r="Y324" s="282"/>
      <c r="Z324" s="282"/>
      <c r="AA324" s="282"/>
      <c r="AB324" s="284"/>
      <c r="AC324" s="262" t="str">
        <f>IF(AE324="","",COUNTIF($AE$1:AE324,AE324))</f>
        <v/>
      </c>
      <c r="AD324" s="261" t="str">
        <f>IF(J324='PLAN DE ESTUDIO'!$XFD$41,"",IF(AE324="","",AC324&amp;K324&amp;L324&amp;M324))</f>
        <v/>
      </c>
      <c r="AE324" s="261" t="str">
        <f>IF(J324='PLAN DE ESTUDIO'!$XFD$41,"",IF(AF324=1,K324&amp;L324&amp;M324,""))</f>
        <v/>
      </c>
      <c r="AF324" s="261">
        <f>COUNTIF($O$1:O324,$O324)</f>
        <v>0</v>
      </c>
      <c r="AG324" s="285" t="str">
        <f>IF(J324='PLAN DE ESTUDIO'!$XFD$41,"",IF(P324="TP","Teórico-Práctica",IF(P324="T","Teórico",IF(P324="P","Práctica",""))))</f>
        <v/>
      </c>
      <c r="AH324" s="234" t="str">
        <f t="shared" si="11"/>
        <v xml:space="preserve"> </v>
      </c>
    </row>
    <row r="325" spans="10:34" x14ac:dyDescent="0.3">
      <c r="J325" s="412"/>
      <c r="K325" s="232"/>
      <c r="L325" s="232"/>
      <c r="M325" s="232"/>
      <c r="N325" s="412"/>
      <c r="P325" s="231"/>
      <c r="Q325" s="412"/>
      <c r="R325" s="425"/>
      <c r="S325" s="442"/>
      <c r="T325" s="283" t="str" cm="1">
        <f t="array" ref="T325">IF($B$9="","",_xlfn.IFS($B$9="PRESENCIAL",_xlfn.XLOOKUP($S325,DATA!$B$4:$B$8,DATA!$D$4:$D$8,"",0,),$B$9="VIRTUAL",_xlfn.XLOOKUP($S325,DATA!$G$4:$G$8,DATA!$I$4:$I$8,"",0),$B$9="DISTANCIA",_xlfn.XLOOKUP($S325,DATA!$L$4:$L$8,DATA!$N$4:$N$8,"",0)))</f>
        <v/>
      </c>
      <c r="U325" s="283" t="str" cm="1">
        <f t="array" ref="U325">IF($B$9="","",_xlfn.IFS($B$9="PRESENCIAL",_xlfn.XLOOKUP($S325,DATA!$B$4:$B$8,DATA!$E$4:$E$8,"",0,),$B$9="VIRTUAL",_xlfn.XLOOKUP($S325,DATA!$G$4:$G$8,DATA!$J$4:$J$8,"",0),$B$9="DISTANCIA",_xlfn.XLOOKUP($S325,DATA!$L$4:$L$8,DATA!$O$4:$O$8,"",0)))</f>
        <v/>
      </c>
      <c r="V325" s="261" t="str">
        <f t="shared" si="10"/>
        <v/>
      </c>
      <c r="W325" s="282"/>
      <c r="X325" s="282"/>
      <c r="Y325" s="282"/>
      <c r="Z325" s="282"/>
      <c r="AA325" s="282"/>
      <c r="AB325" s="284"/>
      <c r="AC325" s="262" t="str">
        <f>IF(AE325="","",COUNTIF($AE$1:AE325,AE325))</f>
        <v/>
      </c>
      <c r="AD325" s="261" t="str">
        <f>IF(J325='PLAN DE ESTUDIO'!$XFD$41,"",IF(AE325="","",AC325&amp;K325&amp;L325&amp;M325))</f>
        <v/>
      </c>
      <c r="AE325" s="261" t="str">
        <f>IF(J325='PLAN DE ESTUDIO'!$XFD$41,"",IF(AF325=1,K325&amp;L325&amp;M325,""))</f>
        <v/>
      </c>
      <c r="AF325" s="261">
        <f>COUNTIF($O$1:O325,$O325)</f>
        <v>0</v>
      </c>
      <c r="AG325" s="285" t="str">
        <f>IF(J325='PLAN DE ESTUDIO'!$XFD$41,"",IF(P325="TP","Teórico-Práctica",IF(P325="T","Teórico",IF(P325="P","Práctica",""))))</f>
        <v/>
      </c>
      <c r="AH325" s="234" t="str">
        <f t="shared" si="11"/>
        <v xml:space="preserve"> </v>
      </c>
    </row>
    <row r="326" spans="10:34" x14ac:dyDescent="0.3">
      <c r="J326" s="412"/>
      <c r="K326" s="232"/>
      <c r="L326" s="232"/>
      <c r="M326" s="232"/>
      <c r="N326" s="412"/>
      <c r="P326" s="231"/>
      <c r="Q326" s="412"/>
      <c r="R326" s="425"/>
      <c r="S326" s="442"/>
      <c r="T326" s="283" t="str" cm="1">
        <f t="array" ref="T326">IF($B$9="","",_xlfn.IFS($B$9="PRESENCIAL",_xlfn.XLOOKUP($S326,DATA!$B$4:$B$8,DATA!$D$4:$D$8,"",0,),$B$9="VIRTUAL",_xlfn.XLOOKUP($S326,DATA!$G$4:$G$8,DATA!$I$4:$I$8,"",0),$B$9="DISTANCIA",_xlfn.XLOOKUP($S326,DATA!$L$4:$L$8,DATA!$N$4:$N$8,"",0)))</f>
        <v/>
      </c>
      <c r="U326" s="283" t="str" cm="1">
        <f t="array" ref="U326">IF($B$9="","",_xlfn.IFS($B$9="PRESENCIAL",_xlfn.XLOOKUP($S326,DATA!$B$4:$B$8,DATA!$E$4:$E$8,"",0,),$B$9="VIRTUAL",_xlfn.XLOOKUP($S326,DATA!$G$4:$G$8,DATA!$J$4:$J$8,"",0),$B$9="DISTANCIA",_xlfn.XLOOKUP($S326,DATA!$L$4:$L$8,DATA!$O$4:$O$8,"",0)))</f>
        <v/>
      </c>
      <c r="V326" s="261" t="str">
        <f t="shared" si="10"/>
        <v/>
      </c>
      <c r="W326" s="282"/>
      <c r="X326" s="282"/>
      <c r="Y326" s="282"/>
      <c r="Z326" s="282"/>
      <c r="AA326" s="282"/>
      <c r="AB326" s="284"/>
      <c r="AC326" s="262" t="str">
        <f>IF(AE326="","",COUNTIF($AE$1:AE326,AE326))</f>
        <v/>
      </c>
      <c r="AD326" s="261" t="str">
        <f>IF(J326='PLAN DE ESTUDIO'!$XFD$41,"",IF(AE326="","",AC326&amp;K326&amp;L326&amp;M326))</f>
        <v/>
      </c>
      <c r="AE326" s="261" t="str">
        <f>IF(J326='PLAN DE ESTUDIO'!$XFD$41,"",IF(AF326=1,K326&amp;L326&amp;M326,""))</f>
        <v/>
      </c>
      <c r="AF326" s="261">
        <f>COUNTIF($O$1:O326,$O326)</f>
        <v>0</v>
      </c>
      <c r="AG326" s="285" t="str">
        <f>IF(J326='PLAN DE ESTUDIO'!$XFD$41,"",IF(P326="TP","Teórico-Práctica",IF(P326="T","Teórico",IF(P326="P","Práctica",""))))</f>
        <v/>
      </c>
      <c r="AH326" s="234" t="str">
        <f t="shared" si="11"/>
        <v xml:space="preserve"> </v>
      </c>
    </row>
    <row r="327" spans="10:34" x14ac:dyDescent="0.3">
      <c r="J327" s="412"/>
      <c r="K327" s="232"/>
      <c r="L327" s="232"/>
      <c r="M327" s="232"/>
      <c r="N327" s="412"/>
      <c r="P327" s="231"/>
      <c r="Q327" s="412"/>
      <c r="R327" s="425"/>
      <c r="S327" s="442"/>
      <c r="T327" s="283" t="str" cm="1">
        <f t="array" ref="T327">IF($B$9="","",_xlfn.IFS($B$9="PRESENCIAL",_xlfn.XLOOKUP($S327,DATA!$B$4:$B$8,DATA!$D$4:$D$8,"",0,),$B$9="VIRTUAL",_xlfn.XLOOKUP($S327,DATA!$G$4:$G$8,DATA!$I$4:$I$8,"",0),$B$9="DISTANCIA",_xlfn.XLOOKUP($S327,DATA!$L$4:$L$8,DATA!$N$4:$N$8,"",0)))</f>
        <v/>
      </c>
      <c r="U327" s="283" t="str" cm="1">
        <f t="array" ref="U327">IF($B$9="","",_xlfn.IFS($B$9="PRESENCIAL",_xlfn.XLOOKUP($S327,DATA!$B$4:$B$8,DATA!$E$4:$E$8,"",0,),$B$9="VIRTUAL",_xlfn.XLOOKUP($S327,DATA!$G$4:$G$8,DATA!$J$4:$J$8,"",0),$B$9="DISTANCIA",_xlfn.XLOOKUP($S327,DATA!$L$4:$L$8,DATA!$O$4:$O$8,"",0)))</f>
        <v/>
      </c>
      <c r="V327" s="261" t="str">
        <f t="shared" si="10"/>
        <v/>
      </c>
      <c r="W327" s="282"/>
      <c r="X327" s="282"/>
      <c r="Y327" s="282"/>
      <c r="Z327" s="282"/>
      <c r="AA327" s="282"/>
      <c r="AB327" s="284"/>
      <c r="AC327" s="262" t="str">
        <f>IF(AE327="","",COUNTIF($AE$1:AE327,AE327))</f>
        <v/>
      </c>
      <c r="AD327" s="261" t="str">
        <f>IF(J327='PLAN DE ESTUDIO'!$XFD$41,"",IF(AE327="","",AC327&amp;K327&amp;L327&amp;M327))</f>
        <v/>
      </c>
      <c r="AE327" s="261" t="str">
        <f>IF(J327='PLAN DE ESTUDIO'!$XFD$41,"",IF(AF327=1,K327&amp;L327&amp;M327,""))</f>
        <v/>
      </c>
      <c r="AF327" s="261">
        <f>COUNTIF($O$1:O327,$O327)</f>
        <v>0</v>
      </c>
      <c r="AG327" s="285" t="str">
        <f>IF(J327='PLAN DE ESTUDIO'!$XFD$41,"",IF(P327="TP","Teórico-Práctica",IF(P327="T","Teórico",IF(P327="P","Práctica",""))))</f>
        <v/>
      </c>
      <c r="AH327" s="234" t="str">
        <f t="shared" si="11"/>
        <v xml:space="preserve"> </v>
      </c>
    </row>
    <row r="328" spans="10:34" x14ac:dyDescent="0.3">
      <c r="J328" s="412"/>
      <c r="K328" s="232"/>
      <c r="L328" s="232"/>
      <c r="M328" s="232"/>
      <c r="N328" s="412"/>
      <c r="P328" s="231"/>
      <c r="Q328" s="412"/>
      <c r="R328" s="425"/>
      <c r="S328" s="442"/>
      <c r="T328" s="283" t="str" cm="1">
        <f t="array" ref="T328">IF($B$9="","",_xlfn.IFS($B$9="PRESENCIAL",_xlfn.XLOOKUP($S328,DATA!$B$4:$B$8,DATA!$D$4:$D$8,"",0,),$B$9="VIRTUAL",_xlfn.XLOOKUP($S328,DATA!$G$4:$G$8,DATA!$I$4:$I$8,"",0),$B$9="DISTANCIA",_xlfn.XLOOKUP($S328,DATA!$L$4:$L$8,DATA!$N$4:$N$8,"",0)))</f>
        <v/>
      </c>
      <c r="U328" s="283" t="str" cm="1">
        <f t="array" ref="U328">IF($B$9="","",_xlfn.IFS($B$9="PRESENCIAL",_xlfn.XLOOKUP($S328,DATA!$B$4:$B$8,DATA!$E$4:$E$8,"",0,),$B$9="VIRTUAL",_xlfn.XLOOKUP($S328,DATA!$G$4:$G$8,DATA!$J$4:$J$8,"",0),$B$9="DISTANCIA",_xlfn.XLOOKUP($S328,DATA!$L$4:$L$8,DATA!$O$4:$O$8,"",0)))</f>
        <v/>
      </c>
      <c r="V328" s="261" t="str">
        <f t="shared" si="10"/>
        <v/>
      </c>
      <c r="W328" s="282"/>
      <c r="X328" s="282"/>
      <c r="Y328" s="282"/>
      <c r="Z328" s="282"/>
      <c r="AA328" s="282"/>
      <c r="AB328" s="284"/>
      <c r="AC328" s="262" t="str">
        <f>IF(AE328="","",COUNTIF($AE$1:AE328,AE328))</f>
        <v/>
      </c>
      <c r="AD328" s="261" t="str">
        <f>IF(J328='PLAN DE ESTUDIO'!$XFD$41,"",IF(AE328="","",AC328&amp;K328&amp;L328&amp;M328))</f>
        <v/>
      </c>
      <c r="AE328" s="261" t="str">
        <f>IF(J328='PLAN DE ESTUDIO'!$XFD$41,"",IF(AF328=1,K328&amp;L328&amp;M328,""))</f>
        <v/>
      </c>
      <c r="AF328" s="261">
        <f>COUNTIF($O$1:O328,$O328)</f>
        <v>0</v>
      </c>
      <c r="AG328" s="285" t="str">
        <f>IF(J328='PLAN DE ESTUDIO'!$XFD$41,"",IF(P328="TP","Teórico-Práctica",IF(P328="T","Teórico",IF(P328="P","Práctica",""))))</f>
        <v/>
      </c>
      <c r="AH328" s="234" t="str">
        <f t="shared" si="11"/>
        <v xml:space="preserve"> </v>
      </c>
    </row>
    <row r="329" spans="10:34" x14ac:dyDescent="0.3">
      <c r="J329" s="412"/>
      <c r="K329" s="232"/>
      <c r="L329" s="232"/>
      <c r="M329" s="232"/>
      <c r="N329" s="412"/>
      <c r="P329" s="231"/>
      <c r="Q329" s="412"/>
      <c r="R329" s="425"/>
      <c r="S329" s="442"/>
      <c r="T329" s="283" t="str" cm="1">
        <f t="array" ref="T329">IF($B$9="","",_xlfn.IFS($B$9="PRESENCIAL",_xlfn.XLOOKUP($S329,DATA!$B$4:$B$8,DATA!$D$4:$D$8,"",0,),$B$9="VIRTUAL",_xlfn.XLOOKUP($S329,DATA!$G$4:$G$8,DATA!$I$4:$I$8,"",0),$B$9="DISTANCIA",_xlfn.XLOOKUP($S329,DATA!$L$4:$L$8,DATA!$N$4:$N$8,"",0)))</f>
        <v/>
      </c>
      <c r="U329" s="283" t="str" cm="1">
        <f t="array" ref="U329">IF($B$9="","",_xlfn.IFS($B$9="PRESENCIAL",_xlfn.XLOOKUP($S329,DATA!$B$4:$B$8,DATA!$E$4:$E$8,"",0,),$B$9="VIRTUAL",_xlfn.XLOOKUP($S329,DATA!$G$4:$G$8,DATA!$J$4:$J$8,"",0),$B$9="DISTANCIA",_xlfn.XLOOKUP($S329,DATA!$L$4:$L$8,DATA!$O$4:$O$8,"",0)))</f>
        <v/>
      </c>
      <c r="V329" s="261" t="str">
        <f t="shared" si="10"/>
        <v/>
      </c>
      <c r="W329" s="282"/>
      <c r="X329" s="282"/>
      <c r="Y329" s="282"/>
      <c r="Z329" s="282"/>
      <c r="AA329" s="282"/>
      <c r="AB329" s="284"/>
      <c r="AC329" s="262" t="str">
        <f>IF(AE329="","",COUNTIF($AE$1:AE329,AE329))</f>
        <v/>
      </c>
      <c r="AD329" s="261" t="str">
        <f>IF(J329='PLAN DE ESTUDIO'!$XFD$41,"",IF(AE329="","",AC329&amp;K329&amp;L329&amp;M329))</f>
        <v/>
      </c>
      <c r="AE329" s="261" t="str">
        <f>IF(J329='PLAN DE ESTUDIO'!$XFD$41,"",IF(AF329=1,K329&amp;L329&amp;M329,""))</f>
        <v/>
      </c>
      <c r="AF329" s="261">
        <f>COUNTIF($O$1:O329,$O329)</f>
        <v>0</v>
      </c>
      <c r="AG329" s="285" t="str">
        <f>IF(J329='PLAN DE ESTUDIO'!$XFD$41,"",IF(P329="TP","Teórico-Práctica",IF(P329="T","Teórico",IF(P329="P","Práctica",""))))</f>
        <v/>
      </c>
      <c r="AH329" s="234" t="str">
        <f t="shared" si="11"/>
        <v xml:space="preserve"> </v>
      </c>
    </row>
    <row r="330" spans="10:34" x14ac:dyDescent="0.3">
      <c r="J330" s="412"/>
      <c r="K330" s="232"/>
      <c r="L330" s="232"/>
      <c r="M330" s="232"/>
      <c r="N330" s="412"/>
      <c r="P330" s="231"/>
      <c r="Q330" s="412"/>
      <c r="R330" s="425"/>
      <c r="S330" s="442"/>
      <c r="T330" s="283" t="str" cm="1">
        <f t="array" ref="T330">IF($B$9="","",_xlfn.IFS($B$9="PRESENCIAL",_xlfn.XLOOKUP($S330,DATA!$B$4:$B$8,DATA!$D$4:$D$8,"",0,),$B$9="VIRTUAL",_xlfn.XLOOKUP($S330,DATA!$G$4:$G$8,DATA!$I$4:$I$8,"",0),$B$9="DISTANCIA",_xlfn.XLOOKUP($S330,DATA!$L$4:$L$8,DATA!$N$4:$N$8,"",0)))</f>
        <v/>
      </c>
      <c r="U330" s="283" t="str" cm="1">
        <f t="array" ref="U330">IF($B$9="","",_xlfn.IFS($B$9="PRESENCIAL",_xlfn.XLOOKUP($S330,DATA!$B$4:$B$8,DATA!$E$4:$E$8,"",0,),$B$9="VIRTUAL",_xlfn.XLOOKUP($S330,DATA!$G$4:$G$8,DATA!$J$4:$J$8,"",0),$B$9="DISTANCIA",_xlfn.XLOOKUP($S330,DATA!$L$4:$L$8,DATA!$O$4:$O$8,"",0)))</f>
        <v/>
      </c>
      <c r="V330" s="261" t="str">
        <f t="shared" si="10"/>
        <v/>
      </c>
      <c r="W330" s="282"/>
      <c r="X330" s="282"/>
      <c r="Y330" s="282"/>
      <c r="Z330" s="282"/>
      <c r="AA330" s="282"/>
      <c r="AB330" s="284"/>
      <c r="AC330" s="262" t="str">
        <f>IF(AE330="","",COUNTIF($AE$1:AE330,AE330))</f>
        <v/>
      </c>
      <c r="AD330" s="261" t="str">
        <f>IF(J330='PLAN DE ESTUDIO'!$XFD$41,"",IF(AE330="","",AC330&amp;K330&amp;L330&amp;M330))</f>
        <v/>
      </c>
      <c r="AE330" s="261" t="str">
        <f>IF(J330='PLAN DE ESTUDIO'!$XFD$41,"",IF(AF330=1,K330&amp;L330&amp;M330,""))</f>
        <v/>
      </c>
      <c r="AF330" s="261">
        <f>COUNTIF($O$1:O330,$O330)</f>
        <v>0</v>
      </c>
      <c r="AG330" s="285" t="str">
        <f>IF(J330='PLAN DE ESTUDIO'!$XFD$41,"",IF(P330="TP","Teórico-Práctica",IF(P330="T","Teórico",IF(P330="P","Práctica",""))))</f>
        <v/>
      </c>
      <c r="AH330" s="234" t="str">
        <f t="shared" si="11"/>
        <v xml:space="preserve"> </v>
      </c>
    </row>
    <row r="331" spans="10:34" x14ac:dyDescent="0.3">
      <c r="J331" s="412"/>
      <c r="K331" s="232"/>
      <c r="L331" s="232"/>
      <c r="M331" s="232"/>
      <c r="N331" s="412"/>
      <c r="P331" s="231"/>
      <c r="Q331" s="412"/>
      <c r="R331" s="425"/>
      <c r="S331" s="442"/>
      <c r="T331" s="283" t="str" cm="1">
        <f t="array" ref="T331">IF($B$9="","",_xlfn.IFS($B$9="PRESENCIAL",_xlfn.XLOOKUP($S331,DATA!$B$4:$B$8,DATA!$D$4:$D$8,"",0,),$B$9="VIRTUAL",_xlfn.XLOOKUP($S331,DATA!$G$4:$G$8,DATA!$I$4:$I$8,"",0),$B$9="DISTANCIA",_xlfn.XLOOKUP($S331,DATA!$L$4:$L$8,DATA!$N$4:$N$8,"",0)))</f>
        <v/>
      </c>
      <c r="U331" s="283" t="str" cm="1">
        <f t="array" ref="U331">IF($B$9="","",_xlfn.IFS($B$9="PRESENCIAL",_xlfn.XLOOKUP($S331,DATA!$B$4:$B$8,DATA!$E$4:$E$8,"",0,),$B$9="VIRTUAL",_xlfn.XLOOKUP($S331,DATA!$G$4:$G$8,DATA!$J$4:$J$8,"",0),$B$9="DISTANCIA",_xlfn.XLOOKUP($S331,DATA!$L$4:$L$8,DATA!$O$4:$O$8,"",0)))</f>
        <v/>
      </c>
      <c r="V331" s="261" t="str">
        <f t="shared" si="10"/>
        <v/>
      </c>
      <c r="W331" s="282"/>
      <c r="X331" s="282"/>
      <c r="Y331" s="282"/>
      <c r="Z331" s="282"/>
      <c r="AA331" s="282"/>
      <c r="AB331" s="284"/>
      <c r="AC331" s="262" t="str">
        <f>IF(AE331="","",COUNTIF($AE$1:AE331,AE331))</f>
        <v/>
      </c>
      <c r="AD331" s="261" t="str">
        <f>IF(J331='PLAN DE ESTUDIO'!$XFD$41,"",IF(AE331="","",AC331&amp;K331&amp;L331&amp;M331))</f>
        <v/>
      </c>
      <c r="AE331" s="261" t="str">
        <f>IF(J331='PLAN DE ESTUDIO'!$XFD$41,"",IF(AF331=1,K331&amp;L331&amp;M331,""))</f>
        <v/>
      </c>
      <c r="AF331" s="261">
        <f>COUNTIF($O$1:O331,$O331)</f>
        <v>0</v>
      </c>
      <c r="AG331" s="285" t="str">
        <f>IF(J331='PLAN DE ESTUDIO'!$XFD$41,"",IF(P331="TP","Teórico-Práctica",IF(P331="T","Teórico",IF(P331="P","Práctica",""))))</f>
        <v/>
      </c>
      <c r="AH331" s="234" t="str">
        <f t="shared" si="11"/>
        <v xml:space="preserve"> </v>
      </c>
    </row>
    <row r="332" spans="10:34" x14ac:dyDescent="0.3">
      <c r="J332" s="412"/>
      <c r="K332" s="232"/>
      <c r="L332" s="232"/>
      <c r="M332" s="232"/>
      <c r="N332" s="412"/>
      <c r="P332" s="231"/>
      <c r="Q332" s="412"/>
      <c r="R332" s="425"/>
      <c r="S332" s="442"/>
      <c r="T332" s="283" t="str" cm="1">
        <f t="array" ref="T332">IF($B$9="","",_xlfn.IFS($B$9="PRESENCIAL",_xlfn.XLOOKUP($S332,DATA!$B$4:$B$8,DATA!$D$4:$D$8,"",0,),$B$9="VIRTUAL",_xlfn.XLOOKUP($S332,DATA!$G$4:$G$8,DATA!$I$4:$I$8,"",0),$B$9="DISTANCIA",_xlfn.XLOOKUP($S332,DATA!$L$4:$L$8,DATA!$N$4:$N$8,"",0)))</f>
        <v/>
      </c>
      <c r="U332" s="283" t="str" cm="1">
        <f t="array" ref="U332">IF($B$9="","",_xlfn.IFS($B$9="PRESENCIAL",_xlfn.XLOOKUP($S332,DATA!$B$4:$B$8,DATA!$E$4:$E$8,"",0,),$B$9="VIRTUAL",_xlfn.XLOOKUP($S332,DATA!$G$4:$G$8,DATA!$J$4:$J$8,"",0),$B$9="DISTANCIA",_xlfn.XLOOKUP($S332,DATA!$L$4:$L$8,DATA!$O$4:$O$8,"",0)))</f>
        <v/>
      </c>
      <c r="V332" s="261" t="str">
        <f t="shared" si="10"/>
        <v/>
      </c>
      <c r="W332" s="282"/>
      <c r="X332" s="282"/>
      <c r="Y332" s="282"/>
      <c r="Z332" s="282"/>
      <c r="AA332" s="282"/>
      <c r="AB332" s="284"/>
      <c r="AC332" s="262" t="str">
        <f>IF(AE332="","",COUNTIF($AE$1:AE332,AE332))</f>
        <v/>
      </c>
      <c r="AD332" s="261" t="str">
        <f>IF(J332='PLAN DE ESTUDIO'!$XFD$41,"",IF(AE332="","",AC332&amp;K332&amp;L332&amp;M332))</f>
        <v/>
      </c>
      <c r="AE332" s="261" t="str">
        <f>IF(J332='PLAN DE ESTUDIO'!$XFD$41,"",IF(AF332=1,K332&amp;L332&amp;M332,""))</f>
        <v/>
      </c>
      <c r="AF332" s="261">
        <f>COUNTIF($O$1:O332,$O332)</f>
        <v>0</v>
      </c>
      <c r="AG332" s="285" t="str">
        <f>IF(J332='PLAN DE ESTUDIO'!$XFD$41,"",IF(P332="TP","Teórico-Práctica",IF(P332="T","Teórico",IF(P332="P","Práctica",""))))</f>
        <v/>
      </c>
      <c r="AH332" s="234" t="str">
        <f t="shared" si="11"/>
        <v xml:space="preserve"> </v>
      </c>
    </row>
    <row r="333" spans="10:34" x14ac:dyDescent="0.3">
      <c r="J333" s="412"/>
      <c r="K333" s="232"/>
      <c r="L333" s="232"/>
      <c r="M333" s="232"/>
      <c r="N333" s="412"/>
      <c r="P333" s="231"/>
      <c r="Q333" s="412"/>
      <c r="R333" s="425"/>
      <c r="S333" s="442"/>
      <c r="T333" s="283" t="str" cm="1">
        <f t="array" ref="T333">IF($B$9="","",_xlfn.IFS($B$9="PRESENCIAL",_xlfn.XLOOKUP($S333,DATA!$B$4:$B$8,DATA!$D$4:$D$8,"",0,),$B$9="VIRTUAL",_xlfn.XLOOKUP($S333,DATA!$G$4:$G$8,DATA!$I$4:$I$8,"",0),$B$9="DISTANCIA",_xlfn.XLOOKUP($S333,DATA!$L$4:$L$8,DATA!$N$4:$N$8,"",0)))</f>
        <v/>
      </c>
      <c r="U333" s="283" t="str" cm="1">
        <f t="array" ref="U333">IF($B$9="","",_xlfn.IFS($B$9="PRESENCIAL",_xlfn.XLOOKUP($S333,DATA!$B$4:$B$8,DATA!$E$4:$E$8,"",0,),$B$9="VIRTUAL",_xlfn.XLOOKUP($S333,DATA!$G$4:$G$8,DATA!$J$4:$J$8,"",0),$B$9="DISTANCIA",_xlfn.XLOOKUP($S333,DATA!$L$4:$L$8,DATA!$O$4:$O$8,"",0)))</f>
        <v/>
      </c>
      <c r="V333" s="261" t="str">
        <f t="shared" si="10"/>
        <v/>
      </c>
      <c r="W333" s="282"/>
      <c r="X333" s="282"/>
      <c r="Y333" s="282"/>
      <c r="Z333" s="282"/>
      <c r="AA333" s="282"/>
      <c r="AB333" s="284"/>
      <c r="AC333" s="262" t="str">
        <f>IF(AE333="","",COUNTIF($AE$1:AE333,AE333))</f>
        <v/>
      </c>
      <c r="AD333" s="261" t="str">
        <f>IF(J333='PLAN DE ESTUDIO'!$XFD$41,"",IF(AE333="","",AC333&amp;K333&amp;L333&amp;M333))</f>
        <v/>
      </c>
      <c r="AE333" s="261" t="str">
        <f>IF(J333='PLAN DE ESTUDIO'!$XFD$41,"",IF(AF333=1,K333&amp;L333&amp;M333,""))</f>
        <v/>
      </c>
      <c r="AF333" s="261">
        <f>COUNTIF($O$1:O333,$O333)</f>
        <v>0</v>
      </c>
      <c r="AG333" s="285" t="str">
        <f>IF(J333='PLAN DE ESTUDIO'!$XFD$41,"",IF(P333="TP","Teórico-Práctica",IF(P333="T","Teórico",IF(P333="P","Práctica",""))))</f>
        <v/>
      </c>
      <c r="AH333" s="234" t="str">
        <f t="shared" si="11"/>
        <v xml:space="preserve"> </v>
      </c>
    </row>
    <row r="334" spans="10:34" x14ac:dyDescent="0.3">
      <c r="J334" s="412"/>
      <c r="K334" s="232"/>
      <c r="L334" s="232"/>
      <c r="M334" s="232"/>
      <c r="N334" s="412"/>
      <c r="P334" s="231"/>
      <c r="Q334" s="412"/>
      <c r="R334" s="425"/>
      <c r="S334" s="442"/>
      <c r="T334" s="283" t="str" cm="1">
        <f t="array" ref="T334">IF($B$9="","",_xlfn.IFS($B$9="PRESENCIAL",_xlfn.XLOOKUP($S334,DATA!$B$4:$B$8,DATA!$D$4:$D$8,"",0,),$B$9="VIRTUAL",_xlfn.XLOOKUP($S334,DATA!$G$4:$G$8,DATA!$I$4:$I$8,"",0),$B$9="DISTANCIA",_xlfn.XLOOKUP($S334,DATA!$L$4:$L$8,DATA!$N$4:$N$8,"",0)))</f>
        <v/>
      </c>
      <c r="U334" s="283" t="str" cm="1">
        <f t="array" ref="U334">IF($B$9="","",_xlfn.IFS($B$9="PRESENCIAL",_xlfn.XLOOKUP($S334,DATA!$B$4:$B$8,DATA!$E$4:$E$8,"",0,),$B$9="VIRTUAL",_xlfn.XLOOKUP($S334,DATA!$G$4:$G$8,DATA!$J$4:$J$8,"",0),$B$9="DISTANCIA",_xlfn.XLOOKUP($S334,DATA!$L$4:$L$8,DATA!$O$4:$O$8,"",0)))</f>
        <v/>
      </c>
      <c r="V334" s="261" t="str">
        <f t="shared" si="10"/>
        <v/>
      </c>
      <c r="W334" s="282"/>
      <c r="X334" s="282"/>
      <c r="Y334" s="282"/>
      <c r="Z334" s="282"/>
      <c r="AA334" s="282"/>
      <c r="AB334" s="284"/>
      <c r="AC334" s="262" t="str">
        <f>IF(AE334="","",COUNTIF($AE$1:AE334,AE334))</f>
        <v/>
      </c>
      <c r="AD334" s="261" t="str">
        <f>IF(J334='PLAN DE ESTUDIO'!$XFD$41,"",IF(AE334="","",AC334&amp;K334&amp;L334&amp;M334))</f>
        <v/>
      </c>
      <c r="AE334" s="261" t="str">
        <f>IF(J334='PLAN DE ESTUDIO'!$XFD$41,"",IF(AF334=1,K334&amp;L334&amp;M334,""))</f>
        <v/>
      </c>
      <c r="AF334" s="261">
        <f>COUNTIF($O$1:O334,$O334)</f>
        <v>0</v>
      </c>
      <c r="AG334" s="285" t="str">
        <f>IF(J334='PLAN DE ESTUDIO'!$XFD$41,"",IF(P334="TP","Teórico-Práctica",IF(P334="T","Teórico",IF(P334="P","Práctica",""))))</f>
        <v/>
      </c>
      <c r="AH334" s="234" t="str">
        <f t="shared" si="11"/>
        <v xml:space="preserve"> </v>
      </c>
    </row>
    <row r="335" spans="10:34" x14ac:dyDescent="0.3">
      <c r="J335" s="412"/>
      <c r="K335" s="232"/>
      <c r="L335" s="232"/>
      <c r="M335" s="232"/>
      <c r="N335" s="412"/>
      <c r="P335" s="231"/>
      <c r="Q335" s="412"/>
      <c r="R335" s="425"/>
      <c r="S335" s="442"/>
      <c r="T335" s="283" t="str" cm="1">
        <f t="array" ref="T335">IF($B$9="","",_xlfn.IFS($B$9="PRESENCIAL",_xlfn.XLOOKUP($S335,DATA!$B$4:$B$8,DATA!$D$4:$D$8,"",0,),$B$9="VIRTUAL",_xlfn.XLOOKUP($S335,DATA!$G$4:$G$8,DATA!$I$4:$I$8,"",0),$B$9="DISTANCIA",_xlfn.XLOOKUP($S335,DATA!$L$4:$L$8,DATA!$N$4:$N$8,"",0)))</f>
        <v/>
      </c>
      <c r="U335" s="283" t="str" cm="1">
        <f t="array" ref="U335">IF($B$9="","",_xlfn.IFS($B$9="PRESENCIAL",_xlfn.XLOOKUP($S335,DATA!$B$4:$B$8,DATA!$E$4:$E$8,"",0,),$B$9="VIRTUAL",_xlfn.XLOOKUP($S335,DATA!$G$4:$G$8,DATA!$J$4:$J$8,"",0),$B$9="DISTANCIA",_xlfn.XLOOKUP($S335,DATA!$L$4:$L$8,DATA!$O$4:$O$8,"",0)))</f>
        <v/>
      </c>
      <c r="V335" s="261" t="str">
        <f t="shared" si="10"/>
        <v/>
      </c>
      <c r="W335" s="282"/>
      <c r="X335" s="282"/>
      <c r="Y335" s="282"/>
      <c r="Z335" s="282"/>
      <c r="AA335" s="282"/>
      <c r="AB335" s="284"/>
      <c r="AC335" s="262" t="str">
        <f>IF(AE335="","",COUNTIF($AE$1:AE335,AE335))</f>
        <v/>
      </c>
      <c r="AD335" s="261" t="str">
        <f>IF(J335='PLAN DE ESTUDIO'!$XFD$41,"",IF(AE335="","",AC335&amp;K335&amp;L335&amp;M335))</f>
        <v/>
      </c>
      <c r="AE335" s="261" t="str">
        <f>IF(J335='PLAN DE ESTUDIO'!$XFD$41,"",IF(AF335=1,K335&amp;L335&amp;M335,""))</f>
        <v/>
      </c>
      <c r="AF335" s="261">
        <f>COUNTIF($O$1:O335,$O335)</f>
        <v>0</v>
      </c>
      <c r="AG335" s="285" t="str">
        <f>IF(J335='PLAN DE ESTUDIO'!$XFD$41,"",IF(P335="TP","Teórico-Práctica",IF(P335="T","Teórico",IF(P335="P","Práctica",""))))</f>
        <v/>
      </c>
      <c r="AH335" s="234" t="str">
        <f t="shared" si="11"/>
        <v xml:space="preserve"> </v>
      </c>
    </row>
    <row r="336" spans="10:34" x14ac:dyDescent="0.3">
      <c r="J336" s="412"/>
      <c r="K336" s="232"/>
      <c r="L336" s="232"/>
      <c r="M336" s="232"/>
      <c r="N336" s="412"/>
      <c r="P336" s="231"/>
      <c r="Q336" s="412"/>
      <c r="R336" s="425"/>
      <c r="S336" s="442"/>
      <c r="T336" s="283" t="str" cm="1">
        <f t="array" ref="T336">IF($B$9="","",_xlfn.IFS($B$9="PRESENCIAL",_xlfn.XLOOKUP($S336,DATA!$B$4:$B$8,DATA!$D$4:$D$8,"",0,),$B$9="VIRTUAL",_xlfn.XLOOKUP($S336,DATA!$G$4:$G$8,DATA!$I$4:$I$8,"",0),$B$9="DISTANCIA",_xlfn.XLOOKUP($S336,DATA!$L$4:$L$8,DATA!$N$4:$N$8,"",0)))</f>
        <v/>
      </c>
      <c r="U336" s="283" t="str" cm="1">
        <f t="array" ref="U336">IF($B$9="","",_xlfn.IFS($B$9="PRESENCIAL",_xlfn.XLOOKUP($S336,DATA!$B$4:$B$8,DATA!$E$4:$E$8,"",0,),$B$9="VIRTUAL",_xlfn.XLOOKUP($S336,DATA!$G$4:$G$8,DATA!$J$4:$J$8,"",0),$B$9="DISTANCIA",_xlfn.XLOOKUP($S336,DATA!$L$4:$L$8,DATA!$O$4:$O$8,"",0)))</f>
        <v/>
      </c>
      <c r="V336" s="261" t="str">
        <f t="shared" si="10"/>
        <v/>
      </c>
      <c r="W336" s="282"/>
      <c r="X336" s="282"/>
      <c r="Y336" s="282"/>
      <c r="Z336" s="282"/>
      <c r="AA336" s="282"/>
      <c r="AB336" s="284"/>
      <c r="AC336" s="262" t="str">
        <f>IF(AE336="","",COUNTIF($AE$1:AE336,AE336))</f>
        <v/>
      </c>
      <c r="AD336" s="261" t="str">
        <f>IF(J336='PLAN DE ESTUDIO'!$XFD$41,"",IF(AE336="","",AC336&amp;K336&amp;L336&amp;M336))</f>
        <v/>
      </c>
      <c r="AE336" s="261" t="str">
        <f>IF(J336='PLAN DE ESTUDIO'!$XFD$41,"",IF(AF336=1,K336&amp;L336&amp;M336,""))</f>
        <v/>
      </c>
      <c r="AF336" s="261">
        <f>COUNTIF($O$1:O336,$O336)</f>
        <v>0</v>
      </c>
      <c r="AG336" s="285" t="str">
        <f>IF(J336='PLAN DE ESTUDIO'!$XFD$41,"",IF(P336="TP","Teórico-Práctica",IF(P336="T","Teórico",IF(P336="P","Práctica",""))))</f>
        <v/>
      </c>
      <c r="AH336" s="234" t="str">
        <f t="shared" si="11"/>
        <v xml:space="preserve"> </v>
      </c>
    </row>
    <row r="337" spans="10:34" x14ac:dyDescent="0.3">
      <c r="J337" s="412"/>
      <c r="K337" s="232"/>
      <c r="L337" s="232"/>
      <c r="M337" s="232"/>
      <c r="N337" s="412"/>
      <c r="P337" s="231"/>
      <c r="Q337" s="412"/>
      <c r="R337" s="425"/>
      <c r="S337" s="442"/>
      <c r="T337" s="283" t="str" cm="1">
        <f t="array" ref="T337">IF($B$9="","",_xlfn.IFS($B$9="PRESENCIAL",_xlfn.XLOOKUP($S337,DATA!$B$4:$B$8,DATA!$D$4:$D$8,"",0,),$B$9="VIRTUAL",_xlfn.XLOOKUP($S337,DATA!$G$4:$G$8,DATA!$I$4:$I$8,"",0),$B$9="DISTANCIA",_xlfn.XLOOKUP($S337,DATA!$L$4:$L$8,DATA!$N$4:$N$8,"",0)))</f>
        <v/>
      </c>
      <c r="U337" s="283" t="str" cm="1">
        <f t="array" ref="U337">IF($B$9="","",_xlfn.IFS($B$9="PRESENCIAL",_xlfn.XLOOKUP($S337,DATA!$B$4:$B$8,DATA!$E$4:$E$8,"",0,),$B$9="VIRTUAL",_xlfn.XLOOKUP($S337,DATA!$G$4:$G$8,DATA!$J$4:$J$8,"",0),$B$9="DISTANCIA",_xlfn.XLOOKUP($S337,DATA!$L$4:$L$8,DATA!$O$4:$O$8,"",0)))</f>
        <v/>
      </c>
      <c r="V337" s="261" t="str">
        <f t="shared" si="10"/>
        <v/>
      </c>
      <c r="W337" s="282"/>
      <c r="X337" s="282"/>
      <c r="Y337" s="282"/>
      <c r="Z337" s="282"/>
      <c r="AA337" s="282"/>
      <c r="AB337" s="284"/>
      <c r="AC337" s="262" t="str">
        <f>IF(AE337="","",COUNTIF($AE$1:AE337,AE337))</f>
        <v/>
      </c>
      <c r="AD337" s="261" t="str">
        <f>IF(J337='PLAN DE ESTUDIO'!$XFD$41,"",IF(AE337="","",AC337&amp;K337&amp;L337&amp;M337))</f>
        <v/>
      </c>
      <c r="AE337" s="261" t="str">
        <f>IF(J337='PLAN DE ESTUDIO'!$XFD$41,"",IF(AF337=1,K337&amp;L337&amp;M337,""))</f>
        <v/>
      </c>
      <c r="AF337" s="261">
        <f>COUNTIF($O$1:O337,$O337)</f>
        <v>0</v>
      </c>
      <c r="AG337" s="285" t="str">
        <f>IF(J337='PLAN DE ESTUDIO'!$XFD$41,"",IF(P337="TP","Teórico-Práctica",IF(P337="T","Teórico",IF(P337="P","Práctica",""))))</f>
        <v/>
      </c>
      <c r="AH337" s="234" t="str">
        <f t="shared" si="11"/>
        <v xml:space="preserve"> </v>
      </c>
    </row>
    <row r="338" spans="10:34" x14ac:dyDescent="0.3">
      <c r="J338" s="412"/>
      <c r="K338" s="232"/>
      <c r="L338" s="232"/>
      <c r="M338" s="232"/>
      <c r="N338" s="412"/>
      <c r="P338" s="231"/>
      <c r="Q338" s="412"/>
      <c r="R338" s="425"/>
      <c r="S338" s="442"/>
      <c r="T338" s="283" t="str" cm="1">
        <f t="array" ref="T338">IF($B$9="","",_xlfn.IFS($B$9="PRESENCIAL",_xlfn.XLOOKUP($S338,DATA!$B$4:$B$8,DATA!$D$4:$D$8,"",0,),$B$9="VIRTUAL",_xlfn.XLOOKUP($S338,DATA!$G$4:$G$8,DATA!$I$4:$I$8,"",0),$B$9="DISTANCIA",_xlfn.XLOOKUP($S338,DATA!$L$4:$L$8,DATA!$N$4:$N$8,"",0)))</f>
        <v/>
      </c>
      <c r="U338" s="283" t="str" cm="1">
        <f t="array" ref="U338">IF($B$9="","",_xlfn.IFS($B$9="PRESENCIAL",_xlfn.XLOOKUP($S338,DATA!$B$4:$B$8,DATA!$E$4:$E$8,"",0,),$B$9="VIRTUAL",_xlfn.XLOOKUP($S338,DATA!$G$4:$G$8,DATA!$J$4:$J$8,"",0),$B$9="DISTANCIA",_xlfn.XLOOKUP($S338,DATA!$L$4:$L$8,DATA!$O$4:$O$8,"",0)))</f>
        <v/>
      </c>
      <c r="V338" s="261" t="str">
        <f t="shared" si="10"/>
        <v/>
      </c>
      <c r="W338" s="282"/>
      <c r="X338" s="282"/>
      <c r="Y338" s="282"/>
      <c r="Z338" s="282"/>
      <c r="AA338" s="282"/>
      <c r="AB338" s="284"/>
      <c r="AC338" s="262" t="str">
        <f>IF(AE338="","",COUNTIF($AE$1:AE338,AE338))</f>
        <v/>
      </c>
      <c r="AD338" s="261" t="str">
        <f>IF(J338='PLAN DE ESTUDIO'!$XFD$41,"",IF(AE338="","",AC338&amp;K338&amp;L338&amp;M338))</f>
        <v/>
      </c>
      <c r="AE338" s="261" t="str">
        <f>IF(J338='PLAN DE ESTUDIO'!$XFD$41,"",IF(AF338=1,K338&amp;L338&amp;M338,""))</f>
        <v/>
      </c>
      <c r="AF338" s="261">
        <f>COUNTIF($O$1:O338,$O338)</f>
        <v>0</v>
      </c>
      <c r="AG338" s="285" t="str">
        <f>IF(J338='PLAN DE ESTUDIO'!$XFD$41,"",IF(P338="TP","Teórico-Práctica",IF(P338="T","Teórico",IF(P338="P","Práctica",""))))</f>
        <v/>
      </c>
      <c r="AH338" s="234" t="str">
        <f t="shared" si="11"/>
        <v xml:space="preserve"> </v>
      </c>
    </row>
    <row r="339" spans="10:34" x14ac:dyDescent="0.3">
      <c r="J339" s="412"/>
      <c r="K339" s="232"/>
      <c r="L339" s="232"/>
      <c r="M339" s="232"/>
      <c r="N339" s="412"/>
      <c r="P339" s="231"/>
      <c r="Q339" s="412"/>
      <c r="R339" s="425"/>
      <c r="S339" s="442"/>
      <c r="T339" s="283" t="str" cm="1">
        <f t="array" ref="T339">IF($B$9="","",_xlfn.IFS($B$9="PRESENCIAL",_xlfn.XLOOKUP($S339,DATA!$B$4:$B$8,DATA!$D$4:$D$8,"",0,),$B$9="VIRTUAL",_xlfn.XLOOKUP($S339,DATA!$G$4:$G$8,DATA!$I$4:$I$8,"",0),$B$9="DISTANCIA",_xlfn.XLOOKUP($S339,DATA!$L$4:$L$8,DATA!$N$4:$N$8,"",0)))</f>
        <v/>
      </c>
      <c r="U339" s="283" t="str" cm="1">
        <f t="array" ref="U339">IF($B$9="","",_xlfn.IFS($B$9="PRESENCIAL",_xlfn.XLOOKUP($S339,DATA!$B$4:$B$8,DATA!$E$4:$E$8,"",0,),$B$9="VIRTUAL",_xlfn.XLOOKUP($S339,DATA!$G$4:$G$8,DATA!$J$4:$J$8,"",0),$B$9="DISTANCIA",_xlfn.XLOOKUP($S339,DATA!$L$4:$L$8,DATA!$O$4:$O$8,"",0)))</f>
        <v/>
      </c>
      <c r="V339" s="261" t="str">
        <f t="shared" si="10"/>
        <v/>
      </c>
      <c r="W339" s="282"/>
      <c r="X339" s="282"/>
      <c r="Y339" s="282"/>
      <c r="Z339" s="282"/>
      <c r="AA339" s="282"/>
      <c r="AB339" s="284"/>
      <c r="AC339" s="262" t="str">
        <f>IF(AE339="","",COUNTIF($AE$1:AE339,AE339))</f>
        <v/>
      </c>
      <c r="AD339" s="261" t="str">
        <f>IF(J339='PLAN DE ESTUDIO'!$XFD$41,"",IF(AE339="","",AC339&amp;K339&amp;L339&amp;M339))</f>
        <v/>
      </c>
      <c r="AE339" s="261" t="str">
        <f>IF(J339='PLAN DE ESTUDIO'!$XFD$41,"",IF(AF339=1,K339&amp;L339&amp;M339,""))</f>
        <v/>
      </c>
      <c r="AF339" s="261">
        <f>COUNTIF($O$1:O339,$O339)</f>
        <v>0</v>
      </c>
      <c r="AG339" s="285" t="str">
        <f>IF(J339='PLAN DE ESTUDIO'!$XFD$41,"",IF(P339="TP","Teórico-Práctica",IF(P339="T","Teórico",IF(P339="P","Práctica",""))))</f>
        <v/>
      </c>
      <c r="AH339" s="234" t="str">
        <f t="shared" si="11"/>
        <v xml:space="preserve"> </v>
      </c>
    </row>
    <row r="340" spans="10:34" x14ac:dyDescent="0.3">
      <c r="J340" s="412"/>
      <c r="K340" s="232"/>
      <c r="L340" s="232"/>
      <c r="M340" s="232"/>
      <c r="N340" s="412"/>
      <c r="P340" s="231"/>
      <c r="Q340" s="412"/>
      <c r="R340" s="425"/>
      <c r="S340" s="442"/>
      <c r="T340" s="283" t="str" cm="1">
        <f t="array" ref="T340">IF($B$9="","",_xlfn.IFS($B$9="PRESENCIAL",_xlfn.XLOOKUP($S340,DATA!$B$4:$B$8,DATA!$D$4:$D$8,"",0,),$B$9="VIRTUAL",_xlfn.XLOOKUP($S340,DATA!$G$4:$G$8,DATA!$I$4:$I$8,"",0),$B$9="DISTANCIA",_xlfn.XLOOKUP($S340,DATA!$L$4:$L$8,DATA!$N$4:$N$8,"",0)))</f>
        <v/>
      </c>
      <c r="U340" s="283" t="str" cm="1">
        <f t="array" ref="U340">IF($B$9="","",_xlfn.IFS($B$9="PRESENCIAL",_xlfn.XLOOKUP($S340,DATA!$B$4:$B$8,DATA!$E$4:$E$8,"",0,),$B$9="VIRTUAL",_xlfn.XLOOKUP($S340,DATA!$G$4:$G$8,DATA!$J$4:$J$8,"",0),$B$9="DISTANCIA",_xlfn.XLOOKUP($S340,DATA!$L$4:$L$8,DATA!$O$4:$O$8,"",0)))</f>
        <v/>
      </c>
      <c r="V340" s="261" t="str">
        <f t="shared" si="10"/>
        <v/>
      </c>
      <c r="W340" s="282"/>
      <c r="X340" s="282"/>
      <c r="Y340" s="282"/>
      <c r="Z340" s="282"/>
      <c r="AA340" s="282"/>
      <c r="AB340" s="284"/>
      <c r="AC340" s="262" t="str">
        <f>IF(AE340="","",COUNTIF($AE$1:AE340,AE340))</f>
        <v/>
      </c>
      <c r="AD340" s="261" t="str">
        <f>IF(J340='PLAN DE ESTUDIO'!$XFD$41,"",IF(AE340="","",AC340&amp;K340&amp;L340&amp;M340))</f>
        <v/>
      </c>
      <c r="AE340" s="261" t="str">
        <f>IF(J340='PLAN DE ESTUDIO'!$XFD$41,"",IF(AF340=1,K340&amp;L340&amp;M340,""))</f>
        <v/>
      </c>
      <c r="AF340" s="261">
        <f>COUNTIF($O$1:O340,$O340)</f>
        <v>0</v>
      </c>
      <c r="AG340" s="285" t="str">
        <f>IF(J340='PLAN DE ESTUDIO'!$XFD$41,"",IF(P340="TP","Teórico-Práctica",IF(P340="T","Teórico",IF(P340="P","Práctica",""))))</f>
        <v/>
      </c>
      <c r="AH340" s="234" t="str">
        <f t="shared" si="11"/>
        <v xml:space="preserve"> </v>
      </c>
    </row>
    <row r="341" spans="10:34" x14ac:dyDescent="0.3">
      <c r="J341" s="412"/>
      <c r="K341" s="232"/>
      <c r="L341" s="232"/>
      <c r="M341" s="232"/>
      <c r="N341" s="412"/>
      <c r="P341" s="231"/>
      <c r="Q341" s="412"/>
      <c r="R341" s="425"/>
      <c r="S341" s="442"/>
      <c r="T341" s="283" t="str" cm="1">
        <f t="array" ref="T341">IF($B$9="","",_xlfn.IFS($B$9="PRESENCIAL",_xlfn.XLOOKUP($S341,DATA!$B$4:$B$8,DATA!$D$4:$D$8,"",0,),$B$9="VIRTUAL",_xlfn.XLOOKUP($S341,DATA!$G$4:$G$8,DATA!$I$4:$I$8,"",0),$B$9="DISTANCIA",_xlfn.XLOOKUP($S341,DATA!$L$4:$L$8,DATA!$N$4:$N$8,"",0)))</f>
        <v/>
      </c>
      <c r="U341" s="283" t="str" cm="1">
        <f t="array" ref="U341">IF($B$9="","",_xlfn.IFS($B$9="PRESENCIAL",_xlfn.XLOOKUP($S341,DATA!$B$4:$B$8,DATA!$E$4:$E$8,"",0,),$B$9="VIRTUAL",_xlfn.XLOOKUP($S341,DATA!$G$4:$G$8,DATA!$J$4:$J$8,"",0),$B$9="DISTANCIA",_xlfn.XLOOKUP($S341,DATA!$L$4:$L$8,DATA!$O$4:$O$8,"",0)))</f>
        <v/>
      </c>
      <c r="V341" s="261" t="str">
        <f t="shared" si="10"/>
        <v/>
      </c>
      <c r="W341" s="282"/>
      <c r="X341" s="282"/>
      <c r="Y341" s="282"/>
      <c r="Z341" s="282"/>
      <c r="AA341" s="282"/>
      <c r="AB341" s="284"/>
      <c r="AC341" s="262" t="str">
        <f>IF(AE341="","",COUNTIF($AE$1:AE341,AE341))</f>
        <v/>
      </c>
      <c r="AD341" s="261" t="str">
        <f>IF(J341='PLAN DE ESTUDIO'!$XFD$41,"",IF(AE341="","",AC341&amp;K341&amp;L341&amp;M341))</f>
        <v/>
      </c>
      <c r="AE341" s="261" t="str">
        <f>IF(J341='PLAN DE ESTUDIO'!$XFD$41,"",IF(AF341=1,K341&amp;L341&amp;M341,""))</f>
        <v/>
      </c>
      <c r="AF341" s="261">
        <f>COUNTIF($O$1:O341,$O341)</f>
        <v>0</v>
      </c>
      <c r="AG341" s="285" t="str">
        <f>IF(J341='PLAN DE ESTUDIO'!$XFD$41,"",IF(P341="TP","Teórico-Práctica",IF(P341="T","Teórico",IF(P341="P","Práctica",""))))</f>
        <v/>
      </c>
      <c r="AH341" s="234" t="str">
        <f t="shared" si="11"/>
        <v xml:space="preserve"> </v>
      </c>
    </row>
    <row r="342" spans="10:34" x14ac:dyDescent="0.3">
      <c r="J342" s="412"/>
      <c r="K342" s="232"/>
      <c r="L342" s="232"/>
      <c r="M342" s="232"/>
      <c r="N342" s="412"/>
      <c r="P342" s="231"/>
      <c r="Q342" s="412"/>
      <c r="R342" s="425"/>
      <c r="S342" s="442"/>
      <c r="T342" s="283" t="str" cm="1">
        <f t="array" ref="T342">IF($B$9="","",_xlfn.IFS($B$9="PRESENCIAL",_xlfn.XLOOKUP($S342,DATA!$B$4:$B$8,DATA!$D$4:$D$8,"",0,),$B$9="VIRTUAL",_xlfn.XLOOKUP($S342,DATA!$G$4:$G$8,DATA!$I$4:$I$8,"",0),$B$9="DISTANCIA",_xlfn.XLOOKUP($S342,DATA!$L$4:$L$8,DATA!$N$4:$N$8,"",0)))</f>
        <v/>
      </c>
      <c r="U342" s="283" t="str" cm="1">
        <f t="array" ref="U342">IF($B$9="","",_xlfn.IFS($B$9="PRESENCIAL",_xlfn.XLOOKUP($S342,DATA!$B$4:$B$8,DATA!$E$4:$E$8,"",0,),$B$9="VIRTUAL",_xlfn.XLOOKUP($S342,DATA!$G$4:$G$8,DATA!$J$4:$J$8,"",0),$B$9="DISTANCIA",_xlfn.XLOOKUP($S342,DATA!$L$4:$L$8,DATA!$O$4:$O$8,"",0)))</f>
        <v/>
      </c>
      <c r="V342" s="261" t="str">
        <f t="shared" si="10"/>
        <v/>
      </c>
      <c r="W342" s="282"/>
      <c r="X342" s="282"/>
      <c r="Y342" s="282"/>
      <c r="Z342" s="282"/>
      <c r="AA342" s="282"/>
      <c r="AB342" s="284"/>
      <c r="AC342" s="262" t="str">
        <f>IF(AE342="","",COUNTIF($AE$1:AE342,AE342))</f>
        <v/>
      </c>
      <c r="AD342" s="261" t="str">
        <f>IF(J342='PLAN DE ESTUDIO'!$XFD$41,"",IF(AE342="","",AC342&amp;K342&amp;L342&amp;M342))</f>
        <v/>
      </c>
      <c r="AE342" s="261" t="str">
        <f>IF(J342='PLAN DE ESTUDIO'!$XFD$41,"",IF(AF342=1,K342&amp;L342&amp;M342,""))</f>
        <v/>
      </c>
      <c r="AF342" s="261">
        <f>COUNTIF($O$1:O342,$O342)</f>
        <v>0</v>
      </c>
      <c r="AG342" s="285" t="str">
        <f>IF(J342='PLAN DE ESTUDIO'!$XFD$41,"",IF(P342="TP","Teórico-Práctica",IF(P342="T","Teórico",IF(P342="P","Práctica",""))))</f>
        <v/>
      </c>
      <c r="AH342" s="234" t="str">
        <f t="shared" si="11"/>
        <v xml:space="preserve"> </v>
      </c>
    </row>
    <row r="343" spans="10:34" x14ac:dyDescent="0.3">
      <c r="J343" s="412"/>
      <c r="K343" s="232"/>
      <c r="L343" s="232"/>
      <c r="M343" s="232"/>
      <c r="N343" s="412"/>
      <c r="P343" s="231"/>
      <c r="Q343" s="412"/>
      <c r="R343" s="425"/>
      <c r="S343" s="442"/>
      <c r="T343" s="283" t="str" cm="1">
        <f t="array" ref="T343">IF($B$9="","",_xlfn.IFS($B$9="PRESENCIAL",_xlfn.XLOOKUP($S343,DATA!$B$4:$B$8,DATA!$D$4:$D$8,"",0,),$B$9="VIRTUAL",_xlfn.XLOOKUP($S343,DATA!$G$4:$G$8,DATA!$I$4:$I$8,"",0),$B$9="DISTANCIA",_xlfn.XLOOKUP($S343,DATA!$L$4:$L$8,DATA!$N$4:$N$8,"",0)))</f>
        <v/>
      </c>
      <c r="U343" s="283" t="str" cm="1">
        <f t="array" ref="U343">IF($B$9="","",_xlfn.IFS($B$9="PRESENCIAL",_xlfn.XLOOKUP($S343,DATA!$B$4:$B$8,DATA!$E$4:$E$8,"",0,),$B$9="VIRTUAL",_xlfn.XLOOKUP($S343,DATA!$G$4:$G$8,DATA!$J$4:$J$8,"",0),$B$9="DISTANCIA",_xlfn.XLOOKUP($S343,DATA!$L$4:$L$8,DATA!$O$4:$O$8,"",0)))</f>
        <v/>
      </c>
      <c r="V343" s="261" t="str">
        <f t="shared" si="10"/>
        <v/>
      </c>
      <c r="W343" s="282"/>
      <c r="X343" s="282"/>
      <c r="Y343" s="282"/>
      <c r="Z343" s="282"/>
      <c r="AA343" s="282"/>
      <c r="AB343" s="284"/>
      <c r="AC343" s="262" t="str">
        <f>IF(AE343="","",COUNTIF($AE$1:AE343,AE343))</f>
        <v/>
      </c>
      <c r="AD343" s="261" t="str">
        <f>IF(J343='PLAN DE ESTUDIO'!$XFD$41,"",IF(AE343="","",AC343&amp;K343&amp;L343&amp;M343))</f>
        <v/>
      </c>
      <c r="AE343" s="261" t="str">
        <f>IF(J343='PLAN DE ESTUDIO'!$XFD$41,"",IF(AF343=1,K343&amp;L343&amp;M343,""))</f>
        <v/>
      </c>
      <c r="AF343" s="261">
        <f>COUNTIF($O$1:O343,$O343)</f>
        <v>0</v>
      </c>
      <c r="AG343" s="285" t="str">
        <f>IF(J343='PLAN DE ESTUDIO'!$XFD$41,"",IF(P343="TP","Teórico-Práctica",IF(P343="T","Teórico",IF(P343="P","Práctica",""))))</f>
        <v/>
      </c>
      <c r="AH343" s="234" t="str">
        <f t="shared" si="11"/>
        <v xml:space="preserve"> </v>
      </c>
    </row>
    <row r="344" spans="10:34" x14ac:dyDescent="0.3">
      <c r="J344" s="412"/>
      <c r="K344" s="232"/>
      <c r="L344" s="232"/>
      <c r="M344" s="232"/>
      <c r="N344" s="412"/>
      <c r="P344" s="231"/>
      <c r="Q344" s="412"/>
      <c r="R344" s="425"/>
      <c r="S344" s="442"/>
      <c r="T344" s="283" t="str" cm="1">
        <f t="array" ref="T344">IF($B$9="","",_xlfn.IFS($B$9="PRESENCIAL",_xlfn.XLOOKUP($S344,DATA!$B$4:$B$8,DATA!$D$4:$D$8,"",0,),$B$9="VIRTUAL",_xlfn.XLOOKUP($S344,DATA!$G$4:$G$8,DATA!$I$4:$I$8,"",0),$B$9="DISTANCIA",_xlfn.XLOOKUP($S344,DATA!$L$4:$L$8,DATA!$N$4:$N$8,"",0)))</f>
        <v/>
      </c>
      <c r="U344" s="283" t="str" cm="1">
        <f t="array" ref="U344">IF($B$9="","",_xlfn.IFS($B$9="PRESENCIAL",_xlfn.XLOOKUP($S344,DATA!$B$4:$B$8,DATA!$E$4:$E$8,"",0,),$B$9="VIRTUAL",_xlfn.XLOOKUP($S344,DATA!$G$4:$G$8,DATA!$J$4:$J$8,"",0),$B$9="DISTANCIA",_xlfn.XLOOKUP($S344,DATA!$L$4:$L$8,DATA!$O$4:$O$8,"",0)))</f>
        <v/>
      </c>
      <c r="V344" s="261" t="str">
        <f t="shared" si="10"/>
        <v/>
      </c>
      <c r="W344" s="282"/>
      <c r="X344" s="282"/>
      <c r="Y344" s="282"/>
      <c r="Z344" s="282"/>
      <c r="AA344" s="282"/>
      <c r="AB344" s="284"/>
      <c r="AC344" s="262" t="str">
        <f>IF(AE344="","",COUNTIF($AE$1:AE344,AE344))</f>
        <v/>
      </c>
      <c r="AD344" s="261" t="str">
        <f>IF(J344='PLAN DE ESTUDIO'!$XFD$41,"",IF(AE344="","",AC344&amp;K344&amp;L344&amp;M344))</f>
        <v/>
      </c>
      <c r="AE344" s="261" t="str">
        <f>IF(J344='PLAN DE ESTUDIO'!$XFD$41,"",IF(AF344=1,K344&amp;L344&amp;M344,""))</f>
        <v/>
      </c>
      <c r="AF344" s="261">
        <f>COUNTIF($O$1:O344,$O344)</f>
        <v>0</v>
      </c>
      <c r="AG344" s="285" t="str">
        <f>IF(J344='PLAN DE ESTUDIO'!$XFD$41,"",IF(P344="TP","Teórico-Práctica",IF(P344="T","Teórico",IF(P344="P","Práctica",""))))</f>
        <v/>
      </c>
      <c r="AH344" s="234" t="str">
        <f t="shared" si="11"/>
        <v xml:space="preserve"> </v>
      </c>
    </row>
    <row r="345" spans="10:34" x14ac:dyDescent="0.3">
      <c r="J345" s="412"/>
      <c r="K345" s="232"/>
      <c r="L345" s="232"/>
      <c r="M345" s="232"/>
      <c r="N345" s="412"/>
      <c r="P345" s="231"/>
      <c r="Q345" s="412"/>
      <c r="R345" s="425"/>
      <c r="S345" s="442"/>
      <c r="T345" s="283" t="str" cm="1">
        <f t="array" ref="T345">IF($B$9="","",_xlfn.IFS($B$9="PRESENCIAL",_xlfn.XLOOKUP($S345,DATA!$B$4:$B$8,DATA!$D$4:$D$8,"",0,),$B$9="VIRTUAL",_xlfn.XLOOKUP($S345,DATA!$G$4:$G$8,DATA!$I$4:$I$8,"",0),$B$9="DISTANCIA",_xlfn.XLOOKUP($S345,DATA!$L$4:$L$8,DATA!$N$4:$N$8,"",0)))</f>
        <v/>
      </c>
      <c r="U345" s="283" t="str" cm="1">
        <f t="array" ref="U345">IF($B$9="","",_xlfn.IFS($B$9="PRESENCIAL",_xlfn.XLOOKUP($S345,DATA!$B$4:$B$8,DATA!$E$4:$E$8,"",0,),$B$9="VIRTUAL",_xlfn.XLOOKUP($S345,DATA!$G$4:$G$8,DATA!$J$4:$J$8,"",0),$B$9="DISTANCIA",_xlfn.XLOOKUP($S345,DATA!$L$4:$L$8,DATA!$O$4:$O$8,"",0)))</f>
        <v/>
      </c>
      <c r="V345" s="261" t="str">
        <f t="shared" si="10"/>
        <v/>
      </c>
      <c r="W345" s="282"/>
      <c r="X345" s="282"/>
      <c r="Y345" s="282"/>
      <c r="Z345" s="282"/>
      <c r="AA345" s="282"/>
      <c r="AB345" s="284"/>
      <c r="AC345" s="262" t="str">
        <f>IF(AE345="","",COUNTIF($AE$1:AE345,AE345))</f>
        <v/>
      </c>
      <c r="AD345" s="261" t="str">
        <f>IF(J345='PLAN DE ESTUDIO'!$XFD$41,"",IF(AE345="","",AC345&amp;K345&amp;L345&amp;M345))</f>
        <v/>
      </c>
      <c r="AE345" s="261" t="str">
        <f>IF(J345='PLAN DE ESTUDIO'!$XFD$41,"",IF(AF345=1,K345&amp;L345&amp;M345,""))</f>
        <v/>
      </c>
      <c r="AF345" s="261">
        <f>COUNTIF($O$1:O345,$O345)</f>
        <v>0</v>
      </c>
      <c r="AG345" s="285" t="str">
        <f>IF(J345='PLAN DE ESTUDIO'!$XFD$41,"",IF(P345="TP","Teórico-Práctica",IF(P345="T","Teórico",IF(P345="P","Práctica",""))))</f>
        <v/>
      </c>
      <c r="AH345" s="234" t="str">
        <f t="shared" si="11"/>
        <v xml:space="preserve"> </v>
      </c>
    </row>
    <row r="346" spans="10:34" x14ac:dyDescent="0.3">
      <c r="J346" s="412"/>
      <c r="K346" s="232"/>
      <c r="L346" s="232"/>
      <c r="M346" s="232"/>
      <c r="N346" s="412"/>
      <c r="P346" s="231"/>
      <c r="Q346" s="412"/>
      <c r="R346" s="425"/>
      <c r="S346" s="442"/>
      <c r="T346" s="283" t="str" cm="1">
        <f t="array" ref="T346">IF($B$9="","",_xlfn.IFS($B$9="PRESENCIAL",_xlfn.XLOOKUP($S346,DATA!$B$4:$B$8,DATA!$D$4:$D$8,"",0,),$B$9="VIRTUAL",_xlfn.XLOOKUP($S346,DATA!$G$4:$G$8,DATA!$I$4:$I$8,"",0),$B$9="DISTANCIA",_xlfn.XLOOKUP($S346,DATA!$L$4:$L$8,DATA!$N$4:$N$8,"",0)))</f>
        <v/>
      </c>
      <c r="U346" s="283" t="str" cm="1">
        <f t="array" ref="U346">IF($B$9="","",_xlfn.IFS($B$9="PRESENCIAL",_xlfn.XLOOKUP($S346,DATA!$B$4:$B$8,DATA!$E$4:$E$8,"",0,),$B$9="VIRTUAL",_xlfn.XLOOKUP($S346,DATA!$G$4:$G$8,DATA!$J$4:$J$8,"",0),$B$9="DISTANCIA",_xlfn.XLOOKUP($S346,DATA!$L$4:$L$8,DATA!$O$4:$O$8,"",0)))</f>
        <v/>
      </c>
      <c r="V346" s="261" t="str">
        <f t="shared" si="10"/>
        <v/>
      </c>
      <c r="W346" s="282"/>
      <c r="X346" s="282"/>
      <c r="Y346" s="282"/>
      <c r="Z346" s="282"/>
      <c r="AA346" s="282"/>
      <c r="AB346" s="284"/>
      <c r="AC346" s="262" t="str">
        <f>IF(AE346="","",COUNTIF($AE$1:AE346,AE346))</f>
        <v/>
      </c>
      <c r="AD346" s="261" t="str">
        <f>IF(J346='PLAN DE ESTUDIO'!$XFD$41,"",IF(AE346="","",AC346&amp;K346&amp;L346&amp;M346))</f>
        <v/>
      </c>
      <c r="AE346" s="261" t="str">
        <f>IF(J346='PLAN DE ESTUDIO'!$XFD$41,"",IF(AF346=1,K346&amp;L346&amp;M346,""))</f>
        <v/>
      </c>
      <c r="AF346" s="261">
        <f>COUNTIF($O$1:O346,$O346)</f>
        <v>0</v>
      </c>
      <c r="AG346" s="285" t="str">
        <f>IF(J346='PLAN DE ESTUDIO'!$XFD$41,"",IF(P346="TP","Teórico-Práctica",IF(P346="T","Teórico",IF(P346="P","Práctica",""))))</f>
        <v/>
      </c>
      <c r="AH346" s="234" t="str">
        <f t="shared" si="11"/>
        <v xml:space="preserve"> </v>
      </c>
    </row>
    <row r="347" spans="10:34" x14ac:dyDescent="0.3">
      <c r="J347" s="412"/>
      <c r="K347" s="232"/>
      <c r="L347" s="232"/>
      <c r="M347" s="232"/>
      <c r="N347" s="412"/>
      <c r="P347" s="231"/>
      <c r="Q347" s="412"/>
      <c r="R347" s="425"/>
      <c r="S347" s="442"/>
      <c r="T347" s="283" t="str" cm="1">
        <f t="array" ref="T347">IF($B$9="","",_xlfn.IFS($B$9="PRESENCIAL",_xlfn.XLOOKUP($S347,DATA!$B$4:$B$8,DATA!$D$4:$D$8,"",0,),$B$9="VIRTUAL",_xlfn.XLOOKUP($S347,DATA!$G$4:$G$8,DATA!$I$4:$I$8,"",0),$B$9="DISTANCIA",_xlfn.XLOOKUP($S347,DATA!$L$4:$L$8,DATA!$N$4:$N$8,"",0)))</f>
        <v/>
      </c>
      <c r="U347" s="283" t="str" cm="1">
        <f t="array" ref="U347">IF($B$9="","",_xlfn.IFS($B$9="PRESENCIAL",_xlfn.XLOOKUP($S347,DATA!$B$4:$B$8,DATA!$E$4:$E$8,"",0,),$B$9="VIRTUAL",_xlfn.XLOOKUP($S347,DATA!$G$4:$G$8,DATA!$J$4:$J$8,"",0),$B$9="DISTANCIA",_xlfn.XLOOKUP($S347,DATA!$L$4:$L$8,DATA!$O$4:$O$8,"",0)))</f>
        <v/>
      </c>
      <c r="V347" s="261" t="str">
        <f t="shared" si="10"/>
        <v/>
      </c>
      <c r="W347" s="282"/>
      <c r="X347" s="282"/>
      <c r="Y347" s="282"/>
      <c r="Z347" s="282"/>
      <c r="AA347" s="282"/>
      <c r="AB347" s="284"/>
      <c r="AC347" s="262" t="str">
        <f>IF(AE347="","",COUNTIF($AE$1:AE347,AE347))</f>
        <v/>
      </c>
      <c r="AD347" s="261" t="str">
        <f>IF(J347='PLAN DE ESTUDIO'!$XFD$41,"",IF(AE347="","",AC347&amp;K347&amp;L347&amp;M347))</f>
        <v/>
      </c>
      <c r="AE347" s="261" t="str">
        <f>IF(J347='PLAN DE ESTUDIO'!$XFD$41,"",IF(AF347=1,K347&amp;L347&amp;M347,""))</f>
        <v/>
      </c>
      <c r="AF347" s="261">
        <f>COUNTIF($O$1:O347,$O347)</f>
        <v>0</v>
      </c>
      <c r="AG347" s="285" t="str">
        <f>IF(J347='PLAN DE ESTUDIO'!$XFD$41,"",IF(P347="TP","Teórico-Práctica",IF(P347="T","Teórico",IF(P347="P","Práctica",""))))</f>
        <v/>
      </c>
      <c r="AH347" s="234" t="str">
        <f t="shared" si="11"/>
        <v xml:space="preserve"> </v>
      </c>
    </row>
    <row r="348" spans="10:34" x14ac:dyDescent="0.3">
      <c r="J348" s="412"/>
      <c r="K348" s="232"/>
      <c r="L348" s="232"/>
      <c r="M348" s="232"/>
      <c r="N348" s="412"/>
      <c r="P348" s="231"/>
      <c r="Q348" s="412"/>
      <c r="R348" s="425"/>
      <c r="S348" s="442"/>
      <c r="T348" s="283" t="str" cm="1">
        <f t="array" ref="T348">IF($B$9="","",_xlfn.IFS($B$9="PRESENCIAL",_xlfn.XLOOKUP($S348,DATA!$B$4:$B$8,DATA!$D$4:$D$8,"",0,),$B$9="VIRTUAL",_xlfn.XLOOKUP($S348,DATA!$G$4:$G$8,DATA!$I$4:$I$8,"",0),$B$9="DISTANCIA",_xlfn.XLOOKUP($S348,DATA!$L$4:$L$8,DATA!$N$4:$N$8,"",0)))</f>
        <v/>
      </c>
      <c r="U348" s="283" t="str" cm="1">
        <f t="array" ref="U348">IF($B$9="","",_xlfn.IFS($B$9="PRESENCIAL",_xlfn.XLOOKUP($S348,DATA!$B$4:$B$8,DATA!$E$4:$E$8,"",0,),$B$9="VIRTUAL",_xlfn.XLOOKUP($S348,DATA!$G$4:$G$8,DATA!$J$4:$J$8,"",0),$B$9="DISTANCIA",_xlfn.XLOOKUP($S348,DATA!$L$4:$L$8,DATA!$O$4:$O$8,"",0)))</f>
        <v/>
      </c>
      <c r="V348" s="261" t="str">
        <f t="shared" si="10"/>
        <v/>
      </c>
      <c r="W348" s="282"/>
      <c r="X348" s="282"/>
      <c r="Y348" s="282"/>
      <c r="Z348" s="282"/>
      <c r="AA348" s="282"/>
      <c r="AB348" s="284"/>
      <c r="AC348" s="262" t="str">
        <f>IF(AE348="","",COUNTIF($AE$1:AE348,AE348))</f>
        <v/>
      </c>
      <c r="AD348" s="261" t="str">
        <f>IF(J348='PLAN DE ESTUDIO'!$XFD$41,"",IF(AE348="","",AC348&amp;K348&amp;L348&amp;M348))</f>
        <v/>
      </c>
      <c r="AE348" s="261" t="str">
        <f>IF(J348='PLAN DE ESTUDIO'!$XFD$41,"",IF(AF348=1,K348&amp;L348&amp;M348,""))</f>
        <v/>
      </c>
      <c r="AF348" s="261">
        <f>COUNTIF($O$1:O348,$O348)</f>
        <v>0</v>
      </c>
      <c r="AG348" s="285" t="str">
        <f>IF(J348='PLAN DE ESTUDIO'!$XFD$41,"",IF(P348="TP","Teórico-Práctica",IF(P348="T","Teórico",IF(P348="P","Práctica",""))))</f>
        <v/>
      </c>
      <c r="AH348" s="234" t="str">
        <f t="shared" si="11"/>
        <v xml:space="preserve"> </v>
      </c>
    </row>
    <row r="349" spans="10:34" x14ac:dyDescent="0.3">
      <c r="J349" s="412"/>
      <c r="K349" s="232"/>
      <c r="L349" s="232"/>
      <c r="M349" s="232"/>
      <c r="N349" s="412"/>
      <c r="P349" s="231"/>
      <c r="Q349" s="412"/>
      <c r="R349" s="425"/>
      <c r="S349" s="442"/>
      <c r="T349" s="283" t="str" cm="1">
        <f t="array" ref="T349">IF($B$9="","",_xlfn.IFS($B$9="PRESENCIAL",_xlfn.XLOOKUP($S349,DATA!$B$4:$B$8,DATA!$D$4:$D$8,"",0,),$B$9="VIRTUAL",_xlfn.XLOOKUP($S349,DATA!$G$4:$G$8,DATA!$I$4:$I$8,"",0),$B$9="DISTANCIA",_xlfn.XLOOKUP($S349,DATA!$L$4:$L$8,DATA!$N$4:$N$8,"",0)))</f>
        <v/>
      </c>
      <c r="U349" s="283" t="str" cm="1">
        <f t="array" ref="U349">IF($B$9="","",_xlfn.IFS($B$9="PRESENCIAL",_xlfn.XLOOKUP($S349,DATA!$B$4:$B$8,DATA!$E$4:$E$8,"",0,),$B$9="VIRTUAL",_xlfn.XLOOKUP($S349,DATA!$G$4:$G$8,DATA!$J$4:$J$8,"",0),$B$9="DISTANCIA",_xlfn.XLOOKUP($S349,DATA!$L$4:$L$8,DATA!$O$4:$O$8,"",0)))</f>
        <v/>
      </c>
      <c r="V349" s="261" t="str">
        <f t="shared" si="10"/>
        <v/>
      </c>
      <c r="W349" s="282"/>
      <c r="X349" s="282"/>
      <c r="Y349" s="282"/>
      <c r="Z349" s="282"/>
      <c r="AA349" s="282"/>
      <c r="AB349" s="284"/>
      <c r="AC349" s="262" t="str">
        <f>IF(AE349="","",COUNTIF($AE$1:AE349,AE349))</f>
        <v/>
      </c>
      <c r="AD349" s="261" t="str">
        <f>IF(J349='PLAN DE ESTUDIO'!$XFD$41,"",IF(AE349="","",AC349&amp;K349&amp;L349&amp;M349))</f>
        <v/>
      </c>
      <c r="AE349" s="261" t="str">
        <f>IF(J349='PLAN DE ESTUDIO'!$XFD$41,"",IF(AF349=1,K349&amp;L349&amp;M349,""))</f>
        <v/>
      </c>
      <c r="AF349" s="261">
        <f>COUNTIF($O$1:O349,$O349)</f>
        <v>0</v>
      </c>
      <c r="AG349" s="285" t="str">
        <f>IF(J349='PLAN DE ESTUDIO'!$XFD$41,"",IF(P349="TP","Teórico-Práctica",IF(P349="T","Teórico",IF(P349="P","Práctica",""))))</f>
        <v/>
      </c>
      <c r="AH349" s="234" t="str">
        <f t="shared" si="11"/>
        <v xml:space="preserve"> </v>
      </c>
    </row>
    <row r="350" spans="10:34" x14ac:dyDescent="0.3">
      <c r="J350" s="412"/>
      <c r="K350" s="232"/>
      <c r="L350" s="232"/>
      <c r="M350" s="232"/>
      <c r="N350" s="412"/>
      <c r="P350" s="231"/>
      <c r="Q350" s="412"/>
      <c r="R350" s="425"/>
      <c r="S350" s="442"/>
      <c r="T350" s="283" t="str" cm="1">
        <f t="array" ref="T350">IF($B$9="","",_xlfn.IFS($B$9="PRESENCIAL",_xlfn.XLOOKUP($S350,DATA!$B$4:$B$8,DATA!$D$4:$D$8,"",0,),$B$9="VIRTUAL",_xlfn.XLOOKUP($S350,DATA!$G$4:$G$8,DATA!$I$4:$I$8,"",0),$B$9="DISTANCIA",_xlfn.XLOOKUP($S350,DATA!$L$4:$L$8,DATA!$N$4:$N$8,"",0)))</f>
        <v/>
      </c>
      <c r="U350" s="283" t="str" cm="1">
        <f t="array" ref="U350">IF($B$9="","",_xlfn.IFS($B$9="PRESENCIAL",_xlfn.XLOOKUP($S350,DATA!$B$4:$B$8,DATA!$E$4:$E$8,"",0,),$B$9="VIRTUAL",_xlfn.XLOOKUP($S350,DATA!$G$4:$G$8,DATA!$J$4:$J$8,"",0),$B$9="DISTANCIA",_xlfn.XLOOKUP($S350,DATA!$L$4:$L$8,DATA!$O$4:$O$8,"",0)))</f>
        <v/>
      </c>
      <c r="V350" s="261" t="str">
        <f t="shared" si="10"/>
        <v/>
      </c>
      <c r="W350" s="282"/>
      <c r="X350" s="282"/>
      <c r="Y350" s="282"/>
      <c r="Z350" s="282"/>
      <c r="AA350" s="282"/>
      <c r="AB350" s="284"/>
      <c r="AC350" s="262" t="str">
        <f>IF(AE350="","",COUNTIF($AE$1:AE350,AE350))</f>
        <v/>
      </c>
      <c r="AD350" s="261" t="str">
        <f>IF(J350='PLAN DE ESTUDIO'!$XFD$41,"",IF(AE350="","",AC350&amp;K350&amp;L350&amp;M350))</f>
        <v/>
      </c>
      <c r="AE350" s="261" t="str">
        <f>IF(J350='PLAN DE ESTUDIO'!$XFD$41,"",IF(AF350=1,K350&amp;L350&amp;M350,""))</f>
        <v/>
      </c>
      <c r="AF350" s="261">
        <f>COUNTIF($O$1:O350,$O350)</f>
        <v>0</v>
      </c>
      <c r="AG350" s="285" t="str">
        <f>IF(J350='PLAN DE ESTUDIO'!$XFD$41,"",IF(P350="TP","Teórico-Práctica",IF(P350="T","Teórico",IF(P350="P","Práctica",""))))</f>
        <v/>
      </c>
      <c r="AH350" s="234" t="str">
        <f t="shared" si="11"/>
        <v xml:space="preserve"> </v>
      </c>
    </row>
    <row r="351" spans="10:34" x14ac:dyDescent="0.3">
      <c r="J351" s="412"/>
      <c r="K351" s="232"/>
      <c r="L351" s="232"/>
      <c r="M351" s="232"/>
      <c r="N351" s="412"/>
      <c r="P351" s="231"/>
      <c r="Q351" s="412"/>
      <c r="R351" s="425"/>
      <c r="S351" s="442"/>
      <c r="T351" s="283" t="str" cm="1">
        <f t="array" ref="T351">IF($B$9="","",_xlfn.IFS($B$9="PRESENCIAL",_xlfn.XLOOKUP($S351,DATA!$B$4:$B$8,DATA!$D$4:$D$8,"",0,),$B$9="VIRTUAL",_xlfn.XLOOKUP($S351,DATA!$G$4:$G$8,DATA!$I$4:$I$8,"",0),$B$9="DISTANCIA",_xlfn.XLOOKUP($S351,DATA!$L$4:$L$8,DATA!$N$4:$N$8,"",0)))</f>
        <v/>
      </c>
      <c r="U351" s="283" t="str" cm="1">
        <f t="array" ref="U351">IF($B$9="","",_xlfn.IFS($B$9="PRESENCIAL",_xlfn.XLOOKUP($S351,DATA!$B$4:$B$8,DATA!$E$4:$E$8,"",0,),$B$9="VIRTUAL",_xlfn.XLOOKUP($S351,DATA!$G$4:$G$8,DATA!$J$4:$J$8,"",0),$B$9="DISTANCIA",_xlfn.XLOOKUP($S351,DATA!$L$4:$L$8,DATA!$O$4:$O$8,"",0)))</f>
        <v/>
      </c>
      <c r="V351" s="261" t="str">
        <f t="shared" si="10"/>
        <v/>
      </c>
      <c r="W351" s="282"/>
      <c r="X351" s="282"/>
      <c r="Y351" s="282"/>
      <c r="Z351" s="282"/>
      <c r="AA351" s="282"/>
      <c r="AB351" s="284"/>
      <c r="AC351" s="262" t="str">
        <f>IF(AE351="","",COUNTIF($AE$1:AE351,AE351))</f>
        <v/>
      </c>
      <c r="AD351" s="261" t="str">
        <f>IF(J351='PLAN DE ESTUDIO'!$XFD$41,"",IF(AE351="","",AC351&amp;K351&amp;L351&amp;M351))</f>
        <v/>
      </c>
      <c r="AE351" s="261" t="str">
        <f>IF(J351='PLAN DE ESTUDIO'!$XFD$41,"",IF(AF351=1,K351&amp;L351&amp;M351,""))</f>
        <v/>
      </c>
      <c r="AF351" s="261">
        <f>COUNTIF($O$1:O351,$O351)</f>
        <v>0</v>
      </c>
      <c r="AG351" s="285" t="str">
        <f>IF(J351='PLAN DE ESTUDIO'!$XFD$41,"",IF(P351="TP","Teórico-Práctica",IF(P351="T","Teórico",IF(P351="P","Práctica",""))))</f>
        <v/>
      </c>
      <c r="AH351" s="234" t="str">
        <f t="shared" si="11"/>
        <v xml:space="preserve"> </v>
      </c>
    </row>
    <row r="352" spans="10:34" x14ac:dyDescent="0.3">
      <c r="J352" s="412"/>
      <c r="K352" s="232"/>
      <c r="L352" s="232"/>
      <c r="M352" s="232"/>
      <c r="N352" s="412"/>
      <c r="P352" s="231"/>
      <c r="Q352" s="412"/>
      <c r="R352" s="425"/>
      <c r="S352" s="442"/>
      <c r="T352" s="283" t="str" cm="1">
        <f t="array" ref="T352">IF($B$9="","",_xlfn.IFS($B$9="PRESENCIAL",_xlfn.XLOOKUP($S352,DATA!$B$4:$B$8,DATA!$D$4:$D$8,"",0,),$B$9="VIRTUAL",_xlfn.XLOOKUP($S352,DATA!$G$4:$G$8,DATA!$I$4:$I$8,"",0),$B$9="DISTANCIA",_xlfn.XLOOKUP($S352,DATA!$L$4:$L$8,DATA!$N$4:$N$8,"",0)))</f>
        <v/>
      </c>
      <c r="U352" s="283" t="str" cm="1">
        <f t="array" ref="U352">IF($B$9="","",_xlfn.IFS($B$9="PRESENCIAL",_xlfn.XLOOKUP($S352,DATA!$B$4:$B$8,DATA!$E$4:$E$8,"",0,),$B$9="VIRTUAL",_xlfn.XLOOKUP($S352,DATA!$G$4:$G$8,DATA!$J$4:$J$8,"",0),$B$9="DISTANCIA",_xlfn.XLOOKUP($S352,DATA!$L$4:$L$8,DATA!$O$4:$O$8,"",0)))</f>
        <v/>
      </c>
      <c r="V352" s="261" t="str">
        <f t="shared" si="10"/>
        <v/>
      </c>
      <c r="W352" s="282"/>
      <c r="X352" s="282"/>
      <c r="Y352" s="282"/>
      <c r="Z352" s="282"/>
      <c r="AA352" s="282"/>
      <c r="AB352" s="284"/>
      <c r="AC352" s="262" t="str">
        <f>IF(AE352="","",COUNTIF($AE$1:AE352,AE352))</f>
        <v/>
      </c>
      <c r="AD352" s="261" t="str">
        <f>IF(J352='PLAN DE ESTUDIO'!$XFD$41,"",IF(AE352="","",AC352&amp;K352&amp;L352&amp;M352))</f>
        <v/>
      </c>
      <c r="AE352" s="261" t="str">
        <f>IF(J352='PLAN DE ESTUDIO'!$XFD$41,"",IF(AF352=1,K352&amp;L352&amp;M352,""))</f>
        <v/>
      </c>
      <c r="AF352" s="261">
        <f>COUNTIF($O$1:O352,$O352)</f>
        <v>0</v>
      </c>
      <c r="AG352" s="285" t="str">
        <f>IF(J352='PLAN DE ESTUDIO'!$XFD$41,"",IF(P352="TP","Teórico-Práctica",IF(P352="T","Teórico",IF(P352="P","Práctica",""))))</f>
        <v/>
      </c>
      <c r="AH352" s="234" t="str">
        <f t="shared" si="11"/>
        <v xml:space="preserve"> </v>
      </c>
    </row>
    <row r="353" spans="10:34" x14ac:dyDescent="0.3">
      <c r="J353" s="412"/>
      <c r="K353" s="232"/>
      <c r="L353" s="232"/>
      <c r="M353" s="232"/>
      <c r="N353" s="412"/>
      <c r="P353" s="231"/>
      <c r="Q353" s="412"/>
      <c r="R353" s="425"/>
      <c r="S353" s="442"/>
      <c r="T353" s="283" t="str" cm="1">
        <f t="array" ref="T353">IF($B$9="","",_xlfn.IFS($B$9="PRESENCIAL",_xlfn.XLOOKUP($S353,DATA!$B$4:$B$8,DATA!$D$4:$D$8,"",0,),$B$9="VIRTUAL",_xlfn.XLOOKUP($S353,DATA!$G$4:$G$8,DATA!$I$4:$I$8,"",0),$B$9="DISTANCIA",_xlfn.XLOOKUP($S353,DATA!$L$4:$L$8,DATA!$N$4:$N$8,"",0)))</f>
        <v/>
      </c>
      <c r="U353" s="283" t="str" cm="1">
        <f t="array" ref="U353">IF($B$9="","",_xlfn.IFS($B$9="PRESENCIAL",_xlfn.XLOOKUP($S353,DATA!$B$4:$B$8,DATA!$E$4:$E$8,"",0,),$B$9="VIRTUAL",_xlfn.XLOOKUP($S353,DATA!$G$4:$G$8,DATA!$J$4:$J$8,"",0),$B$9="DISTANCIA",_xlfn.XLOOKUP($S353,DATA!$L$4:$L$8,DATA!$O$4:$O$8,"",0)))</f>
        <v/>
      </c>
      <c r="V353" s="261" t="str">
        <f t="shared" si="10"/>
        <v/>
      </c>
      <c r="W353" s="282"/>
      <c r="X353" s="282"/>
      <c r="Y353" s="282"/>
      <c r="Z353" s="282"/>
      <c r="AA353" s="282"/>
      <c r="AB353" s="284"/>
      <c r="AC353" s="262" t="str">
        <f>IF(AE353="","",COUNTIF($AE$1:AE353,AE353))</f>
        <v/>
      </c>
      <c r="AD353" s="261" t="str">
        <f>IF(J353='PLAN DE ESTUDIO'!$XFD$41,"",IF(AE353="","",AC353&amp;K353&amp;L353&amp;M353))</f>
        <v/>
      </c>
      <c r="AE353" s="261" t="str">
        <f>IF(J353='PLAN DE ESTUDIO'!$XFD$41,"",IF(AF353=1,K353&amp;L353&amp;M353,""))</f>
        <v/>
      </c>
      <c r="AF353" s="261">
        <f>COUNTIF($O$1:O353,$O353)</f>
        <v>0</v>
      </c>
      <c r="AG353" s="285" t="str">
        <f>IF(J353='PLAN DE ESTUDIO'!$XFD$41,"",IF(P353="TP","Teórico-Práctica",IF(P353="T","Teórico",IF(P353="P","Práctica",""))))</f>
        <v/>
      </c>
      <c r="AH353" s="234" t="str">
        <f t="shared" si="11"/>
        <v xml:space="preserve"> </v>
      </c>
    </row>
    <row r="354" spans="10:34" x14ac:dyDescent="0.3">
      <c r="J354" s="412"/>
      <c r="K354" s="232"/>
      <c r="L354" s="232"/>
      <c r="M354" s="232"/>
      <c r="N354" s="412"/>
      <c r="P354" s="231"/>
      <c r="Q354" s="412"/>
      <c r="R354" s="425"/>
      <c r="S354" s="442"/>
      <c r="T354" s="283" t="str" cm="1">
        <f t="array" ref="T354">IF($B$9="","",_xlfn.IFS($B$9="PRESENCIAL",_xlfn.XLOOKUP($S354,DATA!$B$4:$B$8,DATA!$D$4:$D$8,"",0,),$B$9="VIRTUAL",_xlfn.XLOOKUP($S354,DATA!$G$4:$G$8,DATA!$I$4:$I$8,"",0),$B$9="DISTANCIA",_xlfn.XLOOKUP($S354,DATA!$L$4:$L$8,DATA!$N$4:$N$8,"",0)))</f>
        <v/>
      </c>
      <c r="U354" s="283" t="str" cm="1">
        <f t="array" ref="U354">IF($B$9="","",_xlfn.IFS($B$9="PRESENCIAL",_xlfn.XLOOKUP($S354,DATA!$B$4:$B$8,DATA!$E$4:$E$8,"",0,),$B$9="VIRTUAL",_xlfn.XLOOKUP($S354,DATA!$G$4:$G$8,DATA!$J$4:$J$8,"",0),$B$9="DISTANCIA",_xlfn.XLOOKUP($S354,DATA!$L$4:$L$8,DATA!$O$4:$O$8,"",0)))</f>
        <v/>
      </c>
      <c r="V354" s="261" t="str">
        <f t="shared" si="10"/>
        <v/>
      </c>
      <c r="W354" s="282"/>
      <c r="X354" s="282"/>
      <c r="Y354" s="282"/>
      <c r="Z354" s="282"/>
      <c r="AA354" s="282"/>
      <c r="AB354" s="284"/>
      <c r="AC354" s="262" t="str">
        <f>IF(AE354="","",COUNTIF($AE$1:AE354,AE354))</f>
        <v/>
      </c>
      <c r="AD354" s="261" t="str">
        <f>IF(J354='PLAN DE ESTUDIO'!$XFD$41,"",IF(AE354="","",AC354&amp;K354&amp;L354&amp;M354))</f>
        <v/>
      </c>
      <c r="AE354" s="261" t="str">
        <f>IF(J354='PLAN DE ESTUDIO'!$XFD$41,"",IF(AF354=1,K354&amp;L354&amp;M354,""))</f>
        <v/>
      </c>
      <c r="AF354" s="261">
        <f>COUNTIF($O$1:O354,$O354)</f>
        <v>0</v>
      </c>
      <c r="AG354" s="285" t="str">
        <f>IF(J354='PLAN DE ESTUDIO'!$XFD$41,"",IF(P354="TP","Teórico-Práctica",IF(P354="T","Teórico",IF(P354="P","Práctica",""))))</f>
        <v/>
      </c>
      <c r="AH354" s="234" t="str">
        <f t="shared" si="11"/>
        <v xml:space="preserve"> </v>
      </c>
    </row>
    <row r="355" spans="10:34" x14ac:dyDescent="0.3">
      <c r="J355" s="412"/>
      <c r="K355" s="232"/>
      <c r="L355" s="232"/>
      <c r="M355" s="232"/>
      <c r="N355" s="412"/>
      <c r="P355" s="231"/>
      <c r="Q355" s="412"/>
      <c r="R355" s="425"/>
      <c r="S355" s="442"/>
      <c r="T355" s="283" t="str" cm="1">
        <f t="array" ref="T355">IF($B$9="","",_xlfn.IFS($B$9="PRESENCIAL",_xlfn.XLOOKUP($S355,DATA!$B$4:$B$8,DATA!$D$4:$D$8,"",0,),$B$9="VIRTUAL",_xlfn.XLOOKUP($S355,DATA!$G$4:$G$8,DATA!$I$4:$I$8,"",0),$B$9="DISTANCIA",_xlfn.XLOOKUP($S355,DATA!$L$4:$L$8,DATA!$N$4:$N$8,"",0)))</f>
        <v/>
      </c>
      <c r="U355" s="283" t="str" cm="1">
        <f t="array" ref="U355">IF($B$9="","",_xlfn.IFS($B$9="PRESENCIAL",_xlfn.XLOOKUP($S355,DATA!$B$4:$B$8,DATA!$E$4:$E$8,"",0,),$B$9="VIRTUAL",_xlfn.XLOOKUP($S355,DATA!$G$4:$G$8,DATA!$J$4:$J$8,"",0),$B$9="DISTANCIA",_xlfn.XLOOKUP($S355,DATA!$L$4:$L$8,DATA!$O$4:$O$8,"",0)))</f>
        <v/>
      </c>
      <c r="V355" s="261" t="str">
        <f t="shared" si="10"/>
        <v/>
      </c>
      <c r="W355" s="282"/>
      <c r="X355" s="282"/>
      <c r="Y355" s="282"/>
      <c r="Z355" s="282"/>
      <c r="AA355" s="282"/>
      <c r="AB355" s="284"/>
      <c r="AC355" s="262" t="str">
        <f>IF(AE355="","",COUNTIF($AE$1:AE355,AE355))</f>
        <v/>
      </c>
      <c r="AD355" s="261" t="str">
        <f>IF(J355='PLAN DE ESTUDIO'!$XFD$41,"",IF(AE355="","",AC355&amp;K355&amp;L355&amp;M355))</f>
        <v/>
      </c>
      <c r="AE355" s="261" t="str">
        <f>IF(J355='PLAN DE ESTUDIO'!$XFD$41,"",IF(AF355=1,K355&amp;L355&amp;M355,""))</f>
        <v/>
      </c>
      <c r="AF355" s="261">
        <f>COUNTIF($O$1:O355,$O355)</f>
        <v>0</v>
      </c>
      <c r="AG355" s="285" t="str">
        <f>IF(J355='PLAN DE ESTUDIO'!$XFD$41,"",IF(P355="TP","Teórico-Práctica",IF(P355="T","Teórico",IF(P355="P","Práctica",""))))</f>
        <v/>
      </c>
      <c r="AH355" s="234" t="str">
        <f t="shared" si="11"/>
        <v xml:space="preserve"> </v>
      </c>
    </row>
    <row r="356" spans="10:34" x14ac:dyDescent="0.3">
      <c r="J356" s="412"/>
      <c r="K356" s="232"/>
      <c r="L356" s="232"/>
      <c r="M356" s="232"/>
      <c r="N356" s="412"/>
      <c r="P356" s="231"/>
      <c r="Q356" s="412"/>
      <c r="R356" s="425"/>
      <c r="S356" s="442"/>
      <c r="T356" s="283" t="str" cm="1">
        <f t="array" ref="T356">IF($B$9="","",_xlfn.IFS($B$9="PRESENCIAL",_xlfn.XLOOKUP($S356,DATA!$B$4:$B$8,DATA!$D$4:$D$8,"",0,),$B$9="VIRTUAL",_xlfn.XLOOKUP($S356,DATA!$G$4:$G$8,DATA!$I$4:$I$8,"",0),$B$9="DISTANCIA",_xlfn.XLOOKUP($S356,DATA!$L$4:$L$8,DATA!$N$4:$N$8,"",0)))</f>
        <v/>
      </c>
      <c r="U356" s="283" t="str" cm="1">
        <f t="array" ref="U356">IF($B$9="","",_xlfn.IFS($B$9="PRESENCIAL",_xlfn.XLOOKUP($S356,DATA!$B$4:$B$8,DATA!$E$4:$E$8,"",0,),$B$9="VIRTUAL",_xlfn.XLOOKUP($S356,DATA!$G$4:$G$8,DATA!$J$4:$J$8,"",0),$B$9="DISTANCIA",_xlfn.XLOOKUP($S356,DATA!$L$4:$L$8,DATA!$O$4:$O$8,"",0)))</f>
        <v/>
      </c>
      <c r="V356" s="261" t="str">
        <f t="shared" si="10"/>
        <v/>
      </c>
      <c r="W356" s="282"/>
      <c r="X356" s="282"/>
      <c r="Y356" s="282"/>
      <c r="Z356" s="282"/>
      <c r="AA356" s="282"/>
      <c r="AB356" s="284"/>
      <c r="AC356" s="262" t="str">
        <f>IF(AE356="","",COUNTIF($AE$1:AE356,AE356))</f>
        <v/>
      </c>
      <c r="AD356" s="261" t="str">
        <f>IF(J356='PLAN DE ESTUDIO'!$XFD$41,"",IF(AE356="","",AC356&amp;K356&amp;L356&amp;M356))</f>
        <v/>
      </c>
      <c r="AE356" s="261" t="str">
        <f>IF(J356='PLAN DE ESTUDIO'!$XFD$41,"",IF(AF356=1,K356&amp;L356&amp;M356,""))</f>
        <v/>
      </c>
      <c r="AF356" s="261">
        <f>COUNTIF($O$1:O356,$O356)</f>
        <v>0</v>
      </c>
      <c r="AG356" s="285" t="str">
        <f>IF(J356='PLAN DE ESTUDIO'!$XFD$41,"",IF(P356="TP","Teórico-Práctica",IF(P356="T","Teórico",IF(P356="P","Práctica",""))))</f>
        <v/>
      </c>
      <c r="AH356" s="234" t="str">
        <f t="shared" si="11"/>
        <v xml:space="preserve"> </v>
      </c>
    </row>
    <row r="357" spans="10:34" x14ac:dyDescent="0.3">
      <c r="J357" s="412"/>
      <c r="K357" s="232"/>
      <c r="L357" s="232"/>
      <c r="M357" s="232"/>
      <c r="N357" s="412"/>
      <c r="P357" s="231"/>
      <c r="Q357" s="412"/>
      <c r="R357" s="425"/>
      <c r="S357" s="442"/>
      <c r="T357" s="283" t="str" cm="1">
        <f t="array" ref="T357">IF($B$9="","",_xlfn.IFS($B$9="PRESENCIAL",_xlfn.XLOOKUP($S357,DATA!$B$4:$B$8,DATA!$D$4:$D$8,"",0,),$B$9="VIRTUAL",_xlfn.XLOOKUP($S357,DATA!$G$4:$G$8,DATA!$I$4:$I$8,"",0),$B$9="DISTANCIA",_xlfn.XLOOKUP($S357,DATA!$L$4:$L$8,DATA!$N$4:$N$8,"",0)))</f>
        <v/>
      </c>
      <c r="U357" s="283" t="str" cm="1">
        <f t="array" ref="U357">IF($B$9="","",_xlfn.IFS($B$9="PRESENCIAL",_xlfn.XLOOKUP($S357,DATA!$B$4:$B$8,DATA!$E$4:$E$8,"",0,),$B$9="VIRTUAL",_xlfn.XLOOKUP($S357,DATA!$G$4:$G$8,DATA!$J$4:$J$8,"",0),$B$9="DISTANCIA",_xlfn.XLOOKUP($S357,DATA!$L$4:$L$8,DATA!$O$4:$O$8,"",0)))</f>
        <v/>
      </c>
      <c r="V357" s="261" t="str">
        <f t="shared" si="10"/>
        <v/>
      </c>
      <c r="W357" s="282"/>
      <c r="X357" s="282"/>
      <c r="Y357" s="282"/>
      <c r="Z357" s="282"/>
      <c r="AA357" s="282"/>
      <c r="AB357" s="284"/>
      <c r="AC357" s="262" t="str">
        <f>IF(AE357="","",COUNTIF($AE$1:AE357,AE357))</f>
        <v/>
      </c>
      <c r="AD357" s="261" t="str">
        <f>IF(J357='PLAN DE ESTUDIO'!$XFD$41,"",IF(AE357="","",AC357&amp;K357&amp;L357&amp;M357))</f>
        <v/>
      </c>
      <c r="AE357" s="261" t="str">
        <f>IF(J357='PLAN DE ESTUDIO'!$XFD$41,"",IF(AF357=1,K357&amp;L357&amp;M357,""))</f>
        <v/>
      </c>
      <c r="AF357" s="261">
        <f>COUNTIF($O$1:O357,$O357)</f>
        <v>0</v>
      </c>
      <c r="AG357" s="285" t="str">
        <f>IF(J357='PLAN DE ESTUDIO'!$XFD$41,"",IF(P357="TP","Teórico-Práctica",IF(P357="T","Teórico",IF(P357="P","Práctica",""))))</f>
        <v/>
      </c>
      <c r="AH357" s="234" t="str">
        <f t="shared" si="11"/>
        <v xml:space="preserve"> </v>
      </c>
    </row>
    <row r="358" spans="10:34" x14ac:dyDescent="0.3">
      <c r="J358" s="412"/>
      <c r="K358" s="232"/>
      <c r="L358" s="232"/>
      <c r="M358" s="232"/>
      <c r="N358" s="412"/>
      <c r="P358" s="231"/>
      <c r="Q358" s="412"/>
      <c r="R358" s="425"/>
      <c r="S358" s="442"/>
      <c r="T358" s="283" t="str" cm="1">
        <f t="array" ref="T358">IF($B$9="","",_xlfn.IFS($B$9="PRESENCIAL",_xlfn.XLOOKUP($S358,DATA!$B$4:$B$8,DATA!$D$4:$D$8,"",0,),$B$9="VIRTUAL",_xlfn.XLOOKUP($S358,DATA!$G$4:$G$8,DATA!$I$4:$I$8,"",0),$B$9="DISTANCIA",_xlfn.XLOOKUP($S358,DATA!$L$4:$L$8,DATA!$N$4:$N$8,"",0)))</f>
        <v/>
      </c>
      <c r="U358" s="283" t="str" cm="1">
        <f t="array" ref="U358">IF($B$9="","",_xlfn.IFS($B$9="PRESENCIAL",_xlfn.XLOOKUP($S358,DATA!$B$4:$B$8,DATA!$E$4:$E$8,"",0,),$B$9="VIRTUAL",_xlfn.XLOOKUP($S358,DATA!$G$4:$G$8,DATA!$J$4:$J$8,"",0),$B$9="DISTANCIA",_xlfn.XLOOKUP($S358,DATA!$L$4:$L$8,DATA!$O$4:$O$8,"",0)))</f>
        <v/>
      </c>
      <c r="V358" s="261" t="str">
        <f t="shared" si="10"/>
        <v/>
      </c>
      <c r="W358" s="282"/>
      <c r="X358" s="282"/>
      <c r="Y358" s="282"/>
      <c r="Z358" s="282"/>
      <c r="AA358" s="282"/>
      <c r="AB358" s="284"/>
      <c r="AC358" s="262" t="str">
        <f>IF(AE358="","",COUNTIF($AE$1:AE358,AE358))</f>
        <v/>
      </c>
      <c r="AD358" s="261" t="str">
        <f>IF(J358='PLAN DE ESTUDIO'!$XFD$41,"",IF(AE358="","",AC358&amp;K358&amp;L358&amp;M358))</f>
        <v/>
      </c>
      <c r="AE358" s="261" t="str">
        <f>IF(J358='PLAN DE ESTUDIO'!$XFD$41,"",IF(AF358=1,K358&amp;L358&amp;M358,""))</f>
        <v/>
      </c>
      <c r="AF358" s="261">
        <f>COUNTIF($O$1:O358,$O358)</f>
        <v>0</v>
      </c>
      <c r="AG358" s="285" t="str">
        <f>IF(J358='PLAN DE ESTUDIO'!$XFD$41,"",IF(P358="TP","Teórico-Práctica",IF(P358="T","Teórico",IF(P358="P","Práctica",""))))</f>
        <v/>
      </c>
      <c r="AH358" s="234" t="str">
        <f t="shared" si="11"/>
        <v xml:space="preserve"> </v>
      </c>
    </row>
    <row r="359" spans="10:34" x14ac:dyDescent="0.3">
      <c r="J359" s="412"/>
      <c r="K359" s="232"/>
      <c r="L359" s="232"/>
      <c r="M359" s="232"/>
      <c r="N359" s="412"/>
      <c r="P359" s="231"/>
      <c r="Q359" s="412"/>
      <c r="R359" s="425"/>
      <c r="S359" s="442"/>
      <c r="T359" s="283" t="str" cm="1">
        <f t="array" ref="T359">IF($B$9="","",_xlfn.IFS($B$9="PRESENCIAL",_xlfn.XLOOKUP($S359,DATA!$B$4:$B$8,DATA!$D$4:$D$8,"",0,),$B$9="VIRTUAL",_xlfn.XLOOKUP($S359,DATA!$G$4:$G$8,DATA!$I$4:$I$8,"",0),$B$9="DISTANCIA",_xlfn.XLOOKUP($S359,DATA!$L$4:$L$8,DATA!$N$4:$N$8,"",0)))</f>
        <v/>
      </c>
      <c r="U359" s="283" t="str" cm="1">
        <f t="array" ref="U359">IF($B$9="","",_xlfn.IFS($B$9="PRESENCIAL",_xlfn.XLOOKUP($S359,DATA!$B$4:$B$8,DATA!$E$4:$E$8,"",0,),$B$9="VIRTUAL",_xlfn.XLOOKUP($S359,DATA!$G$4:$G$8,DATA!$J$4:$J$8,"",0),$B$9="DISTANCIA",_xlfn.XLOOKUP($S359,DATA!$L$4:$L$8,DATA!$O$4:$O$8,"",0)))</f>
        <v/>
      </c>
      <c r="V359" s="261" t="str">
        <f t="shared" si="10"/>
        <v/>
      </c>
      <c r="W359" s="282"/>
      <c r="X359" s="282"/>
      <c r="Y359" s="282"/>
      <c r="Z359" s="282"/>
      <c r="AA359" s="282"/>
      <c r="AB359" s="284"/>
      <c r="AC359" s="262" t="str">
        <f>IF(AE359="","",COUNTIF($AE$1:AE359,AE359))</f>
        <v/>
      </c>
      <c r="AD359" s="261" t="str">
        <f>IF(J359='PLAN DE ESTUDIO'!$XFD$41,"",IF(AE359="","",AC359&amp;K359&amp;L359&amp;M359))</f>
        <v/>
      </c>
      <c r="AE359" s="261" t="str">
        <f>IF(J359='PLAN DE ESTUDIO'!$XFD$41,"",IF(AF359=1,K359&amp;L359&amp;M359,""))</f>
        <v/>
      </c>
      <c r="AF359" s="261">
        <f>COUNTIF($O$1:O359,$O359)</f>
        <v>0</v>
      </c>
      <c r="AG359" s="285" t="str">
        <f>IF(J359='PLAN DE ESTUDIO'!$XFD$41,"",IF(P359="TP","Teórico-Práctica",IF(P359="T","Teórico",IF(P359="P","Práctica",""))))</f>
        <v/>
      </c>
      <c r="AH359" s="234" t="str">
        <f t="shared" si="11"/>
        <v xml:space="preserve"> </v>
      </c>
    </row>
    <row r="360" spans="10:34" x14ac:dyDescent="0.3">
      <c r="J360" s="412"/>
      <c r="K360" s="232"/>
      <c r="L360" s="232"/>
      <c r="M360" s="232"/>
      <c r="N360" s="412"/>
      <c r="P360" s="231"/>
      <c r="Q360" s="412"/>
      <c r="R360" s="425"/>
      <c r="S360" s="442"/>
      <c r="T360" s="283" t="str" cm="1">
        <f t="array" ref="T360">IF($B$9="","",_xlfn.IFS($B$9="PRESENCIAL",_xlfn.XLOOKUP($S360,DATA!$B$4:$B$8,DATA!$D$4:$D$8,"",0,),$B$9="VIRTUAL",_xlfn.XLOOKUP($S360,DATA!$G$4:$G$8,DATA!$I$4:$I$8,"",0),$B$9="DISTANCIA",_xlfn.XLOOKUP($S360,DATA!$L$4:$L$8,DATA!$N$4:$N$8,"",0)))</f>
        <v/>
      </c>
      <c r="U360" s="283" t="str" cm="1">
        <f t="array" ref="U360">IF($B$9="","",_xlfn.IFS($B$9="PRESENCIAL",_xlfn.XLOOKUP($S360,DATA!$B$4:$B$8,DATA!$E$4:$E$8,"",0,),$B$9="VIRTUAL",_xlfn.XLOOKUP($S360,DATA!$G$4:$G$8,DATA!$J$4:$J$8,"",0),$B$9="DISTANCIA",_xlfn.XLOOKUP($S360,DATA!$L$4:$L$8,DATA!$O$4:$O$8,"",0)))</f>
        <v/>
      </c>
      <c r="V360" s="261" t="str">
        <f t="shared" ref="V360:V423" si="12">IF($U360="","",T360+U360)</f>
        <v/>
      </c>
      <c r="W360" s="282"/>
      <c r="X360" s="282"/>
      <c r="Y360" s="282"/>
      <c r="Z360" s="282"/>
      <c r="AA360" s="282"/>
      <c r="AB360" s="284"/>
      <c r="AC360" s="262" t="str">
        <f>IF(AE360="","",COUNTIF($AE$1:AE360,AE360))</f>
        <v/>
      </c>
      <c r="AD360" s="261" t="str">
        <f>IF(J360='PLAN DE ESTUDIO'!$XFD$41,"",IF(AE360="","",AC360&amp;K360&amp;L360&amp;M360))</f>
        <v/>
      </c>
      <c r="AE360" s="261" t="str">
        <f>IF(J360='PLAN DE ESTUDIO'!$XFD$41,"",IF(AF360=1,K360&amp;L360&amp;M360,""))</f>
        <v/>
      </c>
      <c r="AF360" s="261">
        <f>COUNTIF($O$1:O360,$O360)</f>
        <v>0</v>
      </c>
      <c r="AG360" s="285" t="str">
        <f>IF(J360='PLAN DE ESTUDIO'!$XFD$41,"",IF(P360="TP","Teórico-Práctica",IF(P360="T","Teórico",IF(P360="P","Práctica",""))))</f>
        <v/>
      </c>
      <c r="AH360" s="234" t="str">
        <f t="shared" ref="AH360:AH423" si="13">IF(AC360&lt;&gt;1," ",S360)</f>
        <v xml:space="preserve"> </v>
      </c>
    </row>
    <row r="361" spans="10:34" x14ac:dyDescent="0.3">
      <c r="J361" s="412"/>
      <c r="K361" s="232"/>
      <c r="L361" s="232"/>
      <c r="M361" s="232"/>
      <c r="N361" s="412"/>
      <c r="P361" s="231"/>
      <c r="Q361" s="412"/>
      <c r="R361" s="425"/>
      <c r="S361" s="442"/>
      <c r="T361" s="283" t="str" cm="1">
        <f t="array" ref="T361">IF($B$9="","",_xlfn.IFS($B$9="PRESENCIAL",_xlfn.XLOOKUP($S361,DATA!$B$4:$B$8,DATA!$D$4:$D$8,"",0,),$B$9="VIRTUAL",_xlfn.XLOOKUP($S361,DATA!$G$4:$G$8,DATA!$I$4:$I$8,"",0),$B$9="DISTANCIA",_xlfn.XLOOKUP($S361,DATA!$L$4:$L$8,DATA!$N$4:$N$8,"",0)))</f>
        <v/>
      </c>
      <c r="U361" s="283" t="str" cm="1">
        <f t="array" ref="U361">IF($B$9="","",_xlfn.IFS($B$9="PRESENCIAL",_xlfn.XLOOKUP($S361,DATA!$B$4:$B$8,DATA!$E$4:$E$8,"",0,),$B$9="VIRTUAL",_xlfn.XLOOKUP($S361,DATA!$G$4:$G$8,DATA!$J$4:$J$8,"",0),$B$9="DISTANCIA",_xlfn.XLOOKUP($S361,DATA!$L$4:$L$8,DATA!$O$4:$O$8,"",0)))</f>
        <v/>
      </c>
      <c r="V361" s="261" t="str">
        <f t="shared" si="12"/>
        <v/>
      </c>
      <c r="W361" s="282"/>
      <c r="X361" s="282"/>
      <c r="Y361" s="282"/>
      <c r="Z361" s="282"/>
      <c r="AA361" s="282"/>
      <c r="AB361" s="284"/>
      <c r="AC361" s="262" t="str">
        <f>IF(AE361="","",COUNTIF($AE$1:AE361,AE361))</f>
        <v/>
      </c>
      <c r="AD361" s="261" t="str">
        <f>IF(J361='PLAN DE ESTUDIO'!$XFD$41,"",IF(AE361="","",AC361&amp;K361&amp;L361&amp;M361))</f>
        <v/>
      </c>
      <c r="AE361" s="261" t="str">
        <f>IF(J361='PLAN DE ESTUDIO'!$XFD$41,"",IF(AF361=1,K361&amp;L361&amp;M361,""))</f>
        <v/>
      </c>
      <c r="AF361" s="261">
        <f>COUNTIF($O$1:O361,$O361)</f>
        <v>0</v>
      </c>
      <c r="AG361" s="285" t="str">
        <f>IF(J361='PLAN DE ESTUDIO'!$XFD$41,"",IF(P361="TP","Teórico-Práctica",IF(P361="T","Teórico",IF(P361="P","Práctica",""))))</f>
        <v/>
      </c>
      <c r="AH361" s="234" t="str">
        <f t="shared" si="13"/>
        <v xml:space="preserve"> </v>
      </c>
    </row>
    <row r="362" spans="10:34" x14ac:dyDescent="0.3">
      <c r="J362" s="412"/>
      <c r="K362" s="232"/>
      <c r="L362" s="232"/>
      <c r="M362" s="232"/>
      <c r="N362" s="412"/>
      <c r="P362" s="231"/>
      <c r="Q362" s="412"/>
      <c r="R362" s="425"/>
      <c r="S362" s="442"/>
      <c r="T362" s="283" t="str" cm="1">
        <f t="array" ref="T362">IF($B$9="","",_xlfn.IFS($B$9="PRESENCIAL",_xlfn.XLOOKUP($S362,DATA!$B$4:$B$8,DATA!$D$4:$D$8,"",0,),$B$9="VIRTUAL",_xlfn.XLOOKUP($S362,DATA!$G$4:$G$8,DATA!$I$4:$I$8,"",0),$B$9="DISTANCIA",_xlfn.XLOOKUP($S362,DATA!$L$4:$L$8,DATA!$N$4:$N$8,"",0)))</f>
        <v/>
      </c>
      <c r="U362" s="283" t="str" cm="1">
        <f t="array" ref="U362">IF($B$9="","",_xlfn.IFS($B$9="PRESENCIAL",_xlfn.XLOOKUP($S362,DATA!$B$4:$B$8,DATA!$E$4:$E$8,"",0,),$B$9="VIRTUAL",_xlfn.XLOOKUP($S362,DATA!$G$4:$G$8,DATA!$J$4:$J$8,"",0),$B$9="DISTANCIA",_xlfn.XLOOKUP($S362,DATA!$L$4:$L$8,DATA!$O$4:$O$8,"",0)))</f>
        <v/>
      </c>
      <c r="V362" s="261" t="str">
        <f t="shared" si="12"/>
        <v/>
      </c>
      <c r="W362" s="282"/>
      <c r="X362" s="282"/>
      <c r="Y362" s="282"/>
      <c r="Z362" s="282"/>
      <c r="AA362" s="282"/>
      <c r="AB362" s="284"/>
      <c r="AC362" s="262" t="str">
        <f>IF(AE362="","",COUNTIF($AE$1:AE362,AE362))</f>
        <v/>
      </c>
      <c r="AD362" s="261" t="str">
        <f>IF(J362='PLAN DE ESTUDIO'!$XFD$41,"",IF(AE362="","",AC362&amp;K362&amp;L362&amp;M362))</f>
        <v/>
      </c>
      <c r="AE362" s="261" t="str">
        <f>IF(J362='PLAN DE ESTUDIO'!$XFD$41,"",IF(AF362=1,K362&amp;L362&amp;M362,""))</f>
        <v/>
      </c>
      <c r="AF362" s="261">
        <f>COUNTIF($O$1:O362,$O362)</f>
        <v>0</v>
      </c>
      <c r="AG362" s="285" t="str">
        <f>IF(J362='PLAN DE ESTUDIO'!$XFD$41,"",IF(P362="TP","Teórico-Práctica",IF(P362="T","Teórico",IF(P362="P","Práctica",""))))</f>
        <v/>
      </c>
      <c r="AH362" s="234" t="str">
        <f t="shared" si="13"/>
        <v xml:space="preserve"> </v>
      </c>
    </row>
    <row r="363" spans="10:34" x14ac:dyDescent="0.3">
      <c r="J363" s="412"/>
      <c r="K363" s="232"/>
      <c r="L363" s="232"/>
      <c r="M363" s="232"/>
      <c r="N363" s="412"/>
      <c r="P363" s="231"/>
      <c r="Q363" s="412"/>
      <c r="R363" s="425"/>
      <c r="S363" s="442"/>
      <c r="T363" s="283" t="str" cm="1">
        <f t="array" ref="T363">IF($B$9="","",_xlfn.IFS($B$9="PRESENCIAL",_xlfn.XLOOKUP($S363,DATA!$B$4:$B$8,DATA!$D$4:$D$8,"",0,),$B$9="VIRTUAL",_xlfn.XLOOKUP($S363,DATA!$G$4:$G$8,DATA!$I$4:$I$8,"",0),$B$9="DISTANCIA",_xlfn.XLOOKUP($S363,DATA!$L$4:$L$8,DATA!$N$4:$N$8,"",0)))</f>
        <v/>
      </c>
      <c r="U363" s="283" t="str" cm="1">
        <f t="array" ref="U363">IF($B$9="","",_xlfn.IFS($B$9="PRESENCIAL",_xlfn.XLOOKUP($S363,DATA!$B$4:$B$8,DATA!$E$4:$E$8,"",0,),$B$9="VIRTUAL",_xlfn.XLOOKUP($S363,DATA!$G$4:$G$8,DATA!$J$4:$J$8,"",0),$B$9="DISTANCIA",_xlfn.XLOOKUP($S363,DATA!$L$4:$L$8,DATA!$O$4:$O$8,"",0)))</f>
        <v/>
      </c>
      <c r="V363" s="261" t="str">
        <f t="shared" si="12"/>
        <v/>
      </c>
      <c r="W363" s="282"/>
      <c r="X363" s="282"/>
      <c r="Y363" s="282"/>
      <c r="Z363" s="282"/>
      <c r="AA363" s="282"/>
      <c r="AB363" s="284"/>
      <c r="AC363" s="262" t="str">
        <f>IF(AE363="","",COUNTIF($AE$1:AE363,AE363))</f>
        <v/>
      </c>
      <c r="AD363" s="261" t="str">
        <f>IF(J363='PLAN DE ESTUDIO'!$XFD$41,"",IF(AE363="","",AC363&amp;K363&amp;L363&amp;M363))</f>
        <v/>
      </c>
      <c r="AE363" s="261" t="str">
        <f>IF(J363='PLAN DE ESTUDIO'!$XFD$41,"",IF(AF363=1,K363&amp;L363&amp;M363,""))</f>
        <v/>
      </c>
      <c r="AF363" s="261">
        <f>COUNTIF($O$1:O363,$O363)</f>
        <v>0</v>
      </c>
      <c r="AG363" s="285" t="str">
        <f>IF(J363='PLAN DE ESTUDIO'!$XFD$41,"",IF(P363="TP","Teórico-Práctica",IF(P363="T","Teórico",IF(P363="P","Práctica",""))))</f>
        <v/>
      </c>
      <c r="AH363" s="234" t="str">
        <f t="shared" si="13"/>
        <v xml:space="preserve"> </v>
      </c>
    </row>
    <row r="364" spans="10:34" x14ac:dyDescent="0.3">
      <c r="J364" s="412"/>
      <c r="K364" s="232"/>
      <c r="L364" s="232"/>
      <c r="M364" s="232"/>
      <c r="N364" s="412"/>
      <c r="P364" s="231"/>
      <c r="Q364" s="412"/>
      <c r="R364" s="425"/>
      <c r="S364" s="442"/>
      <c r="T364" s="283" t="str" cm="1">
        <f t="array" ref="T364">IF($B$9="","",_xlfn.IFS($B$9="PRESENCIAL",_xlfn.XLOOKUP($S364,DATA!$B$4:$B$8,DATA!$D$4:$D$8,"",0,),$B$9="VIRTUAL",_xlfn.XLOOKUP($S364,DATA!$G$4:$G$8,DATA!$I$4:$I$8,"",0),$B$9="DISTANCIA",_xlfn.XLOOKUP($S364,DATA!$L$4:$L$8,DATA!$N$4:$N$8,"",0)))</f>
        <v/>
      </c>
      <c r="U364" s="283" t="str" cm="1">
        <f t="array" ref="U364">IF($B$9="","",_xlfn.IFS($B$9="PRESENCIAL",_xlfn.XLOOKUP($S364,DATA!$B$4:$B$8,DATA!$E$4:$E$8,"",0,),$B$9="VIRTUAL",_xlfn.XLOOKUP($S364,DATA!$G$4:$G$8,DATA!$J$4:$J$8,"",0),$B$9="DISTANCIA",_xlfn.XLOOKUP($S364,DATA!$L$4:$L$8,DATA!$O$4:$O$8,"",0)))</f>
        <v/>
      </c>
      <c r="V364" s="261" t="str">
        <f t="shared" si="12"/>
        <v/>
      </c>
      <c r="W364" s="282"/>
      <c r="X364" s="282"/>
      <c r="Y364" s="282"/>
      <c r="Z364" s="282"/>
      <c r="AA364" s="282"/>
      <c r="AB364" s="284"/>
      <c r="AC364" s="262" t="str">
        <f>IF(AE364="","",COUNTIF($AE$1:AE364,AE364))</f>
        <v/>
      </c>
      <c r="AD364" s="261" t="str">
        <f>IF(J364='PLAN DE ESTUDIO'!$XFD$41,"",IF(AE364="","",AC364&amp;K364&amp;L364&amp;M364))</f>
        <v/>
      </c>
      <c r="AE364" s="261" t="str">
        <f>IF(J364='PLAN DE ESTUDIO'!$XFD$41,"",IF(AF364=1,K364&amp;L364&amp;M364,""))</f>
        <v/>
      </c>
      <c r="AF364" s="261">
        <f>COUNTIF($O$1:O364,$O364)</f>
        <v>0</v>
      </c>
      <c r="AG364" s="285" t="str">
        <f>IF(J364='PLAN DE ESTUDIO'!$XFD$41,"",IF(P364="TP","Teórico-Práctica",IF(P364="T","Teórico",IF(P364="P","Práctica",""))))</f>
        <v/>
      </c>
      <c r="AH364" s="234" t="str">
        <f t="shared" si="13"/>
        <v xml:space="preserve"> </v>
      </c>
    </row>
    <row r="365" spans="10:34" x14ac:dyDescent="0.3">
      <c r="J365" s="412"/>
      <c r="K365" s="232"/>
      <c r="L365" s="232"/>
      <c r="M365" s="232"/>
      <c r="N365" s="412"/>
      <c r="P365" s="231"/>
      <c r="Q365" s="412"/>
      <c r="R365" s="425"/>
      <c r="S365" s="442"/>
      <c r="T365" s="283" t="str" cm="1">
        <f t="array" ref="T365">IF($B$9="","",_xlfn.IFS($B$9="PRESENCIAL",_xlfn.XLOOKUP($S365,DATA!$B$4:$B$8,DATA!$D$4:$D$8,"",0,),$B$9="VIRTUAL",_xlfn.XLOOKUP($S365,DATA!$G$4:$G$8,DATA!$I$4:$I$8,"",0),$B$9="DISTANCIA",_xlfn.XLOOKUP($S365,DATA!$L$4:$L$8,DATA!$N$4:$N$8,"",0)))</f>
        <v/>
      </c>
      <c r="U365" s="283" t="str" cm="1">
        <f t="array" ref="U365">IF($B$9="","",_xlfn.IFS($B$9="PRESENCIAL",_xlfn.XLOOKUP($S365,DATA!$B$4:$B$8,DATA!$E$4:$E$8,"",0,),$B$9="VIRTUAL",_xlfn.XLOOKUP($S365,DATA!$G$4:$G$8,DATA!$J$4:$J$8,"",0),$B$9="DISTANCIA",_xlfn.XLOOKUP($S365,DATA!$L$4:$L$8,DATA!$O$4:$O$8,"",0)))</f>
        <v/>
      </c>
      <c r="V365" s="261" t="str">
        <f t="shared" si="12"/>
        <v/>
      </c>
      <c r="W365" s="282"/>
      <c r="X365" s="282"/>
      <c r="Y365" s="282"/>
      <c r="Z365" s="282"/>
      <c r="AA365" s="282"/>
      <c r="AB365" s="284"/>
      <c r="AC365" s="262" t="str">
        <f>IF(AE365="","",COUNTIF($AE$1:AE365,AE365))</f>
        <v/>
      </c>
      <c r="AD365" s="261" t="str">
        <f>IF(J365='PLAN DE ESTUDIO'!$XFD$41,"",IF(AE365="","",AC365&amp;K365&amp;L365&amp;M365))</f>
        <v/>
      </c>
      <c r="AE365" s="261" t="str">
        <f>IF(J365='PLAN DE ESTUDIO'!$XFD$41,"",IF(AF365=1,K365&amp;L365&amp;M365,""))</f>
        <v/>
      </c>
      <c r="AF365" s="261">
        <f>COUNTIF($O$1:O365,$O365)</f>
        <v>0</v>
      </c>
      <c r="AG365" s="285" t="str">
        <f>IF(J365='PLAN DE ESTUDIO'!$XFD$41,"",IF(P365="TP","Teórico-Práctica",IF(P365="T","Teórico",IF(P365="P","Práctica",""))))</f>
        <v/>
      </c>
      <c r="AH365" s="234" t="str">
        <f t="shared" si="13"/>
        <v xml:space="preserve"> </v>
      </c>
    </row>
    <row r="366" spans="10:34" x14ac:dyDescent="0.3">
      <c r="J366" s="412"/>
      <c r="K366" s="232"/>
      <c r="L366" s="232"/>
      <c r="M366" s="232"/>
      <c r="N366" s="412"/>
      <c r="P366" s="231"/>
      <c r="Q366" s="412"/>
      <c r="R366" s="425"/>
      <c r="S366" s="442"/>
      <c r="T366" s="283" t="str" cm="1">
        <f t="array" ref="T366">IF($B$9="","",_xlfn.IFS($B$9="PRESENCIAL",_xlfn.XLOOKUP($S366,DATA!$B$4:$B$8,DATA!$D$4:$D$8,"",0,),$B$9="VIRTUAL",_xlfn.XLOOKUP($S366,DATA!$G$4:$G$8,DATA!$I$4:$I$8,"",0),$B$9="DISTANCIA",_xlfn.XLOOKUP($S366,DATA!$L$4:$L$8,DATA!$N$4:$N$8,"",0)))</f>
        <v/>
      </c>
      <c r="U366" s="283" t="str" cm="1">
        <f t="array" ref="U366">IF($B$9="","",_xlfn.IFS($B$9="PRESENCIAL",_xlfn.XLOOKUP($S366,DATA!$B$4:$B$8,DATA!$E$4:$E$8,"",0,),$B$9="VIRTUAL",_xlfn.XLOOKUP($S366,DATA!$G$4:$G$8,DATA!$J$4:$J$8,"",0),$B$9="DISTANCIA",_xlfn.XLOOKUP($S366,DATA!$L$4:$L$8,DATA!$O$4:$O$8,"",0)))</f>
        <v/>
      </c>
      <c r="V366" s="261" t="str">
        <f t="shared" si="12"/>
        <v/>
      </c>
      <c r="W366" s="282"/>
      <c r="X366" s="282"/>
      <c r="Y366" s="282"/>
      <c r="Z366" s="282"/>
      <c r="AA366" s="282"/>
      <c r="AB366" s="284"/>
      <c r="AC366" s="262" t="str">
        <f>IF(AE366="","",COUNTIF($AE$1:AE366,AE366))</f>
        <v/>
      </c>
      <c r="AD366" s="261" t="str">
        <f>IF(J366='PLAN DE ESTUDIO'!$XFD$41,"",IF(AE366="","",AC366&amp;K366&amp;L366&amp;M366))</f>
        <v/>
      </c>
      <c r="AE366" s="261" t="str">
        <f>IF(J366='PLAN DE ESTUDIO'!$XFD$41,"",IF(AF366=1,K366&amp;L366&amp;M366,""))</f>
        <v/>
      </c>
      <c r="AF366" s="261">
        <f>COUNTIF($O$1:O366,$O366)</f>
        <v>0</v>
      </c>
      <c r="AG366" s="285" t="str">
        <f>IF(J366='PLAN DE ESTUDIO'!$XFD$41,"",IF(P366="TP","Teórico-Práctica",IF(P366="T","Teórico",IF(P366="P","Práctica",""))))</f>
        <v/>
      </c>
      <c r="AH366" s="234" t="str">
        <f t="shared" si="13"/>
        <v xml:space="preserve"> </v>
      </c>
    </row>
    <row r="367" spans="10:34" x14ac:dyDescent="0.3">
      <c r="J367" s="412"/>
      <c r="K367" s="232"/>
      <c r="L367" s="232"/>
      <c r="M367" s="232"/>
      <c r="N367" s="412"/>
      <c r="P367" s="231"/>
      <c r="Q367" s="412"/>
      <c r="R367" s="425"/>
      <c r="S367" s="442"/>
      <c r="T367" s="283" t="str" cm="1">
        <f t="array" ref="T367">IF($B$9="","",_xlfn.IFS($B$9="PRESENCIAL",_xlfn.XLOOKUP($S367,DATA!$B$4:$B$8,DATA!$D$4:$D$8,"",0,),$B$9="VIRTUAL",_xlfn.XLOOKUP($S367,DATA!$G$4:$G$8,DATA!$I$4:$I$8,"",0),$B$9="DISTANCIA",_xlfn.XLOOKUP($S367,DATA!$L$4:$L$8,DATA!$N$4:$N$8,"",0)))</f>
        <v/>
      </c>
      <c r="U367" s="283" t="str" cm="1">
        <f t="array" ref="U367">IF($B$9="","",_xlfn.IFS($B$9="PRESENCIAL",_xlfn.XLOOKUP($S367,DATA!$B$4:$B$8,DATA!$E$4:$E$8,"",0,),$B$9="VIRTUAL",_xlfn.XLOOKUP($S367,DATA!$G$4:$G$8,DATA!$J$4:$J$8,"",0),$B$9="DISTANCIA",_xlfn.XLOOKUP($S367,DATA!$L$4:$L$8,DATA!$O$4:$O$8,"",0)))</f>
        <v/>
      </c>
      <c r="V367" s="261" t="str">
        <f t="shared" si="12"/>
        <v/>
      </c>
      <c r="W367" s="282"/>
      <c r="X367" s="282"/>
      <c r="Y367" s="282"/>
      <c r="Z367" s="282"/>
      <c r="AA367" s="282"/>
      <c r="AB367" s="284"/>
      <c r="AC367" s="262" t="str">
        <f>IF(AE367="","",COUNTIF($AE$1:AE367,AE367))</f>
        <v/>
      </c>
      <c r="AD367" s="261" t="str">
        <f>IF(J367='PLAN DE ESTUDIO'!$XFD$41,"",IF(AE367="","",AC367&amp;K367&amp;L367&amp;M367))</f>
        <v/>
      </c>
      <c r="AE367" s="261" t="str">
        <f>IF(J367='PLAN DE ESTUDIO'!$XFD$41,"",IF(AF367=1,K367&amp;L367&amp;M367,""))</f>
        <v/>
      </c>
      <c r="AF367" s="261">
        <f>COUNTIF($O$1:O367,$O367)</f>
        <v>0</v>
      </c>
      <c r="AG367" s="285" t="str">
        <f>IF(J367='PLAN DE ESTUDIO'!$XFD$41,"",IF(P367="TP","Teórico-Práctica",IF(P367="T","Teórico",IF(P367="P","Práctica",""))))</f>
        <v/>
      </c>
      <c r="AH367" s="234" t="str">
        <f t="shared" si="13"/>
        <v xml:space="preserve"> </v>
      </c>
    </row>
    <row r="368" spans="10:34" x14ac:dyDescent="0.3">
      <c r="J368" s="412"/>
      <c r="K368" s="232"/>
      <c r="L368" s="232"/>
      <c r="M368" s="232"/>
      <c r="N368" s="412"/>
      <c r="P368" s="231"/>
      <c r="Q368" s="412"/>
      <c r="R368" s="425"/>
      <c r="S368" s="442"/>
      <c r="T368" s="283" t="str" cm="1">
        <f t="array" ref="T368">IF($B$9="","",_xlfn.IFS($B$9="PRESENCIAL",_xlfn.XLOOKUP($S368,DATA!$B$4:$B$8,DATA!$D$4:$D$8,"",0,),$B$9="VIRTUAL",_xlfn.XLOOKUP($S368,DATA!$G$4:$G$8,DATA!$I$4:$I$8,"",0),$B$9="DISTANCIA",_xlfn.XLOOKUP($S368,DATA!$L$4:$L$8,DATA!$N$4:$N$8,"",0)))</f>
        <v/>
      </c>
      <c r="U368" s="283" t="str" cm="1">
        <f t="array" ref="U368">IF($B$9="","",_xlfn.IFS($B$9="PRESENCIAL",_xlfn.XLOOKUP($S368,DATA!$B$4:$B$8,DATA!$E$4:$E$8,"",0,),$B$9="VIRTUAL",_xlfn.XLOOKUP($S368,DATA!$G$4:$G$8,DATA!$J$4:$J$8,"",0),$B$9="DISTANCIA",_xlfn.XLOOKUP($S368,DATA!$L$4:$L$8,DATA!$O$4:$O$8,"",0)))</f>
        <v/>
      </c>
      <c r="V368" s="261" t="str">
        <f t="shared" si="12"/>
        <v/>
      </c>
      <c r="W368" s="282"/>
      <c r="X368" s="282"/>
      <c r="Y368" s="282"/>
      <c r="Z368" s="282"/>
      <c r="AA368" s="282"/>
      <c r="AB368" s="284"/>
      <c r="AC368" s="262" t="str">
        <f>IF(AE368="","",COUNTIF($AE$1:AE368,AE368))</f>
        <v/>
      </c>
      <c r="AD368" s="261" t="str">
        <f>IF(J368='PLAN DE ESTUDIO'!$XFD$41,"",IF(AE368="","",AC368&amp;K368&amp;L368&amp;M368))</f>
        <v/>
      </c>
      <c r="AE368" s="261" t="str">
        <f>IF(J368='PLAN DE ESTUDIO'!$XFD$41,"",IF(AF368=1,K368&amp;L368&amp;M368,""))</f>
        <v/>
      </c>
      <c r="AF368" s="261">
        <f>COUNTIF($O$1:O368,$O368)</f>
        <v>0</v>
      </c>
      <c r="AG368" s="285" t="str">
        <f>IF(J368='PLAN DE ESTUDIO'!$XFD$41,"",IF(P368="TP","Teórico-Práctica",IF(P368="T","Teórico",IF(P368="P","Práctica",""))))</f>
        <v/>
      </c>
      <c r="AH368" s="234" t="str">
        <f t="shared" si="13"/>
        <v xml:space="preserve"> </v>
      </c>
    </row>
    <row r="369" spans="10:34" x14ac:dyDescent="0.3">
      <c r="J369" s="412"/>
      <c r="K369" s="232"/>
      <c r="L369" s="232"/>
      <c r="M369" s="232"/>
      <c r="N369" s="412"/>
      <c r="P369" s="231"/>
      <c r="Q369" s="412"/>
      <c r="R369" s="425"/>
      <c r="S369" s="442"/>
      <c r="T369" s="283" t="str" cm="1">
        <f t="array" ref="T369">IF($B$9="","",_xlfn.IFS($B$9="PRESENCIAL",_xlfn.XLOOKUP($S369,DATA!$B$4:$B$8,DATA!$D$4:$D$8,"",0,),$B$9="VIRTUAL",_xlfn.XLOOKUP($S369,DATA!$G$4:$G$8,DATA!$I$4:$I$8,"",0),$B$9="DISTANCIA",_xlfn.XLOOKUP($S369,DATA!$L$4:$L$8,DATA!$N$4:$N$8,"",0)))</f>
        <v/>
      </c>
      <c r="U369" s="283" t="str" cm="1">
        <f t="array" ref="U369">IF($B$9="","",_xlfn.IFS($B$9="PRESENCIAL",_xlfn.XLOOKUP($S369,DATA!$B$4:$B$8,DATA!$E$4:$E$8,"",0,),$B$9="VIRTUAL",_xlfn.XLOOKUP($S369,DATA!$G$4:$G$8,DATA!$J$4:$J$8,"",0),$B$9="DISTANCIA",_xlfn.XLOOKUP($S369,DATA!$L$4:$L$8,DATA!$O$4:$O$8,"",0)))</f>
        <v/>
      </c>
      <c r="V369" s="261" t="str">
        <f t="shared" si="12"/>
        <v/>
      </c>
      <c r="W369" s="282"/>
      <c r="X369" s="282"/>
      <c r="Y369" s="282"/>
      <c r="Z369" s="282"/>
      <c r="AA369" s="282"/>
      <c r="AB369" s="284"/>
      <c r="AC369" s="262" t="str">
        <f>IF(AE369="","",COUNTIF($AE$1:AE369,AE369))</f>
        <v/>
      </c>
      <c r="AD369" s="261" t="str">
        <f>IF(J369='PLAN DE ESTUDIO'!$XFD$41,"",IF(AE369="","",AC369&amp;K369&amp;L369&amp;M369))</f>
        <v/>
      </c>
      <c r="AE369" s="261" t="str">
        <f>IF(J369='PLAN DE ESTUDIO'!$XFD$41,"",IF(AF369=1,K369&amp;L369&amp;M369,""))</f>
        <v/>
      </c>
      <c r="AF369" s="261">
        <f>COUNTIF($O$1:O369,$O369)</f>
        <v>0</v>
      </c>
      <c r="AG369" s="285" t="str">
        <f>IF(J369='PLAN DE ESTUDIO'!$XFD$41,"",IF(P369="TP","Teórico-Práctica",IF(P369="T","Teórico",IF(P369="P","Práctica",""))))</f>
        <v/>
      </c>
      <c r="AH369" s="234" t="str">
        <f t="shared" si="13"/>
        <v xml:space="preserve"> </v>
      </c>
    </row>
    <row r="370" spans="10:34" x14ac:dyDescent="0.3">
      <c r="J370" s="412"/>
      <c r="K370" s="232"/>
      <c r="L370" s="232"/>
      <c r="M370" s="232"/>
      <c r="N370" s="412"/>
      <c r="P370" s="231"/>
      <c r="Q370" s="412"/>
      <c r="R370" s="425"/>
      <c r="S370" s="442"/>
      <c r="T370" s="283" t="str" cm="1">
        <f t="array" ref="T370">IF($B$9="","",_xlfn.IFS($B$9="PRESENCIAL",_xlfn.XLOOKUP($S370,DATA!$B$4:$B$8,DATA!$D$4:$D$8,"",0,),$B$9="VIRTUAL",_xlfn.XLOOKUP($S370,DATA!$G$4:$G$8,DATA!$I$4:$I$8,"",0),$B$9="DISTANCIA",_xlfn.XLOOKUP($S370,DATA!$L$4:$L$8,DATA!$N$4:$N$8,"",0)))</f>
        <v/>
      </c>
      <c r="U370" s="283" t="str" cm="1">
        <f t="array" ref="U370">IF($B$9="","",_xlfn.IFS($B$9="PRESENCIAL",_xlfn.XLOOKUP($S370,DATA!$B$4:$B$8,DATA!$E$4:$E$8,"",0,),$B$9="VIRTUAL",_xlfn.XLOOKUP($S370,DATA!$G$4:$G$8,DATA!$J$4:$J$8,"",0),$B$9="DISTANCIA",_xlfn.XLOOKUP($S370,DATA!$L$4:$L$8,DATA!$O$4:$O$8,"",0)))</f>
        <v/>
      </c>
      <c r="V370" s="261" t="str">
        <f t="shared" si="12"/>
        <v/>
      </c>
      <c r="W370" s="282"/>
      <c r="X370" s="282"/>
      <c r="Y370" s="282"/>
      <c r="Z370" s="282"/>
      <c r="AA370" s="282"/>
      <c r="AB370" s="284"/>
      <c r="AC370" s="262" t="str">
        <f>IF(AE370="","",COUNTIF($AE$1:AE370,AE370))</f>
        <v/>
      </c>
      <c r="AD370" s="261" t="str">
        <f>IF(J370='PLAN DE ESTUDIO'!$XFD$41,"",IF(AE370="","",AC370&amp;K370&amp;L370&amp;M370))</f>
        <v/>
      </c>
      <c r="AE370" s="261" t="str">
        <f>IF(J370='PLAN DE ESTUDIO'!$XFD$41,"",IF(AF370=1,K370&amp;L370&amp;M370,""))</f>
        <v/>
      </c>
      <c r="AF370" s="261">
        <f>COUNTIF($O$1:O370,$O370)</f>
        <v>0</v>
      </c>
      <c r="AG370" s="285" t="str">
        <f>IF(J370='PLAN DE ESTUDIO'!$XFD$41,"",IF(P370="TP","Teórico-Práctica",IF(P370="T","Teórico",IF(P370="P","Práctica",""))))</f>
        <v/>
      </c>
      <c r="AH370" s="234" t="str">
        <f t="shared" si="13"/>
        <v xml:space="preserve"> </v>
      </c>
    </row>
    <row r="371" spans="10:34" x14ac:dyDescent="0.3">
      <c r="J371" s="412"/>
      <c r="K371" s="232"/>
      <c r="L371" s="232"/>
      <c r="M371" s="232"/>
      <c r="N371" s="412"/>
      <c r="P371" s="231"/>
      <c r="Q371" s="412"/>
      <c r="R371" s="425"/>
      <c r="S371" s="442"/>
      <c r="T371" s="283" t="str" cm="1">
        <f t="array" ref="T371">IF($B$9="","",_xlfn.IFS($B$9="PRESENCIAL",_xlfn.XLOOKUP($S371,DATA!$B$4:$B$8,DATA!$D$4:$D$8,"",0,),$B$9="VIRTUAL",_xlfn.XLOOKUP($S371,DATA!$G$4:$G$8,DATA!$I$4:$I$8,"",0),$B$9="DISTANCIA",_xlfn.XLOOKUP($S371,DATA!$L$4:$L$8,DATA!$N$4:$N$8,"",0)))</f>
        <v/>
      </c>
      <c r="U371" s="283" t="str" cm="1">
        <f t="array" ref="U371">IF($B$9="","",_xlfn.IFS($B$9="PRESENCIAL",_xlfn.XLOOKUP($S371,DATA!$B$4:$B$8,DATA!$E$4:$E$8,"",0,),$B$9="VIRTUAL",_xlfn.XLOOKUP($S371,DATA!$G$4:$G$8,DATA!$J$4:$J$8,"",0),$B$9="DISTANCIA",_xlfn.XLOOKUP($S371,DATA!$L$4:$L$8,DATA!$O$4:$O$8,"",0)))</f>
        <v/>
      </c>
      <c r="V371" s="261" t="str">
        <f t="shared" si="12"/>
        <v/>
      </c>
      <c r="W371" s="282"/>
      <c r="X371" s="282"/>
      <c r="Y371" s="282"/>
      <c r="Z371" s="282"/>
      <c r="AA371" s="282"/>
      <c r="AB371" s="284"/>
      <c r="AC371" s="262" t="str">
        <f>IF(AE371="","",COUNTIF($AE$1:AE371,AE371))</f>
        <v/>
      </c>
      <c r="AD371" s="261" t="str">
        <f>IF(J371='PLAN DE ESTUDIO'!$XFD$41,"",IF(AE371="","",AC371&amp;K371&amp;L371&amp;M371))</f>
        <v/>
      </c>
      <c r="AE371" s="261" t="str">
        <f>IF(J371='PLAN DE ESTUDIO'!$XFD$41,"",IF(AF371=1,K371&amp;L371&amp;M371,""))</f>
        <v/>
      </c>
      <c r="AF371" s="261">
        <f>COUNTIF($O$1:O371,$O371)</f>
        <v>0</v>
      </c>
      <c r="AG371" s="285" t="str">
        <f>IF(J371='PLAN DE ESTUDIO'!$XFD$41,"",IF(P371="TP","Teórico-Práctica",IF(P371="T","Teórico",IF(P371="P","Práctica",""))))</f>
        <v/>
      </c>
      <c r="AH371" s="234" t="str">
        <f t="shared" si="13"/>
        <v xml:space="preserve"> </v>
      </c>
    </row>
    <row r="372" spans="10:34" x14ac:dyDescent="0.3">
      <c r="J372" s="412"/>
      <c r="K372" s="232"/>
      <c r="L372" s="232"/>
      <c r="M372" s="232"/>
      <c r="N372" s="412"/>
      <c r="P372" s="231"/>
      <c r="Q372" s="412"/>
      <c r="R372" s="425"/>
      <c r="S372" s="442"/>
      <c r="T372" s="283" t="str" cm="1">
        <f t="array" ref="T372">IF($B$9="","",_xlfn.IFS($B$9="PRESENCIAL",_xlfn.XLOOKUP($S372,DATA!$B$4:$B$8,DATA!$D$4:$D$8,"",0,),$B$9="VIRTUAL",_xlfn.XLOOKUP($S372,DATA!$G$4:$G$8,DATA!$I$4:$I$8,"",0),$B$9="DISTANCIA",_xlfn.XLOOKUP($S372,DATA!$L$4:$L$8,DATA!$N$4:$N$8,"",0)))</f>
        <v/>
      </c>
      <c r="U372" s="283" t="str" cm="1">
        <f t="array" ref="U372">IF($B$9="","",_xlfn.IFS($B$9="PRESENCIAL",_xlfn.XLOOKUP($S372,DATA!$B$4:$B$8,DATA!$E$4:$E$8,"",0,),$B$9="VIRTUAL",_xlfn.XLOOKUP($S372,DATA!$G$4:$G$8,DATA!$J$4:$J$8,"",0),$B$9="DISTANCIA",_xlfn.XLOOKUP($S372,DATA!$L$4:$L$8,DATA!$O$4:$O$8,"",0)))</f>
        <v/>
      </c>
      <c r="V372" s="261" t="str">
        <f t="shared" si="12"/>
        <v/>
      </c>
      <c r="W372" s="282"/>
      <c r="X372" s="282"/>
      <c r="Y372" s="282"/>
      <c r="Z372" s="282"/>
      <c r="AA372" s="282"/>
      <c r="AB372" s="284"/>
      <c r="AC372" s="262" t="str">
        <f>IF(AE372="","",COUNTIF($AE$1:AE372,AE372))</f>
        <v/>
      </c>
      <c r="AD372" s="261" t="str">
        <f>IF(J372='PLAN DE ESTUDIO'!$XFD$41,"",IF(AE372="","",AC372&amp;K372&amp;L372&amp;M372))</f>
        <v/>
      </c>
      <c r="AE372" s="261" t="str">
        <f>IF(J372='PLAN DE ESTUDIO'!$XFD$41,"",IF(AF372=1,K372&amp;L372&amp;M372,""))</f>
        <v/>
      </c>
      <c r="AF372" s="261">
        <f>COUNTIF($O$1:O372,$O372)</f>
        <v>0</v>
      </c>
      <c r="AG372" s="285" t="str">
        <f>IF(J372='PLAN DE ESTUDIO'!$XFD$41,"",IF(P372="TP","Teórico-Práctica",IF(P372="T","Teórico",IF(P372="P","Práctica",""))))</f>
        <v/>
      </c>
      <c r="AH372" s="234" t="str">
        <f t="shared" si="13"/>
        <v xml:space="preserve"> </v>
      </c>
    </row>
    <row r="373" spans="10:34" x14ac:dyDescent="0.3">
      <c r="J373" s="412"/>
      <c r="K373" s="232"/>
      <c r="L373" s="232"/>
      <c r="M373" s="232"/>
      <c r="N373" s="412"/>
      <c r="P373" s="231"/>
      <c r="Q373" s="412"/>
      <c r="R373" s="425"/>
      <c r="S373" s="442"/>
      <c r="T373" s="283" t="str" cm="1">
        <f t="array" ref="T373">IF($B$9="","",_xlfn.IFS($B$9="PRESENCIAL",_xlfn.XLOOKUP($S373,DATA!$B$4:$B$8,DATA!$D$4:$D$8,"",0,),$B$9="VIRTUAL",_xlfn.XLOOKUP($S373,DATA!$G$4:$G$8,DATA!$I$4:$I$8,"",0),$B$9="DISTANCIA",_xlfn.XLOOKUP($S373,DATA!$L$4:$L$8,DATA!$N$4:$N$8,"",0)))</f>
        <v/>
      </c>
      <c r="U373" s="283" t="str" cm="1">
        <f t="array" ref="U373">IF($B$9="","",_xlfn.IFS($B$9="PRESENCIAL",_xlfn.XLOOKUP($S373,DATA!$B$4:$B$8,DATA!$E$4:$E$8,"",0,),$B$9="VIRTUAL",_xlfn.XLOOKUP($S373,DATA!$G$4:$G$8,DATA!$J$4:$J$8,"",0),$B$9="DISTANCIA",_xlfn.XLOOKUP($S373,DATA!$L$4:$L$8,DATA!$O$4:$O$8,"",0)))</f>
        <v/>
      </c>
      <c r="V373" s="261" t="str">
        <f t="shared" si="12"/>
        <v/>
      </c>
      <c r="W373" s="282"/>
      <c r="X373" s="282"/>
      <c r="Y373" s="282"/>
      <c r="Z373" s="282"/>
      <c r="AA373" s="282"/>
      <c r="AB373" s="284"/>
      <c r="AC373" s="262" t="str">
        <f>IF(AE373="","",COUNTIF($AE$1:AE373,AE373))</f>
        <v/>
      </c>
      <c r="AD373" s="261" t="str">
        <f>IF(J373='PLAN DE ESTUDIO'!$XFD$41,"",IF(AE373="","",AC373&amp;K373&amp;L373&amp;M373))</f>
        <v/>
      </c>
      <c r="AE373" s="261" t="str">
        <f>IF(J373='PLAN DE ESTUDIO'!$XFD$41,"",IF(AF373=1,K373&amp;L373&amp;M373,""))</f>
        <v/>
      </c>
      <c r="AF373" s="261">
        <f>COUNTIF($O$1:O373,$O373)</f>
        <v>0</v>
      </c>
      <c r="AG373" s="285" t="str">
        <f>IF(J373='PLAN DE ESTUDIO'!$XFD$41,"",IF(P373="TP","Teórico-Práctica",IF(P373="T","Teórico",IF(P373="P","Práctica",""))))</f>
        <v/>
      </c>
      <c r="AH373" s="234" t="str">
        <f t="shared" si="13"/>
        <v xml:space="preserve"> </v>
      </c>
    </row>
    <row r="374" spans="10:34" x14ac:dyDescent="0.3">
      <c r="J374" s="412"/>
      <c r="K374" s="232"/>
      <c r="L374" s="232"/>
      <c r="M374" s="232"/>
      <c r="N374" s="412"/>
      <c r="P374" s="231"/>
      <c r="Q374" s="412"/>
      <c r="R374" s="425"/>
      <c r="S374" s="442"/>
      <c r="T374" s="283" t="str" cm="1">
        <f t="array" ref="T374">IF($B$9="","",_xlfn.IFS($B$9="PRESENCIAL",_xlfn.XLOOKUP($S374,DATA!$B$4:$B$8,DATA!$D$4:$D$8,"",0,),$B$9="VIRTUAL",_xlfn.XLOOKUP($S374,DATA!$G$4:$G$8,DATA!$I$4:$I$8,"",0),$B$9="DISTANCIA",_xlfn.XLOOKUP($S374,DATA!$L$4:$L$8,DATA!$N$4:$N$8,"",0)))</f>
        <v/>
      </c>
      <c r="U374" s="283" t="str" cm="1">
        <f t="array" ref="U374">IF($B$9="","",_xlfn.IFS($B$9="PRESENCIAL",_xlfn.XLOOKUP($S374,DATA!$B$4:$B$8,DATA!$E$4:$E$8,"",0,),$B$9="VIRTUAL",_xlfn.XLOOKUP($S374,DATA!$G$4:$G$8,DATA!$J$4:$J$8,"",0),$B$9="DISTANCIA",_xlfn.XLOOKUP($S374,DATA!$L$4:$L$8,DATA!$O$4:$O$8,"",0)))</f>
        <v/>
      </c>
      <c r="V374" s="261" t="str">
        <f t="shared" si="12"/>
        <v/>
      </c>
      <c r="W374" s="282"/>
      <c r="X374" s="282"/>
      <c r="Y374" s="282"/>
      <c r="Z374" s="282"/>
      <c r="AA374" s="282"/>
      <c r="AB374" s="284"/>
      <c r="AC374" s="262" t="str">
        <f>IF(AE374="","",COUNTIF($AE$1:AE374,AE374))</f>
        <v/>
      </c>
      <c r="AD374" s="261" t="str">
        <f>IF(J374='PLAN DE ESTUDIO'!$XFD$41,"",IF(AE374="","",AC374&amp;K374&amp;L374&amp;M374))</f>
        <v/>
      </c>
      <c r="AE374" s="261" t="str">
        <f>IF(J374='PLAN DE ESTUDIO'!$XFD$41,"",IF(AF374=1,K374&amp;L374&amp;M374,""))</f>
        <v/>
      </c>
      <c r="AF374" s="261">
        <f>COUNTIF($O$1:O374,$O374)</f>
        <v>0</v>
      </c>
      <c r="AG374" s="285" t="str">
        <f>IF(J374='PLAN DE ESTUDIO'!$XFD$41,"",IF(P374="TP","Teórico-Práctica",IF(P374="T","Teórico",IF(P374="P","Práctica",""))))</f>
        <v/>
      </c>
      <c r="AH374" s="234" t="str">
        <f t="shared" si="13"/>
        <v xml:space="preserve"> </v>
      </c>
    </row>
    <row r="375" spans="10:34" x14ac:dyDescent="0.3">
      <c r="J375" s="412"/>
      <c r="K375" s="232"/>
      <c r="L375" s="232"/>
      <c r="M375" s="232"/>
      <c r="N375" s="412"/>
      <c r="P375" s="231"/>
      <c r="Q375" s="412"/>
      <c r="R375" s="425"/>
      <c r="S375" s="442"/>
      <c r="T375" s="283" t="str" cm="1">
        <f t="array" ref="T375">IF($B$9="","",_xlfn.IFS($B$9="PRESENCIAL",_xlfn.XLOOKUP($S375,DATA!$B$4:$B$8,DATA!$D$4:$D$8,"",0,),$B$9="VIRTUAL",_xlfn.XLOOKUP($S375,DATA!$G$4:$G$8,DATA!$I$4:$I$8,"",0),$B$9="DISTANCIA",_xlfn.XLOOKUP($S375,DATA!$L$4:$L$8,DATA!$N$4:$N$8,"",0)))</f>
        <v/>
      </c>
      <c r="U375" s="283" t="str" cm="1">
        <f t="array" ref="U375">IF($B$9="","",_xlfn.IFS($B$9="PRESENCIAL",_xlfn.XLOOKUP($S375,DATA!$B$4:$B$8,DATA!$E$4:$E$8,"",0,),$B$9="VIRTUAL",_xlfn.XLOOKUP($S375,DATA!$G$4:$G$8,DATA!$J$4:$J$8,"",0),$B$9="DISTANCIA",_xlfn.XLOOKUP($S375,DATA!$L$4:$L$8,DATA!$O$4:$O$8,"",0)))</f>
        <v/>
      </c>
      <c r="V375" s="261" t="str">
        <f t="shared" si="12"/>
        <v/>
      </c>
      <c r="W375" s="282"/>
      <c r="X375" s="282"/>
      <c r="Y375" s="282"/>
      <c r="Z375" s="282"/>
      <c r="AA375" s="282"/>
      <c r="AB375" s="284"/>
      <c r="AC375" s="262" t="str">
        <f>IF(AE375="","",COUNTIF($AE$1:AE375,AE375))</f>
        <v/>
      </c>
      <c r="AD375" s="261" t="str">
        <f>IF(J375='PLAN DE ESTUDIO'!$XFD$41,"",IF(AE375="","",AC375&amp;K375&amp;L375&amp;M375))</f>
        <v/>
      </c>
      <c r="AE375" s="261" t="str">
        <f>IF(J375='PLAN DE ESTUDIO'!$XFD$41,"",IF(AF375=1,K375&amp;L375&amp;M375,""))</f>
        <v/>
      </c>
      <c r="AF375" s="261">
        <f>COUNTIF($O$1:O375,$O375)</f>
        <v>0</v>
      </c>
      <c r="AG375" s="285" t="str">
        <f>IF(J375='PLAN DE ESTUDIO'!$XFD$41,"",IF(P375="TP","Teórico-Práctica",IF(P375="T","Teórico",IF(P375="P","Práctica",""))))</f>
        <v/>
      </c>
      <c r="AH375" s="234" t="str">
        <f t="shared" si="13"/>
        <v xml:space="preserve"> </v>
      </c>
    </row>
    <row r="376" spans="10:34" x14ac:dyDescent="0.3">
      <c r="J376" s="412"/>
      <c r="K376" s="232"/>
      <c r="L376" s="232"/>
      <c r="M376" s="232"/>
      <c r="N376" s="412"/>
      <c r="P376" s="231"/>
      <c r="Q376" s="412"/>
      <c r="R376" s="425"/>
      <c r="S376" s="442"/>
      <c r="T376" s="283" t="str" cm="1">
        <f t="array" ref="T376">IF($B$9="","",_xlfn.IFS($B$9="PRESENCIAL",_xlfn.XLOOKUP($S376,DATA!$B$4:$B$8,DATA!$D$4:$D$8,"",0,),$B$9="VIRTUAL",_xlfn.XLOOKUP($S376,DATA!$G$4:$G$8,DATA!$I$4:$I$8,"",0),$B$9="DISTANCIA",_xlfn.XLOOKUP($S376,DATA!$L$4:$L$8,DATA!$N$4:$N$8,"",0)))</f>
        <v/>
      </c>
      <c r="U376" s="283" t="str" cm="1">
        <f t="array" ref="U376">IF($B$9="","",_xlfn.IFS($B$9="PRESENCIAL",_xlfn.XLOOKUP($S376,DATA!$B$4:$B$8,DATA!$E$4:$E$8,"",0,),$B$9="VIRTUAL",_xlfn.XLOOKUP($S376,DATA!$G$4:$G$8,DATA!$J$4:$J$8,"",0),$B$9="DISTANCIA",_xlfn.XLOOKUP($S376,DATA!$L$4:$L$8,DATA!$O$4:$O$8,"",0)))</f>
        <v/>
      </c>
      <c r="V376" s="261" t="str">
        <f t="shared" si="12"/>
        <v/>
      </c>
      <c r="W376" s="282"/>
      <c r="X376" s="282"/>
      <c r="Y376" s="282"/>
      <c r="Z376" s="282"/>
      <c r="AA376" s="282"/>
      <c r="AB376" s="284"/>
      <c r="AC376" s="262" t="str">
        <f>IF(AE376="","",COUNTIF($AE$1:AE376,AE376))</f>
        <v/>
      </c>
      <c r="AD376" s="261" t="str">
        <f>IF(J376='PLAN DE ESTUDIO'!$XFD$41,"",IF(AE376="","",AC376&amp;K376&amp;L376&amp;M376))</f>
        <v/>
      </c>
      <c r="AE376" s="261" t="str">
        <f>IF(J376='PLAN DE ESTUDIO'!$XFD$41,"",IF(AF376=1,K376&amp;L376&amp;M376,""))</f>
        <v/>
      </c>
      <c r="AF376" s="261">
        <f>COUNTIF($O$1:O376,$O376)</f>
        <v>0</v>
      </c>
      <c r="AG376" s="285" t="str">
        <f>IF(J376='PLAN DE ESTUDIO'!$XFD$41,"",IF(P376="TP","Teórico-Práctica",IF(P376="T","Teórico",IF(P376="P","Práctica",""))))</f>
        <v/>
      </c>
      <c r="AH376" s="234" t="str">
        <f t="shared" si="13"/>
        <v xml:space="preserve"> </v>
      </c>
    </row>
    <row r="377" spans="10:34" x14ac:dyDescent="0.3">
      <c r="J377" s="412"/>
      <c r="K377" s="232"/>
      <c r="L377" s="232"/>
      <c r="M377" s="232"/>
      <c r="N377" s="412"/>
      <c r="P377" s="231"/>
      <c r="Q377" s="412"/>
      <c r="R377" s="425"/>
      <c r="S377" s="442"/>
      <c r="T377" s="283" t="str" cm="1">
        <f t="array" ref="T377">IF($B$9="","",_xlfn.IFS($B$9="PRESENCIAL",_xlfn.XLOOKUP($S377,DATA!$B$4:$B$8,DATA!$D$4:$D$8,"",0,),$B$9="VIRTUAL",_xlfn.XLOOKUP($S377,DATA!$G$4:$G$8,DATA!$I$4:$I$8,"",0),$B$9="DISTANCIA",_xlfn.XLOOKUP($S377,DATA!$L$4:$L$8,DATA!$N$4:$N$8,"",0)))</f>
        <v/>
      </c>
      <c r="U377" s="283" t="str" cm="1">
        <f t="array" ref="U377">IF($B$9="","",_xlfn.IFS($B$9="PRESENCIAL",_xlfn.XLOOKUP($S377,DATA!$B$4:$B$8,DATA!$E$4:$E$8,"",0,),$B$9="VIRTUAL",_xlfn.XLOOKUP($S377,DATA!$G$4:$G$8,DATA!$J$4:$J$8,"",0),$B$9="DISTANCIA",_xlfn.XLOOKUP($S377,DATA!$L$4:$L$8,DATA!$O$4:$O$8,"",0)))</f>
        <v/>
      </c>
      <c r="V377" s="261" t="str">
        <f t="shared" si="12"/>
        <v/>
      </c>
      <c r="W377" s="282"/>
      <c r="X377" s="282"/>
      <c r="Y377" s="282"/>
      <c r="Z377" s="282"/>
      <c r="AA377" s="282"/>
      <c r="AB377" s="284"/>
      <c r="AC377" s="262" t="str">
        <f>IF(AE377="","",COUNTIF($AE$1:AE377,AE377))</f>
        <v/>
      </c>
      <c r="AD377" s="261" t="str">
        <f>IF(J377='PLAN DE ESTUDIO'!$XFD$41,"",IF(AE377="","",AC377&amp;K377&amp;L377&amp;M377))</f>
        <v/>
      </c>
      <c r="AE377" s="261" t="str">
        <f>IF(J377='PLAN DE ESTUDIO'!$XFD$41,"",IF(AF377=1,K377&amp;L377&amp;M377,""))</f>
        <v/>
      </c>
      <c r="AF377" s="261">
        <f>COUNTIF($O$1:O377,$O377)</f>
        <v>0</v>
      </c>
      <c r="AG377" s="285" t="str">
        <f>IF(J377='PLAN DE ESTUDIO'!$XFD$41,"",IF(P377="TP","Teórico-Práctica",IF(P377="T","Teórico",IF(P377="P","Práctica",""))))</f>
        <v/>
      </c>
      <c r="AH377" s="234" t="str">
        <f t="shared" si="13"/>
        <v xml:space="preserve"> </v>
      </c>
    </row>
    <row r="378" spans="10:34" x14ac:dyDescent="0.3">
      <c r="J378" s="412"/>
      <c r="K378" s="232"/>
      <c r="L378" s="232"/>
      <c r="M378" s="232"/>
      <c r="N378" s="412"/>
      <c r="P378" s="231"/>
      <c r="Q378" s="412"/>
      <c r="R378" s="425"/>
      <c r="S378" s="442"/>
      <c r="T378" s="283" t="str" cm="1">
        <f t="array" ref="T378">IF($B$9="","",_xlfn.IFS($B$9="PRESENCIAL",_xlfn.XLOOKUP($S378,DATA!$B$4:$B$8,DATA!$D$4:$D$8,"",0,),$B$9="VIRTUAL",_xlfn.XLOOKUP($S378,DATA!$G$4:$G$8,DATA!$I$4:$I$8,"",0),$B$9="DISTANCIA",_xlfn.XLOOKUP($S378,DATA!$L$4:$L$8,DATA!$N$4:$N$8,"",0)))</f>
        <v/>
      </c>
      <c r="U378" s="283" t="str" cm="1">
        <f t="array" ref="U378">IF($B$9="","",_xlfn.IFS($B$9="PRESENCIAL",_xlfn.XLOOKUP($S378,DATA!$B$4:$B$8,DATA!$E$4:$E$8,"",0,),$B$9="VIRTUAL",_xlfn.XLOOKUP($S378,DATA!$G$4:$G$8,DATA!$J$4:$J$8,"",0),$B$9="DISTANCIA",_xlfn.XLOOKUP($S378,DATA!$L$4:$L$8,DATA!$O$4:$O$8,"",0)))</f>
        <v/>
      </c>
      <c r="V378" s="261" t="str">
        <f t="shared" si="12"/>
        <v/>
      </c>
      <c r="W378" s="282"/>
      <c r="X378" s="282"/>
      <c r="Y378" s="282"/>
      <c r="Z378" s="282"/>
      <c r="AA378" s="282"/>
      <c r="AB378" s="284"/>
      <c r="AC378" s="262" t="str">
        <f>IF(AE378="","",COUNTIF($AE$1:AE378,AE378))</f>
        <v/>
      </c>
      <c r="AD378" s="261" t="str">
        <f>IF(J378='PLAN DE ESTUDIO'!$XFD$41,"",IF(AE378="","",AC378&amp;K378&amp;L378&amp;M378))</f>
        <v/>
      </c>
      <c r="AE378" s="261" t="str">
        <f>IF(J378='PLAN DE ESTUDIO'!$XFD$41,"",IF(AF378=1,K378&amp;L378&amp;M378,""))</f>
        <v/>
      </c>
      <c r="AF378" s="261">
        <f>COUNTIF($O$1:O378,$O378)</f>
        <v>0</v>
      </c>
      <c r="AG378" s="285" t="str">
        <f>IF(J378='PLAN DE ESTUDIO'!$XFD$41,"",IF(P378="TP","Teórico-Práctica",IF(P378="T","Teórico",IF(P378="P","Práctica",""))))</f>
        <v/>
      </c>
      <c r="AH378" s="234" t="str">
        <f t="shared" si="13"/>
        <v xml:space="preserve"> </v>
      </c>
    </row>
    <row r="379" spans="10:34" x14ac:dyDescent="0.3">
      <c r="J379" s="412"/>
      <c r="K379" s="232"/>
      <c r="L379" s="232"/>
      <c r="M379" s="232"/>
      <c r="N379" s="412"/>
      <c r="P379" s="231"/>
      <c r="Q379" s="412"/>
      <c r="R379" s="425"/>
      <c r="S379" s="442"/>
      <c r="T379" s="283" t="str" cm="1">
        <f t="array" ref="T379">IF($B$9="","",_xlfn.IFS($B$9="PRESENCIAL",_xlfn.XLOOKUP($S379,DATA!$B$4:$B$8,DATA!$D$4:$D$8,"",0,),$B$9="VIRTUAL",_xlfn.XLOOKUP($S379,DATA!$G$4:$G$8,DATA!$I$4:$I$8,"",0),$B$9="DISTANCIA",_xlfn.XLOOKUP($S379,DATA!$L$4:$L$8,DATA!$N$4:$N$8,"",0)))</f>
        <v/>
      </c>
      <c r="U379" s="283" t="str" cm="1">
        <f t="array" ref="U379">IF($B$9="","",_xlfn.IFS($B$9="PRESENCIAL",_xlfn.XLOOKUP($S379,DATA!$B$4:$B$8,DATA!$E$4:$E$8,"",0,),$B$9="VIRTUAL",_xlfn.XLOOKUP($S379,DATA!$G$4:$G$8,DATA!$J$4:$J$8,"",0),$B$9="DISTANCIA",_xlfn.XLOOKUP($S379,DATA!$L$4:$L$8,DATA!$O$4:$O$8,"",0)))</f>
        <v/>
      </c>
      <c r="V379" s="261" t="str">
        <f t="shared" si="12"/>
        <v/>
      </c>
      <c r="W379" s="282"/>
      <c r="X379" s="282"/>
      <c r="Y379" s="282"/>
      <c r="Z379" s="282"/>
      <c r="AA379" s="282"/>
      <c r="AB379" s="284"/>
      <c r="AC379" s="262" t="str">
        <f>IF(AE379="","",COUNTIF($AE$1:AE379,AE379))</f>
        <v/>
      </c>
      <c r="AD379" s="261" t="str">
        <f>IF(J379='PLAN DE ESTUDIO'!$XFD$41,"",IF(AE379="","",AC379&amp;K379&amp;L379&amp;M379))</f>
        <v/>
      </c>
      <c r="AE379" s="261" t="str">
        <f>IF(J379='PLAN DE ESTUDIO'!$XFD$41,"",IF(AF379=1,K379&amp;L379&amp;M379,""))</f>
        <v/>
      </c>
      <c r="AF379" s="261">
        <f>COUNTIF($O$1:O379,$O379)</f>
        <v>0</v>
      </c>
      <c r="AG379" s="285" t="str">
        <f>IF(J379='PLAN DE ESTUDIO'!$XFD$41,"",IF(P379="TP","Teórico-Práctica",IF(P379="T","Teórico",IF(P379="P","Práctica",""))))</f>
        <v/>
      </c>
      <c r="AH379" s="234" t="str">
        <f t="shared" si="13"/>
        <v xml:space="preserve"> </v>
      </c>
    </row>
    <row r="380" spans="10:34" x14ac:dyDescent="0.3">
      <c r="J380" s="412"/>
      <c r="K380" s="232"/>
      <c r="L380" s="232"/>
      <c r="M380" s="232"/>
      <c r="N380" s="412"/>
      <c r="P380" s="231"/>
      <c r="Q380" s="412"/>
      <c r="R380" s="425"/>
      <c r="S380" s="442"/>
      <c r="T380" s="283" t="str" cm="1">
        <f t="array" ref="T380">IF($B$9="","",_xlfn.IFS($B$9="PRESENCIAL",_xlfn.XLOOKUP($S380,DATA!$B$4:$B$8,DATA!$D$4:$D$8,"",0,),$B$9="VIRTUAL",_xlfn.XLOOKUP($S380,DATA!$G$4:$G$8,DATA!$I$4:$I$8,"",0),$B$9="DISTANCIA",_xlfn.XLOOKUP($S380,DATA!$L$4:$L$8,DATA!$N$4:$N$8,"",0)))</f>
        <v/>
      </c>
      <c r="U380" s="283" t="str" cm="1">
        <f t="array" ref="U380">IF($B$9="","",_xlfn.IFS($B$9="PRESENCIAL",_xlfn.XLOOKUP($S380,DATA!$B$4:$B$8,DATA!$E$4:$E$8,"",0,),$B$9="VIRTUAL",_xlfn.XLOOKUP($S380,DATA!$G$4:$G$8,DATA!$J$4:$J$8,"",0),$B$9="DISTANCIA",_xlfn.XLOOKUP($S380,DATA!$L$4:$L$8,DATA!$O$4:$O$8,"",0)))</f>
        <v/>
      </c>
      <c r="V380" s="261" t="str">
        <f t="shared" si="12"/>
        <v/>
      </c>
      <c r="W380" s="282"/>
      <c r="X380" s="282"/>
      <c r="Y380" s="282"/>
      <c r="Z380" s="282"/>
      <c r="AA380" s="282"/>
      <c r="AB380" s="284"/>
      <c r="AC380" s="262" t="str">
        <f>IF(AE380="","",COUNTIF($AE$1:AE380,AE380))</f>
        <v/>
      </c>
      <c r="AD380" s="261" t="str">
        <f>IF(J380='PLAN DE ESTUDIO'!$XFD$41,"",IF(AE380="","",AC380&amp;K380&amp;L380&amp;M380))</f>
        <v/>
      </c>
      <c r="AE380" s="261" t="str">
        <f>IF(J380='PLAN DE ESTUDIO'!$XFD$41,"",IF(AF380=1,K380&amp;L380&amp;M380,""))</f>
        <v/>
      </c>
      <c r="AF380" s="261">
        <f>COUNTIF($O$1:O380,$O380)</f>
        <v>0</v>
      </c>
      <c r="AG380" s="285" t="str">
        <f>IF(J380='PLAN DE ESTUDIO'!$XFD$41,"",IF(P380="TP","Teórico-Práctica",IF(P380="T","Teórico",IF(P380="P","Práctica",""))))</f>
        <v/>
      </c>
      <c r="AH380" s="234" t="str">
        <f t="shared" si="13"/>
        <v xml:space="preserve"> </v>
      </c>
    </row>
    <row r="381" spans="10:34" x14ac:dyDescent="0.3">
      <c r="J381" s="412"/>
      <c r="K381" s="232"/>
      <c r="L381" s="232"/>
      <c r="M381" s="232"/>
      <c r="N381" s="412"/>
      <c r="P381" s="231"/>
      <c r="Q381" s="412"/>
      <c r="R381" s="425"/>
      <c r="S381" s="442"/>
      <c r="T381" s="283" t="str" cm="1">
        <f t="array" ref="T381">IF($B$9="","",_xlfn.IFS($B$9="PRESENCIAL",_xlfn.XLOOKUP($S381,DATA!$B$4:$B$8,DATA!$D$4:$D$8,"",0,),$B$9="VIRTUAL",_xlfn.XLOOKUP($S381,DATA!$G$4:$G$8,DATA!$I$4:$I$8,"",0),$B$9="DISTANCIA",_xlfn.XLOOKUP($S381,DATA!$L$4:$L$8,DATA!$N$4:$N$8,"",0)))</f>
        <v/>
      </c>
      <c r="U381" s="283" t="str" cm="1">
        <f t="array" ref="U381">IF($B$9="","",_xlfn.IFS($B$9="PRESENCIAL",_xlfn.XLOOKUP($S381,DATA!$B$4:$B$8,DATA!$E$4:$E$8,"",0,),$B$9="VIRTUAL",_xlfn.XLOOKUP($S381,DATA!$G$4:$G$8,DATA!$J$4:$J$8,"",0),$B$9="DISTANCIA",_xlfn.XLOOKUP($S381,DATA!$L$4:$L$8,DATA!$O$4:$O$8,"",0)))</f>
        <v/>
      </c>
      <c r="V381" s="261" t="str">
        <f t="shared" si="12"/>
        <v/>
      </c>
      <c r="W381" s="282"/>
      <c r="X381" s="282"/>
      <c r="Y381" s="282"/>
      <c r="Z381" s="282"/>
      <c r="AA381" s="282"/>
      <c r="AB381" s="284"/>
      <c r="AC381" s="262" t="str">
        <f>IF(AE381="","",COUNTIF($AE$1:AE381,AE381))</f>
        <v/>
      </c>
      <c r="AD381" s="261" t="str">
        <f>IF(J381='PLAN DE ESTUDIO'!$XFD$41,"",IF(AE381="","",AC381&amp;K381&amp;L381&amp;M381))</f>
        <v/>
      </c>
      <c r="AE381" s="261" t="str">
        <f>IF(J381='PLAN DE ESTUDIO'!$XFD$41,"",IF(AF381=1,K381&amp;L381&amp;M381,""))</f>
        <v/>
      </c>
      <c r="AF381" s="261">
        <f>COUNTIF($O$1:O381,$O381)</f>
        <v>0</v>
      </c>
      <c r="AG381" s="285" t="str">
        <f>IF(J381='PLAN DE ESTUDIO'!$XFD$41,"",IF(P381="TP","Teórico-Práctica",IF(P381="T","Teórico",IF(P381="P","Práctica",""))))</f>
        <v/>
      </c>
      <c r="AH381" s="234" t="str">
        <f t="shared" si="13"/>
        <v xml:space="preserve"> </v>
      </c>
    </row>
    <row r="382" spans="10:34" x14ac:dyDescent="0.3">
      <c r="J382" s="412"/>
      <c r="K382" s="232"/>
      <c r="L382" s="232"/>
      <c r="M382" s="232"/>
      <c r="N382" s="412"/>
      <c r="P382" s="231"/>
      <c r="Q382" s="412"/>
      <c r="R382" s="425"/>
      <c r="S382" s="442"/>
      <c r="T382" s="283" t="str" cm="1">
        <f t="array" ref="T382">IF($B$9="","",_xlfn.IFS($B$9="PRESENCIAL",_xlfn.XLOOKUP($S382,DATA!$B$4:$B$8,DATA!$D$4:$D$8,"",0,),$B$9="VIRTUAL",_xlfn.XLOOKUP($S382,DATA!$G$4:$G$8,DATA!$I$4:$I$8,"",0),$B$9="DISTANCIA",_xlfn.XLOOKUP($S382,DATA!$L$4:$L$8,DATA!$N$4:$N$8,"",0)))</f>
        <v/>
      </c>
      <c r="U382" s="283" t="str" cm="1">
        <f t="array" ref="U382">IF($B$9="","",_xlfn.IFS($B$9="PRESENCIAL",_xlfn.XLOOKUP($S382,DATA!$B$4:$B$8,DATA!$E$4:$E$8,"",0,),$B$9="VIRTUAL",_xlfn.XLOOKUP($S382,DATA!$G$4:$G$8,DATA!$J$4:$J$8,"",0),$B$9="DISTANCIA",_xlfn.XLOOKUP($S382,DATA!$L$4:$L$8,DATA!$O$4:$O$8,"",0)))</f>
        <v/>
      </c>
      <c r="V382" s="261" t="str">
        <f t="shared" si="12"/>
        <v/>
      </c>
      <c r="W382" s="282"/>
      <c r="X382" s="282"/>
      <c r="Y382" s="282"/>
      <c r="Z382" s="282"/>
      <c r="AA382" s="282"/>
      <c r="AB382" s="284"/>
      <c r="AC382" s="262" t="str">
        <f>IF(AE382="","",COUNTIF($AE$1:AE382,AE382))</f>
        <v/>
      </c>
      <c r="AD382" s="261" t="str">
        <f>IF(J382='PLAN DE ESTUDIO'!$XFD$41,"",IF(AE382="","",AC382&amp;K382&amp;L382&amp;M382))</f>
        <v/>
      </c>
      <c r="AE382" s="261" t="str">
        <f>IF(J382='PLAN DE ESTUDIO'!$XFD$41,"",IF(AF382=1,K382&amp;L382&amp;M382,""))</f>
        <v/>
      </c>
      <c r="AF382" s="261">
        <f>COUNTIF($O$1:O382,$O382)</f>
        <v>0</v>
      </c>
      <c r="AG382" s="285" t="str">
        <f>IF(J382='PLAN DE ESTUDIO'!$XFD$41,"",IF(P382="TP","Teórico-Práctica",IF(P382="T","Teórico",IF(P382="P","Práctica",""))))</f>
        <v/>
      </c>
      <c r="AH382" s="234" t="str">
        <f t="shared" si="13"/>
        <v xml:space="preserve"> </v>
      </c>
    </row>
    <row r="383" spans="10:34" x14ac:dyDescent="0.3">
      <c r="J383" s="412"/>
      <c r="K383" s="232"/>
      <c r="L383" s="232"/>
      <c r="M383" s="232"/>
      <c r="N383" s="412"/>
      <c r="P383" s="231"/>
      <c r="Q383" s="412"/>
      <c r="R383" s="425"/>
      <c r="S383" s="442"/>
      <c r="T383" s="283" t="str" cm="1">
        <f t="array" ref="T383">IF($B$9="","",_xlfn.IFS($B$9="PRESENCIAL",_xlfn.XLOOKUP($S383,DATA!$B$4:$B$8,DATA!$D$4:$D$8,"",0,),$B$9="VIRTUAL",_xlfn.XLOOKUP($S383,DATA!$G$4:$G$8,DATA!$I$4:$I$8,"",0),$B$9="DISTANCIA",_xlfn.XLOOKUP($S383,DATA!$L$4:$L$8,DATA!$N$4:$N$8,"",0)))</f>
        <v/>
      </c>
      <c r="U383" s="283" t="str" cm="1">
        <f t="array" ref="U383">IF($B$9="","",_xlfn.IFS($B$9="PRESENCIAL",_xlfn.XLOOKUP($S383,DATA!$B$4:$B$8,DATA!$E$4:$E$8,"",0,),$B$9="VIRTUAL",_xlfn.XLOOKUP($S383,DATA!$G$4:$G$8,DATA!$J$4:$J$8,"",0),$B$9="DISTANCIA",_xlfn.XLOOKUP($S383,DATA!$L$4:$L$8,DATA!$O$4:$O$8,"",0)))</f>
        <v/>
      </c>
      <c r="V383" s="261" t="str">
        <f t="shared" si="12"/>
        <v/>
      </c>
      <c r="W383" s="282"/>
      <c r="X383" s="282"/>
      <c r="Y383" s="282"/>
      <c r="Z383" s="282"/>
      <c r="AA383" s="282"/>
      <c r="AB383" s="284"/>
      <c r="AC383" s="262" t="str">
        <f>IF(AE383="","",COUNTIF($AE$1:AE383,AE383))</f>
        <v/>
      </c>
      <c r="AD383" s="261" t="str">
        <f>IF(J383='PLAN DE ESTUDIO'!$XFD$41,"",IF(AE383="","",AC383&amp;K383&amp;L383&amp;M383))</f>
        <v/>
      </c>
      <c r="AE383" s="261" t="str">
        <f>IF(J383='PLAN DE ESTUDIO'!$XFD$41,"",IF(AF383=1,K383&amp;L383&amp;M383,""))</f>
        <v/>
      </c>
      <c r="AF383" s="261">
        <f>COUNTIF($O$1:O383,$O383)</f>
        <v>0</v>
      </c>
      <c r="AG383" s="285" t="str">
        <f>IF(J383='PLAN DE ESTUDIO'!$XFD$41,"",IF(P383="TP","Teórico-Práctica",IF(P383="T","Teórico",IF(P383="P","Práctica",""))))</f>
        <v/>
      </c>
      <c r="AH383" s="234" t="str">
        <f t="shared" si="13"/>
        <v xml:space="preserve"> </v>
      </c>
    </row>
    <row r="384" spans="10:34" x14ac:dyDescent="0.3">
      <c r="J384" s="412"/>
      <c r="K384" s="232"/>
      <c r="L384" s="232"/>
      <c r="M384" s="232"/>
      <c r="N384" s="412"/>
      <c r="P384" s="231"/>
      <c r="Q384" s="412"/>
      <c r="R384" s="425"/>
      <c r="S384" s="442"/>
      <c r="T384" s="283" t="str" cm="1">
        <f t="array" ref="T384">IF($B$9="","",_xlfn.IFS($B$9="PRESENCIAL",_xlfn.XLOOKUP($S384,DATA!$B$4:$B$8,DATA!$D$4:$D$8,"",0,),$B$9="VIRTUAL",_xlfn.XLOOKUP($S384,DATA!$G$4:$G$8,DATA!$I$4:$I$8,"",0),$B$9="DISTANCIA",_xlfn.XLOOKUP($S384,DATA!$L$4:$L$8,DATA!$N$4:$N$8,"",0)))</f>
        <v/>
      </c>
      <c r="U384" s="283" t="str" cm="1">
        <f t="array" ref="U384">IF($B$9="","",_xlfn.IFS($B$9="PRESENCIAL",_xlfn.XLOOKUP($S384,DATA!$B$4:$B$8,DATA!$E$4:$E$8,"",0,),$B$9="VIRTUAL",_xlfn.XLOOKUP($S384,DATA!$G$4:$G$8,DATA!$J$4:$J$8,"",0),$B$9="DISTANCIA",_xlfn.XLOOKUP($S384,DATA!$L$4:$L$8,DATA!$O$4:$O$8,"",0)))</f>
        <v/>
      </c>
      <c r="V384" s="261" t="str">
        <f t="shared" si="12"/>
        <v/>
      </c>
      <c r="W384" s="282"/>
      <c r="X384" s="282"/>
      <c r="Y384" s="282"/>
      <c r="Z384" s="282"/>
      <c r="AA384" s="282"/>
      <c r="AB384" s="284"/>
      <c r="AC384" s="262" t="str">
        <f>IF(AE384="","",COUNTIF($AE$1:AE384,AE384))</f>
        <v/>
      </c>
      <c r="AD384" s="261" t="str">
        <f>IF(J384='PLAN DE ESTUDIO'!$XFD$41,"",IF(AE384="","",AC384&amp;K384&amp;L384&amp;M384))</f>
        <v/>
      </c>
      <c r="AE384" s="261" t="str">
        <f>IF(J384='PLAN DE ESTUDIO'!$XFD$41,"",IF(AF384=1,K384&amp;L384&amp;M384,""))</f>
        <v/>
      </c>
      <c r="AF384" s="261">
        <f>COUNTIF($O$1:O384,$O384)</f>
        <v>0</v>
      </c>
      <c r="AG384" s="285" t="str">
        <f>IF(J384='PLAN DE ESTUDIO'!$XFD$41,"",IF(P384="TP","Teórico-Práctica",IF(P384="T","Teórico",IF(P384="P","Práctica",""))))</f>
        <v/>
      </c>
      <c r="AH384" s="234" t="str">
        <f t="shared" si="13"/>
        <v xml:space="preserve"> </v>
      </c>
    </row>
    <row r="385" spans="10:34" x14ac:dyDescent="0.3">
      <c r="J385" s="412"/>
      <c r="K385" s="232"/>
      <c r="L385" s="232"/>
      <c r="M385" s="232"/>
      <c r="N385" s="412"/>
      <c r="P385" s="231"/>
      <c r="Q385" s="412"/>
      <c r="R385" s="425"/>
      <c r="S385" s="442"/>
      <c r="T385" s="283" t="str" cm="1">
        <f t="array" ref="T385">IF($B$9="","",_xlfn.IFS($B$9="PRESENCIAL",_xlfn.XLOOKUP($S385,DATA!$B$4:$B$8,DATA!$D$4:$D$8,"",0,),$B$9="VIRTUAL",_xlfn.XLOOKUP($S385,DATA!$G$4:$G$8,DATA!$I$4:$I$8,"",0),$B$9="DISTANCIA",_xlfn.XLOOKUP($S385,DATA!$L$4:$L$8,DATA!$N$4:$N$8,"",0)))</f>
        <v/>
      </c>
      <c r="U385" s="283" t="str" cm="1">
        <f t="array" ref="U385">IF($B$9="","",_xlfn.IFS($B$9="PRESENCIAL",_xlfn.XLOOKUP($S385,DATA!$B$4:$B$8,DATA!$E$4:$E$8,"",0,),$B$9="VIRTUAL",_xlfn.XLOOKUP($S385,DATA!$G$4:$G$8,DATA!$J$4:$J$8,"",0),$B$9="DISTANCIA",_xlfn.XLOOKUP($S385,DATA!$L$4:$L$8,DATA!$O$4:$O$8,"",0)))</f>
        <v/>
      </c>
      <c r="V385" s="261" t="str">
        <f t="shared" si="12"/>
        <v/>
      </c>
      <c r="W385" s="282"/>
      <c r="X385" s="282"/>
      <c r="Y385" s="282"/>
      <c r="Z385" s="282"/>
      <c r="AA385" s="282"/>
      <c r="AB385" s="284"/>
      <c r="AC385" s="262" t="str">
        <f>IF(AE385="","",COUNTIF($AE$1:AE385,AE385))</f>
        <v/>
      </c>
      <c r="AD385" s="261" t="str">
        <f>IF(J385='PLAN DE ESTUDIO'!$XFD$41,"",IF(AE385="","",AC385&amp;K385&amp;L385&amp;M385))</f>
        <v/>
      </c>
      <c r="AE385" s="261" t="str">
        <f>IF(J385='PLAN DE ESTUDIO'!$XFD$41,"",IF(AF385=1,K385&amp;L385&amp;M385,""))</f>
        <v/>
      </c>
      <c r="AF385" s="261">
        <f>COUNTIF($O$1:O385,$O385)</f>
        <v>0</v>
      </c>
      <c r="AG385" s="285" t="str">
        <f>IF(J385='PLAN DE ESTUDIO'!$XFD$41,"",IF(P385="TP","Teórico-Práctica",IF(P385="T","Teórico",IF(P385="P","Práctica",""))))</f>
        <v/>
      </c>
      <c r="AH385" s="234" t="str">
        <f t="shared" si="13"/>
        <v xml:space="preserve"> </v>
      </c>
    </row>
    <row r="386" spans="10:34" x14ac:dyDescent="0.3">
      <c r="J386" s="412"/>
      <c r="K386" s="232"/>
      <c r="L386" s="232"/>
      <c r="M386" s="232"/>
      <c r="N386" s="412"/>
      <c r="P386" s="231"/>
      <c r="Q386" s="412"/>
      <c r="R386" s="425"/>
      <c r="S386" s="442"/>
      <c r="T386" s="283" t="str" cm="1">
        <f t="array" ref="T386">IF($B$9="","",_xlfn.IFS($B$9="PRESENCIAL",_xlfn.XLOOKUP($S386,DATA!$B$4:$B$8,DATA!$D$4:$D$8,"",0,),$B$9="VIRTUAL",_xlfn.XLOOKUP($S386,DATA!$G$4:$G$8,DATA!$I$4:$I$8,"",0),$B$9="DISTANCIA",_xlfn.XLOOKUP($S386,DATA!$L$4:$L$8,DATA!$N$4:$N$8,"",0)))</f>
        <v/>
      </c>
      <c r="U386" s="283" t="str" cm="1">
        <f t="array" ref="U386">IF($B$9="","",_xlfn.IFS($B$9="PRESENCIAL",_xlfn.XLOOKUP($S386,DATA!$B$4:$B$8,DATA!$E$4:$E$8,"",0,),$B$9="VIRTUAL",_xlfn.XLOOKUP($S386,DATA!$G$4:$G$8,DATA!$J$4:$J$8,"",0),$B$9="DISTANCIA",_xlfn.XLOOKUP($S386,DATA!$L$4:$L$8,DATA!$O$4:$O$8,"",0)))</f>
        <v/>
      </c>
      <c r="V386" s="261" t="str">
        <f t="shared" si="12"/>
        <v/>
      </c>
      <c r="W386" s="282"/>
      <c r="X386" s="282"/>
      <c r="Y386" s="282"/>
      <c r="Z386" s="282"/>
      <c r="AA386" s="282"/>
      <c r="AB386" s="284"/>
      <c r="AC386" s="262" t="str">
        <f>IF(AE386="","",COUNTIF($AE$1:AE386,AE386))</f>
        <v/>
      </c>
      <c r="AD386" s="261" t="str">
        <f>IF(J386='PLAN DE ESTUDIO'!$XFD$41,"",IF(AE386="","",AC386&amp;K386&amp;L386&amp;M386))</f>
        <v/>
      </c>
      <c r="AE386" s="261" t="str">
        <f>IF(J386='PLAN DE ESTUDIO'!$XFD$41,"",IF(AF386=1,K386&amp;L386&amp;M386,""))</f>
        <v/>
      </c>
      <c r="AF386" s="261">
        <f>COUNTIF($O$1:O386,$O386)</f>
        <v>0</v>
      </c>
      <c r="AG386" s="285" t="str">
        <f>IF(J386='PLAN DE ESTUDIO'!$XFD$41,"",IF(P386="TP","Teórico-Práctica",IF(P386="T","Teórico",IF(P386="P","Práctica",""))))</f>
        <v/>
      </c>
      <c r="AH386" s="234" t="str">
        <f t="shared" si="13"/>
        <v xml:space="preserve"> </v>
      </c>
    </row>
    <row r="387" spans="10:34" x14ac:dyDescent="0.3">
      <c r="J387" s="412"/>
      <c r="K387" s="232"/>
      <c r="L387" s="232"/>
      <c r="M387" s="232"/>
      <c r="N387" s="412"/>
      <c r="P387" s="231"/>
      <c r="Q387" s="412"/>
      <c r="R387" s="425"/>
      <c r="S387" s="442"/>
      <c r="T387" s="283" t="str" cm="1">
        <f t="array" ref="T387">IF($B$9="","",_xlfn.IFS($B$9="PRESENCIAL",_xlfn.XLOOKUP($S387,DATA!$B$4:$B$8,DATA!$D$4:$D$8,"",0,),$B$9="VIRTUAL",_xlfn.XLOOKUP($S387,DATA!$G$4:$G$8,DATA!$I$4:$I$8,"",0),$B$9="DISTANCIA",_xlfn.XLOOKUP($S387,DATA!$L$4:$L$8,DATA!$N$4:$N$8,"",0)))</f>
        <v/>
      </c>
      <c r="U387" s="283" t="str" cm="1">
        <f t="array" ref="U387">IF($B$9="","",_xlfn.IFS($B$9="PRESENCIAL",_xlfn.XLOOKUP($S387,DATA!$B$4:$B$8,DATA!$E$4:$E$8,"",0,),$B$9="VIRTUAL",_xlfn.XLOOKUP($S387,DATA!$G$4:$G$8,DATA!$J$4:$J$8,"",0),$B$9="DISTANCIA",_xlfn.XLOOKUP($S387,DATA!$L$4:$L$8,DATA!$O$4:$O$8,"",0)))</f>
        <v/>
      </c>
      <c r="V387" s="261" t="str">
        <f t="shared" si="12"/>
        <v/>
      </c>
      <c r="W387" s="282"/>
      <c r="X387" s="282"/>
      <c r="Y387" s="282"/>
      <c r="Z387" s="282"/>
      <c r="AA387" s="282"/>
      <c r="AB387" s="284"/>
      <c r="AC387" s="262" t="str">
        <f>IF(AE387="","",COUNTIF($AE$1:AE387,AE387))</f>
        <v/>
      </c>
      <c r="AD387" s="261" t="str">
        <f>IF(J387='PLAN DE ESTUDIO'!$XFD$41,"",IF(AE387="","",AC387&amp;K387&amp;L387&amp;M387))</f>
        <v/>
      </c>
      <c r="AE387" s="261" t="str">
        <f>IF(J387='PLAN DE ESTUDIO'!$XFD$41,"",IF(AF387=1,K387&amp;L387&amp;M387,""))</f>
        <v/>
      </c>
      <c r="AF387" s="261">
        <f>COUNTIF($O$1:O387,$O387)</f>
        <v>0</v>
      </c>
      <c r="AG387" s="285" t="str">
        <f>IF(J387='PLAN DE ESTUDIO'!$XFD$41,"",IF(P387="TP","Teórico-Práctica",IF(P387="T","Teórico",IF(P387="P","Práctica",""))))</f>
        <v/>
      </c>
      <c r="AH387" s="234" t="str">
        <f t="shared" si="13"/>
        <v xml:space="preserve"> </v>
      </c>
    </row>
    <row r="388" spans="10:34" x14ac:dyDescent="0.3">
      <c r="J388" s="412"/>
      <c r="K388" s="232"/>
      <c r="L388" s="232"/>
      <c r="M388" s="232"/>
      <c r="N388" s="412"/>
      <c r="P388" s="231"/>
      <c r="Q388" s="412"/>
      <c r="R388" s="425"/>
      <c r="S388" s="442"/>
      <c r="T388" s="283" t="str" cm="1">
        <f t="array" ref="T388">IF($B$9="","",_xlfn.IFS($B$9="PRESENCIAL",_xlfn.XLOOKUP($S388,DATA!$B$4:$B$8,DATA!$D$4:$D$8,"",0,),$B$9="VIRTUAL",_xlfn.XLOOKUP($S388,DATA!$G$4:$G$8,DATA!$I$4:$I$8,"",0),$B$9="DISTANCIA",_xlfn.XLOOKUP($S388,DATA!$L$4:$L$8,DATA!$N$4:$N$8,"",0)))</f>
        <v/>
      </c>
      <c r="U388" s="283" t="str" cm="1">
        <f t="array" ref="U388">IF($B$9="","",_xlfn.IFS($B$9="PRESENCIAL",_xlfn.XLOOKUP($S388,DATA!$B$4:$B$8,DATA!$E$4:$E$8,"",0,),$B$9="VIRTUAL",_xlfn.XLOOKUP($S388,DATA!$G$4:$G$8,DATA!$J$4:$J$8,"",0),$B$9="DISTANCIA",_xlfn.XLOOKUP($S388,DATA!$L$4:$L$8,DATA!$O$4:$O$8,"",0)))</f>
        <v/>
      </c>
      <c r="V388" s="261" t="str">
        <f t="shared" si="12"/>
        <v/>
      </c>
      <c r="W388" s="282"/>
      <c r="X388" s="282"/>
      <c r="Y388" s="282"/>
      <c r="Z388" s="282"/>
      <c r="AA388" s="282"/>
      <c r="AB388" s="284"/>
      <c r="AC388" s="262" t="str">
        <f>IF(AE388="","",COUNTIF($AE$1:AE388,AE388))</f>
        <v/>
      </c>
      <c r="AD388" s="261" t="str">
        <f>IF(J388='PLAN DE ESTUDIO'!$XFD$41,"",IF(AE388="","",AC388&amp;K388&amp;L388&amp;M388))</f>
        <v/>
      </c>
      <c r="AE388" s="261" t="str">
        <f>IF(J388='PLAN DE ESTUDIO'!$XFD$41,"",IF(AF388=1,K388&amp;L388&amp;M388,""))</f>
        <v/>
      </c>
      <c r="AF388" s="261">
        <f>COUNTIF($O$1:O388,$O388)</f>
        <v>0</v>
      </c>
      <c r="AG388" s="285" t="str">
        <f>IF(J388='PLAN DE ESTUDIO'!$XFD$41,"",IF(P388="TP","Teórico-Práctica",IF(P388="T","Teórico",IF(P388="P","Práctica",""))))</f>
        <v/>
      </c>
      <c r="AH388" s="234" t="str">
        <f t="shared" si="13"/>
        <v xml:space="preserve"> </v>
      </c>
    </row>
    <row r="389" spans="10:34" x14ac:dyDescent="0.3">
      <c r="J389" s="412"/>
      <c r="K389" s="232"/>
      <c r="L389" s="232"/>
      <c r="M389" s="232"/>
      <c r="N389" s="412"/>
      <c r="P389" s="231"/>
      <c r="Q389" s="412"/>
      <c r="R389" s="425"/>
      <c r="S389" s="442"/>
      <c r="T389" s="283" t="str" cm="1">
        <f t="array" ref="T389">IF($B$9="","",_xlfn.IFS($B$9="PRESENCIAL",_xlfn.XLOOKUP($S389,DATA!$B$4:$B$8,DATA!$D$4:$D$8,"",0,),$B$9="VIRTUAL",_xlfn.XLOOKUP($S389,DATA!$G$4:$G$8,DATA!$I$4:$I$8,"",0),$B$9="DISTANCIA",_xlfn.XLOOKUP($S389,DATA!$L$4:$L$8,DATA!$N$4:$N$8,"",0)))</f>
        <v/>
      </c>
      <c r="U389" s="283" t="str" cm="1">
        <f t="array" ref="U389">IF($B$9="","",_xlfn.IFS($B$9="PRESENCIAL",_xlfn.XLOOKUP($S389,DATA!$B$4:$B$8,DATA!$E$4:$E$8,"",0,),$B$9="VIRTUAL",_xlfn.XLOOKUP($S389,DATA!$G$4:$G$8,DATA!$J$4:$J$8,"",0),$B$9="DISTANCIA",_xlfn.XLOOKUP($S389,DATA!$L$4:$L$8,DATA!$O$4:$O$8,"",0)))</f>
        <v/>
      </c>
      <c r="V389" s="261" t="str">
        <f t="shared" si="12"/>
        <v/>
      </c>
      <c r="W389" s="282"/>
      <c r="X389" s="282"/>
      <c r="Y389" s="282"/>
      <c r="Z389" s="282"/>
      <c r="AA389" s="282"/>
      <c r="AB389" s="284"/>
      <c r="AC389" s="262" t="str">
        <f>IF(AE389="","",COUNTIF($AE$1:AE389,AE389))</f>
        <v/>
      </c>
      <c r="AD389" s="261" t="str">
        <f>IF(J389='PLAN DE ESTUDIO'!$XFD$41,"",IF(AE389="","",AC389&amp;K389&amp;L389&amp;M389))</f>
        <v/>
      </c>
      <c r="AE389" s="261" t="str">
        <f>IF(J389='PLAN DE ESTUDIO'!$XFD$41,"",IF(AF389=1,K389&amp;L389&amp;M389,""))</f>
        <v/>
      </c>
      <c r="AF389" s="261">
        <f>COUNTIF($O$1:O389,$O389)</f>
        <v>0</v>
      </c>
      <c r="AG389" s="285" t="str">
        <f>IF(J389='PLAN DE ESTUDIO'!$XFD$41,"",IF(P389="TP","Teórico-Práctica",IF(P389="T","Teórico",IF(P389="P","Práctica",""))))</f>
        <v/>
      </c>
      <c r="AH389" s="234" t="str">
        <f t="shared" si="13"/>
        <v xml:space="preserve"> </v>
      </c>
    </row>
    <row r="390" spans="10:34" x14ac:dyDescent="0.3">
      <c r="J390" s="412"/>
      <c r="K390" s="232"/>
      <c r="L390" s="232"/>
      <c r="M390" s="232"/>
      <c r="N390" s="412"/>
      <c r="P390" s="231"/>
      <c r="Q390" s="412"/>
      <c r="R390" s="425"/>
      <c r="S390" s="442"/>
      <c r="T390" s="283" t="str" cm="1">
        <f t="array" ref="T390">IF($B$9="","",_xlfn.IFS($B$9="PRESENCIAL",_xlfn.XLOOKUP($S390,DATA!$B$4:$B$8,DATA!$D$4:$D$8,"",0,),$B$9="VIRTUAL",_xlfn.XLOOKUP($S390,DATA!$G$4:$G$8,DATA!$I$4:$I$8,"",0),$B$9="DISTANCIA",_xlfn.XLOOKUP($S390,DATA!$L$4:$L$8,DATA!$N$4:$N$8,"",0)))</f>
        <v/>
      </c>
      <c r="U390" s="283" t="str" cm="1">
        <f t="array" ref="U390">IF($B$9="","",_xlfn.IFS($B$9="PRESENCIAL",_xlfn.XLOOKUP($S390,DATA!$B$4:$B$8,DATA!$E$4:$E$8,"",0,),$B$9="VIRTUAL",_xlfn.XLOOKUP($S390,DATA!$G$4:$G$8,DATA!$J$4:$J$8,"",0),$B$9="DISTANCIA",_xlfn.XLOOKUP($S390,DATA!$L$4:$L$8,DATA!$O$4:$O$8,"",0)))</f>
        <v/>
      </c>
      <c r="V390" s="261" t="str">
        <f t="shared" si="12"/>
        <v/>
      </c>
      <c r="W390" s="282"/>
      <c r="X390" s="282"/>
      <c r="Y390" s="282"/>
      <c r="Z390" s="282"/>
      <c r="AA390" s="282"/>
      <c r="AB390" s="284"/>
      <c r="AC390" s="262" t="str">
        <f>IF(AE390="","",COUNTIF($AE$1:AE390,AE390))</f>
        <v/>
      </c>
      <c r="AD390" s="261" t="str">
        <f>IF(J390='PLAN DE ESTUDIO'!$XFD$41,"",IF(AE390="","",AC390&amp;K390&amp;L390&amp;M390))</f>
        <v/>
      </c>
      <c r="AE390" s="261" t="str">
        <f>IF(J390='PLAN DE ESTUDIO'!$XFD$41,"",IF(AF390=1,K390&amp;L390&amp;M390,""))</f>
        <v/>
      </c>
      <c r="AF390" s="261">
        <f>COUNTIF($O$1:O390,$O390)</f>
        <v>0</v>
      </c>
      <c r="AG390" s="285" t="str">
        <f>IF(J390='PLAN DE ESTUDIO'!$XFD$41,"",IF(P390="TP","Teórico-Práctica",IF(P390="T","Teórico",IF(P390="P","Práctica",""))))</f>
        <v/>
      </c>
      <c r="AH390" s="234" t="str">
        <f t="shared" si="13"/>
        <v xml:space="preserve"> </v>
      </c>
    </row>
    <row r="391" spans="10:34" x14ac:dyDescent="0.3">
      <c r="J391" s="412"/>
      <c r="K391" s="232"/>
      <c r="L391" s="232"/>
      <c r="M391" s="232"/>
      <c r="N391" s="412"/>
      <c r="P391" s="231"/>
      <c r="Q391" s="412"/>
      <c r="R391" s="425"/>
      <c r="S391" s="442"/>
      <c r="T391" s="283" t="str" cm="1">
        <f t="array" ref="T391">IF($B$9="","",_xlfn.IFS($B$9="PRESENCIAL",_xlfn.XLOOKUP($S391,DATA!$B$4:$B$8,DATA!$D$4:$D$8,"",0,),$B$9="VIRTUAL",_xlfn.XLOOKUP($S391,DATA!$G$4:$G$8,DATA!$I$4:$I$8,"",0),$B$9="DISTANCIA",_xlfn.XLOOKUP($S391,DATA!$L$4:$L$8,DATA!$N$4:$N$8,"",0)))</f>
        <v/>
      </c>
      <c r="U391" s="283" t="str" cm="1">
        <f t="array" ref="U391">IF($B$9="","",_xlfn.IFS($B$9="PRESENCIAL",_xlfn.XLOOKUP($S391,DATA!$B$4:$B$8,DATA!$E$4:$E$8,"",0,),$B$9="VIRTUAL",_xlfn.XLOOKUP($S391,DATA!$G$4:$G$8,DATA!$J$4:$J$8,"",0),$B$9="DISTANCIA",_xlfn.XLOOKUP($S391,DATA!$L$4:$L$8,DATA!$O$4:$O$8,"",0)))</f>
        <v/>
      </c>
      <c r="V391" s="261" t="str">
        <f t="shared" si="12"/>
        <v/>
      </c>
      <c r="W391" s="282"/>
      <c r="X391" s="282"/>
      <c r="Y391" s="282"/>
      <c r="Z391" s="282"/>
      <c r="AA391" s="282"/>
      <c r="AB391" s="284"/>
      <c r="AC391" s="262" t="str">
        <f>IF(AE391="","",COUNTIF($AE$1:AE391,AE391))</f>
        <v/>
      </c>
      <c r="AD391" s="261" t="str">
        <f>IF(J391='PLAN DE ESTUDIO'!$XFD$41,"",IF(AE391="","",AC391&amp;K391&amp;L391&amp;M391))</f>
        <v/>
      </c>
      <c r="AE391" s="261" t="str">
        <f>IF(J391='PLAN DE ESTUDIO'!$XFD$41,"",IF(AF391=1,K391&amp;L391&amp;M391,""))</f>
        <v/>
      </c>
      <c r="AF391" s="261">
        <f>COUNTIF($O$1:O391,$O391)</f>
        <v>0</v>
      </c>
      <c r="AG391" s="285" t="str">
        <f>IF(J391='PLAN DE ESTUDIO'!$XFD$41,"",IF(P391="TP","Teórico-Práctica",IF(P391="T","Teórico",IF(P391="P","Práctica",""))))</f>
        <v/>
      </c>
      <c r="AH391" s="234" t="str">
        <f t="shared" si="13"/>
        <v xml:space="preserve"> </v>
      </c>
    </row>
    <row r="392" spans="10:34" x14ac:dyDescent="0.3">
      <c r="J392" s="412"/>
      <c r="K392" s="232"/>
      <c r="L392" s="232"/>
      <c r="M392" s="232"/>
      <c r="N392" s="412"/>
      <c r="P392" s="231"/>
      <c r="Q392" s="412"/>
      <c r="R392" s="425"/>
      <c r="S392" s="442"/>
      <c r="T392" s="283" t="str" cm="1">
        <f t="array" ref="T392">IF($B$9="","",_xlfn.IFS($B$9="PRESENCIAL",_xlfn.XLOOKUP($S392,DATA!$B$4:$B$8,DATA!$D$4:$D$8,"",0,),$B$9="VIRTUAL",_xlfn.XLOOKUP($S392,DATA!$G$4:$G$8,DATA!$I$4:$I$8,"",0),$B$9="DISTANCIA",_xlfn.XLOOKUP($S392,DATA!$L$4:$L$8,DATA!$N$4:$N$8,"",0)))</f>
        <v/>
      </c>
      <c r="U392" s="283" t="str" cm="1">
        <f t="array" ref="U392">IF($B$9="","",_xlfn.IFS($B$9="PRESENCIAL",_xlfn.XLOOKUP($S392,DATA!$B$4:$B$8,DATA!$E$4:$E$8,"",0,),$B$9="VIRTUAL",_xlfn.XLOOKUP($S392,DATA!$G$4:$G$8,DATA!$J$4:$J$8,"",0),$B$9="DISTANCIA",_xlfn.XLOOKUP($S392,DATA!$L$4:$L$8,DATA!$O$4:$O$8,"",0)))</f>
        <v/>
      </c>
      <c r="V392" s="261" t="str">
        <f t="shared" si="12"/>
        <v/>
      </c>
      <c r="W392" s="282"/>
      <c r="X392" s="282"/>
      <c r="Y392" s="282"/>
      <c r="Z392" s="282"/>
      <c r="AA392" s="282"/>
      <c r="AB392" s="284"/>
      <c r="AC392" s="262" t="str">
        <f>IF(AE392="","",COUNTIF($AE$1:AE392,AE392))</f>
        <v/>
      </c>
      <c r="AD392" s="261" t="str">
        <f>IF(J392='PLAN DE ESTUDIO'!$XFD$41,"",IF(AE392="","",AC392&amp;K392&amp;L392&amp;M392))</f>
        <v/>
      </c>
      <c r="AE392" s="261" t="str">
        <f>IF(J392='PLAN DE ESTUDIO'!$XFD$41,"",IF(AF392=1,K392&amp;L392&amp;M392,""))</f>
        <v/>
      </c>
      <c r="AF392" s="261">
        <f>COUNTIF($O$1:O392,$O392)</f>
        <v>0</v>
      </c>
      <c r="AG392" s="285" t="str">
        <f>IF(J392='PLAN DE ESTUDIO'!$XFD$41,"",IF(P392="TP","Teórico-Práctica",IF(P392="T","Teórico",IF(P392="P","Práctica",""))))</f>
        <v/>
      </c>
      <c r="AH392" s="234" t="str">
        <f t="shared" si="13"/>
        <v xml:space="preserve"> </v>
      </c>
    </row>
    <row r="393" spans="10:34" x14ac:dyDescent="0.3">
      <c r="J393" s="412"/>
      <c r="K393" s="232"/>
      <c r="L393" s="232"/>
      <c r="M393" s="232"/>
      <c r="N393" s="412"/>
      <c r="P393" s="231"/>
      <c r="Q393" s="412"/>
      <c r="R393" s="425"/>
      <c r="S393" s="442"/>
      <c r="T393" s="283" t="str" cm="1">
        <f t="array" ref="T393">IF($B$9="","",_xlfn.IFS($B$9="PRESENCIAL",_xlfn.XLOOKUP($S393,DATA!$B$4:$B$8,DATA!$D$4:$D$8,"",0,),$B$9="VIRTUAL",_xlfn.XLOOKUP($S393,DATA!$G$4:$G$8,DATA!$I$4:$I$8,"",0),$B$9="DISTANCIA",_xlfn.XLOOKUP($S393,DATA!$L$4:$L$8,DATA!$N$4:$N$8,"",0)))</f>
        <v/>
      </c>
      <c r="U393" s="283" t="str" cm="1">
        <f t="array" ref="U393">IF($B$9="","",_xlfn.IFS($B$9="PRESENCIAL",_xlfn.XLOOKUP($S393,DATA!$B$4:$B$8,DATA!$E$4:$E$8,"",0,),$B$9="VIRTUAL",_xlfn.XLOOKUP($S393,DATA!$G$4:$G$8,DATA!$J$4:$J$8,"",0),$B$9="DISTANCIA",_xlfn.XLOOKUP($S393,DATA!$L$4:$L$8,DATA!$O$4:$O$8,"",0)))</f>
        <v/>
      </c>
      <c r="V393" s="261" t="str">
        <f t="shared" si="12"/>
        <v/>
      </c>
      <c r="W393" s="282"/>
      <c r="X393" s="282"/>
      <c r="Y393" s="282"/>
      <c r="Z393" s="282"/>
      <c r="AA393" s="282"/>
      <c r="AB393" s="284"/>
      <c r="AC393" s="262" t="str">
        <f>IF(AE393="","",COUNTIF($AE$1:AE393,AE393))</f>
        <v/>
      </c>
      <c r="AD393" s="261" t="str">
        <f>IF(J393='PLAN DE ESTUDIO'!$XFD$41,"",IF(AE393="","",AC393&amp;K393&amp;L393&amp;M393))</f>
        <v/>
      </c>
      <c r="AE393" s="261" t="str">
        <f>IF(J393='PLAN DE ESTUDIO'!$XFD$41,"",IF(AF393=1,K393&amp;L393&amp;M393,""))</f>
        <v/>
      </c>
      <c r="AF393" s="261">
        <f>COUNTIF($O$1:O393,$O393)</f>
        <v>0</v>
      </c>
      <c r="AG393" s="285" t="str">
        <f>IF(J393='PLAN DE ESTUDIO'!$XFD$41,"",IF(P393="TP","Teórico-Práctica",IF(P393="T","Teórico",IF(P393="P","Práctica",""))))</f>
        <v/>
      </c>
      <c r="AH393" s="234" t="str">
        <f t="shared" si="13"/>
        <v xml:space="preserve"> </v>
      </c>
    </row>
    <row r="394" spans="10:34" x14ac:dyDescent="0.3">
      <c r="J394" s="412"/>
      <c r="K394" s="232"/>
      <c r="L394" s="232"/>
      <c r="M394" s="232"/>
      <c r="N394" s="412"/>
      <c r="P394" s="231"/>
      <c r="Q394" s="412"/>
      <c r="R394" s="425"/>
      <c r="S394" s="442"/>
      <c r="T394" s="283" t="str" cm="1">
        <f t="array" ref="T394">IF($B$9="","",_xlfn.IFS($B$9="PRESENCIAL",_xlfn.XLOOKUP($S394,DATA!$B$4:$B$8,DATA!$D$4:$D$8,"",0,),$B$9="VIRTUAL",_xlfn.XLOOKUP($S394,DATA!$G$4:$G$8,DATA!$I$4:$I$8,"",0),$B$9="DISTANCIA",_xlfn.XLOOKUP($S394,DATA!$L$4:$L$8,DATA!$N$4:$N$8,"",0)))</f>
        <v/>
      </c>
      <c r="U394" s="283" t="str" cm="1">
        <f t="array" ref="U394">IF($B$9="","",_xlfn.IFS($B$9="PRESENCIAL",_xlfn.XLOOKUP($S394,DATA!$B$4:$B$8,DATA!$E$4:$E$8,"",0,),$B$9="VIRTUAL",_xlfn.XLOOKUP($S394,DATA!$G$4:$G$8,DATA!$J$4:$J$8,"",0),$B$9="DISTANCIA",_xlfn.XLOOKUP($S394,DATA!$L$4:$L$8,DATA!$O$4:$O$8,"",0)))</f>
        <v/>
      </c>
      <c r="V394" s="261" t="str">
        <f t="shared" si="12"/>
        <v/>
      </c>
      <c r="W394" s="282"/>
      <c r="X394" s="282"/>
      <c r="Y394" s="282"/>
      <c r="Z394" s="282"/>
      <c r="AA394" s="282"/>
      <c r="AB394" s="284"/>
      <c r="AC394" s="262" t="str">
        <f>IF(AE394="","",COUNTIF($AE$1:AE394,AE394))</f>
        <v/>
      </c>
      <c r="AD394" s="261" t="str">
        <f>IF(J394='PLAN DE ESTUDIO'!$XFD$41,"",IF(AE394="","",AC394&amp;K394&amp;L394&amp;M394))</f>
        <v/>
      </c>
      <c r="AE394" s="261" t="str">
        <f>IF(J394='PLAN DE ESTUDIO'!$XFD$41,"",IF(AF394=1,K394&amp;L394&amp;M394,""))</f>
        <v/>
      </c>
      <c r="AF394" s="261">
        <f>COUNTIF($O$1:O394,$O394)</f>
        <v>0</v>
      </c>
      <c r="AG394" s="285" t="str">
        <f>IF(J394='PLAN DE ESTUDIO'!$XFD$41,"",IF(P394="TP","Teórico-Práctica",IF(P394="T","Teórico",IF(P394="P","Práctica",""))))</f>
        <v/>
      </c>
      <c r="AH394" s="234" t="str">
        <f t="shared" si="13"/>
        <v xml:space="preserve"> </v>
      </c>
    </row>
    <row r="395" spans="10:34" x14ac:dyDescent="0.3">
      <c r="J395" s="412"/>
      <c r="K395" s="232"/>
      <c r="L395" s="232"/>
      <c r="M395" s="232"/>
      <c r="N395" s="412"/>
      <c r="P395" s="231"/>
      <c r="Q395" s="412"/>
      <c r="R395" s="425"/>
      <c r="S395" s="442"/>
      <c r="T395" s="283" t="str" cm="1">
        <f t="array" ref="T395">IF($B$9="","",_xlfn.IFS($B$9="PRESENCIAL",_xlfn.XLOOKUP($S395,DATA!$B$4:$B$8,DATA!$D$4:$D$8,"",0,),$B$9="VIRTUAL",_xlfn.XLOOKUP($S395,DATA!$G$4:$G$8,DATA!$I$4:$I$8,"",0),$B$9="DISTANCIA",_xlfn.XLOOKUP($S395,DATA!$L$4:$L$8,DATA!$N$4:$N$8,"",0)))</f>
        <v/>
      </c>
      <c r="U395" s="283" t="str" cm="1">
        <f t="array" ref="U395">IF($B$9="","",_xlfn.IFS($B$9="PRESENCIAL",_xlfn.XLOOKUP($S395,DATA!$B$4:$B$8,DATA!$E$4:$E$8,"",0,),$B$9="VIRTUAL",_xlfn.XLOOKUP($S395,DATA!$G$4:$G$8,DATA!$J$4:$J$8,"",0),$B$9="DISTANCIA",_xlfn.XLOOKUP($S395,DATA!$L$4:$L$8,DATA!$O$4:$O$8,"",0)))</f>
        <v/>
      </c>
      <c r="V395" s="261" t="str">
        <f t="shared" si="12"/>
        <v/>
      </c>
      <c r="W395" s="282"/>
      <c r="X395" s="282"/>
      <c r="Y395" s="282"/>
      <c r="Z395" s="282"/>
      <c r="AA395" s="282"/>
      <c r="AB395" s="284"/>
      <c r="AC395" s="262" t="str">
        <f>IF(AE395="","",COUNTIF($AE$1:AE395,AE395))</f>
        <v/>
      </c>
      <c r="AD395" s="261" t="str">
        <f>IF(J395='PLAN DE ESTUDIO'!$XFD$41,"",IF(AE395="","",AC395&amp;K395&amp;L395&amp;M395))</f>
        <v/>
      </c>
      <c r="AE395" s="261" t="str">
        <f>IF(J395='PLAN DE ESTUDIO'!$XFD$41,"",IF(AF395=1,K395&amp;L395&amp;M395,""))</f>
        <v/>
      </c>
      <c r="AF395" s="261">
        <f>COUNTIF($O$1:O395,$O395)</f>
        <v>0</v>
      </c>
      <c r="AG395" s="285" t="str">
        <f>IF(J395='PLAN DE ESTUDIO'!$XFD$41,"",IF(P395="TP","Teórico-Práctica",IF(P395="T","Teórico",IF(P395="P","Práctica",""))))</f>
        <v/>
      </c>
      <c r="AH395" s="234" t="str">
        <f t="shared" si="13"/>
        <v xml:space="preserve"> </v>
      </c>
    </row>
    <row r="396" spans="10:34" x14ac:dyDescent="0.3">
      <c r="J396" s="412"/>
      <c r="K396" s="232"/>
      <c r="L396" s="232"/>
      <c r="M396" s="232"/>
      <c r="N396" s="412"/>
      <c r="P396" s="231"/>
      <c r="Q396" s="412"/>
      <c r="R396" s="425"/>
      <c r="S396" s="442"/>
      <c r="T396" s="283" t="str" cm="1">
        <f t="array" ref="T396">IF($B$9="","",_xlfn.IFS($B$9="PRESENCIAL",_xlfn.XLOOKUP($S396,DATA!$B$4:$B$8,DATA!$D$4:$D$8,"",0,),$B$9="VIRTUAL",_xlfn.XLOOKUP($S396,DATA!$G$4:$G$8,DATA!$I$4:$I$8,"",0),$B$9="DISTANCIA",_xlfn.XLOOKUP($S396,DATA!$L$4:$L$8,DATA!$N$4:$N$8,"",0)))</f>
        <v/>
      </c>
      <c r="U396" s="283" t="str" cm="1">
        <f t="array" ref="U396">IF($B$9="","",_xlfn.IFS($B$9="PRESENCIAL",_xlfn.XLOOKUP($S396,DATA!$B$4:$B$8,DATA!$E$4:$E$8,"",0,),$B$9="VIRTUAL",_xlfn.XLOOKUP($S396,DATA!$G$4:$G$8,DATA!$J$4:$J$8,"",0),$B$9="DISTANCIA",_xlfn.XLOOKUP($S396,DATA!$L$4:$L$8,DATA!$O$4:$O$8,"",0)))</f>
        <v/>
      </c>
      <c r="V396" s="261" t="str">
        <f t="shared" si="12"/>
        <v/>
      </c>
      <c r="W396" s="282"/>
      <c r="X396" s="282"/>
      <c r="Y396" s="282"/>
      <c r="Z396" s="282"/>
      <c r="AA396" s="282"/>
      <c r="AB396" s="284"/>
      <c r="AC396" s="262" t="str">
        <f>IF(AE396="","",COUNTIF($AE$1:AE396,AE396))</f>
        <v/>
      </c>
      <c r="AD396" s="261" t="str">
        <f>IF(J396='PLAN DE ESTUDIO'!$XFD$41,"",IF(AE396="","",AC396&amp;K396&amp;L396&amp;M396))</f>
        <v/>
      </c>
      <c r="AE396" s="261" t="str">
        <f>IF(J396='PLAN DE ESTUDIO'!$XFD$41,"",IF(AF396=1,K396&amp;L396&amp;M396,""))</f>
        <v/>
      </c>
      <c r="AF396" s="261">
        <f>COUNTIF($O$1:O396,$O396)</f>
        <v>0</v>
      </c>
      <c r="AG396" s="285" t="str">
        <f>IF(J396='PLAN DE ESTUDIO'!$XFD$41,"",IF(P396="TP","Teórico-Práctica",IF(P396="T","Teórico",IF(P396="P","Práctica",""))))</f>
        <v/>
      </c>
      <c r="AH396" s="234" t="str">
        <f t="shared" si="13"/>
        <v xml:space="preserve"> </v>
      </c>
    </row>
    <row r="397" spans="10:34" x14ac:dyDescent="0.3">
      <c r="J397" s="412"/>
      <c r="K397" s="232"/>
      <c r="L397" s="232"/>
      <c r="M397" s="232"/>
      <c r="N397" s="412"/>
      <c r="P397" s="231"/>
      <c r="Q397" s="412"/>
      <c r="R397" s="425"/>
      <c r="S397" s="442"/>
      <c r="T397" s="283" t="str" cm="1">
        <f t="array" ref="T397">IF($B$9="","",_xlfn.IFS($B$9="PRESENCIAL",_xlfn.XLOOKUP($S397,DATA!$B$4:$B$8,DATA!$D$4:$D$8,"",0,),$B$9="VIRTUAL",_xlfn.XLOOKUP($S397,DATA!$G$4:$G$8,DATA!$I$4:$I$8,"",0),$B$9="DISTANCIA",_xlfn.XLOOKUP($S397,DATA!$L$4:$L$8,DATA!$N$4:$N$8,"",0)))</f>
        <v/>
      </c>
      <c r="U397" s="283" t="str" cm="1">
        <f t="array" ref="U397">IF($B$9="","",_xlfn.IFS($B$9="PRESENCIAL",_xlfn.XLOOKUP($S397,DATA!$B$4:$B$8,DATA!$E$4:$E$8,"",0,),$B$9="VIRTUAL",_xlfn.XLOOKUP($S397,DATA!$G$4:$G$8,DATA!$J$4:$J$8,"",0),$B$9="DISTANCIA",_xlfn.XLOOKUP($S397,DATA!$L$4:$L$8,DATA!$O$4:$O$8,"",0)))</f>
        <v/>
      </c>
      <c r="V397" s="261" t="str">
        <f t="shared" si="12"/>
        <v/>
      </c>
      <c r="W397" s="282"/>
      <c r="X397" s="282"/>
      <c r="Y397" s="282"/>
      <c r="Z397" s="282"/>
      <c r="AA397" s="282"/>
      <c r="AB397" s="284"/>
      <c r="AC397" s="262" t="str">
        <f>IF(AE397="","",COUNTIF($AE$1:AE397,AE397))</f>
        <v/>
      </c>
      <c r="AD397" s="261" t="str">
        <f>IF(J397='PLAN DE ESTUDIO'!$XFD$41,"",IF(AE397="","",AC397&amp;K397&amp;L397&amp;M397))</f>
        <v/>
      </c>
      <c r="AE397" s="261" t="str">
        <f>IF(J397='PLAN DE ESTUDIO'!$XFD$41,"",IF(AF397=1,K397&amp;L397&amp;M397,""))</f>
        <v/>
      </c>
      <c r="AF397" s="261">
        <f>COUNTIF($O$1:O397,$O397)</f>
        <v>0</v>
      </c>
      <c r="AG397" s="285" t="str">
        <f>IF(J397='PLAN DE ESTUDIO'!$XFD$41,"",IF(P397="TP","Teórico-Práctica",IF(P397="T","Teórico",IF(P397="P","Práctica",""))))</f>
        <v/>
      </c>
      <c r="AH397" s="234" t="str">
        <f t="shared" si="13"/>
        <v xml:space="preserve"> </v>
      </c>
    </row>
    <row r="398" spans="10:34" x14ac:dyDescent="0.3">
      <c r="J398" s="412"/>
      <c r="K398" s="232"/>
      <c r="L398" s="232"/>
      <c r="M398" s="232"/>
      <c r="N398" s="412"/>
      <c r="P398" s="231"/>
      <c r="Q398" s="412"/>
      <c r="R398" s="425"/>
      <c r="S398" s="442"/>
      <c r="T398" s="283" t="str" cm="1">
        <f t="array" ref="T398">IF($B$9="","",_xlfn.IFS($B$9="PRESENCIAL",_xlfn.XLOOKUP($S398,DATA!$B$4:$B$8,DATA!$D$4:$D$8,"",0,),$B$9="VIRTUAL",_xlfn.XLOOKUP($S398,DATA!$G$4:$G$8,DATA!$I$4:$I$8,"",0),$B$9="DISTANCIA",_xlfn.XLOOKUP($S398,DATA!$L$4:$L$8,DATA!$N$4:$N$8,"",0)))</f>
        <v/>
      </c>
      <c r="U398" s="283" t="str" cm="1">
        <f t="array" ref="U398">IF($B$9="","",_xlfn.IFS($B$9="PRESENCIAL",_xlfn.XLOOKUP($S398,DATA!$B$4:$B$8,DATA!$E$4:$E$8,"",0,),$B$9="VIRTUAL",_xlfn.XLOOKUP($S398,DATA!$G$4:$G$8,DATA!$J$4:$J$8,"",0),$B$9="DISTANCIA",_xlfn.XLOOKUP($S398,DATA!$L$4:$L$8,DATA!$O$4:$O$8,"",0)))</f>
        <v/>
      </c>
      <c r="V398" s="261" t="str">
        <f t="shared" si="12"/>
        <v/>
      </c>
      <c r="W398" s="282"/>
      <c r="X398" s="282"/>
      <c r="Y398" s="282"/>
      <c r="Z398" s="282"/>
      <c r="AA398" s="282"/>
      <c r="AB398" s="284"/>
      <c r="AC398" s="262" t="str">
        <f>IF(AE398="","",COUNTIF($AE$1:AE398,AE398))</f>
        <v/>
      </c>
      <c r="AD398" s="261" t="str">
        <f>IF(J398='PLAN DE ESTUDIO'!$XFD$41,"",IF(AE398="","",AC398&amp;K398&amp;L398&amp;M398))</f>
        <v/>
      </c>
      <c r="AE398" s="261" t="str">
        <f>IF(J398='PLAN DE ESTUDIO'!$XFD$41,"",IF(AF398=1,K398&amp;L398&amp;M398,""))</f>
        <v/>
      </c>
      <c r="AF398" s="261">
        <f>COUNTIF($O$1:O398,$O398)</f>
        <v>0</v>
      </c>
      <c r="AG398" s="285" t="str">
        <f>IF(J398='PLAN DE ESTUDIO'!$XFD$41,"",IF(P398="TP","Teórico-Práctica",IF(P398="T","Teórico",IF(P398="P","Práctica",""))))</f>
        <v/>
      </c>
      <c r="AH398" s="234" t="str">
        <f t="shared" si="13"/>
        <v xml:space="preserve"> </v>
      </c>
    </row>
    <row r="399" spans="10:34" x14ac:dyDescent="0.3">
      <c r="J399" s="412"/>
      <c r="K399" s="232"/>
      <c r="L399" s="232"/>
      <c r="M399" s="232"/>
      <c r="N399" s="412"/>
      <c r="P399" s="231"/>
      <c r="Q399" s="412"/>
      <c r="R399" s="425"/>
      <c r="S399" s="442"/>
      <c r="T399" s="283" t="str" cm="1">
        <f t="array" ref="T399">IF($B$9="","",_xlfn.IFS($B$9="PRESENCIAL",_xlfn.XLOOKUP($S399,DATA!$B$4:$B$8,DATA!$D$4:$D$8,"",0,),$B$9="VIRTUAL",_xlfn.XLOOKUP($S399,DATA!$G$4:$G$8,DATA!$I$4:$I$8,"",0),$B$9="DISTANCIA",_xlfn.XLOOKUP($S399,DATA!$L$4:$L$8,DATA!$N$4:$N$8,"",0)))</f>
        <v/>
      </c>
      <c r="U399" s="283" t="str" cm="1">
        <f t="array" ref="U399">IF($B$9="","",_xlfn.IFS($B$9="PRESENCIAL",_xlfn.XLOOKUP($S399,DATA!$B$4:$B$8,DATA!$E$4:$E$8,"",0,),$B$9="VIRTUAL",_xlfn.XLOOKUP($S399,DATA!$G$4:$G$8,DATA!$J$4:$J$8,"",0),$B$9="DISTANCIA",_xlfn.XLOOKUP($S399,DATA!$L$4:$L$8,DATA!$O$4:$O$8,"",0)))</f>
        <v/>
      </c>
      <c r="V399" s="261" t="str">
        <f t="shared" si="12"/>
        <v/>
      </c>
      <c r="W399" s="282"/>
      <c r="X399" s="282"/>
      <c r="Y399" s="282"/>
      <c r="Z399" s="282"/>
      <c r="AA399" s="282"/>
      <c r="AB399" s="284"/>
      <c r="AC399" s="262" t="str">
        <f>IF(AE399="","",COUNTIF($AE$1:AE399,AE399))</f>
        <v/>
      </c>
      <c r="AD399" s="261" t="str">
        <f>IF(J399='PLAN DE ESTUDIO'!$XFD$41,"",IF(AE399="","",AC399&amp;K399&amp;L399&amp;M399))</f>
        <v/>
      </c>
      <c r="AE399" s="261" t="str">
        <f>IF(J399='PLAN DE ESTUDIO'!$XFD$41,"",IF(AF399=1,K399&amp;L399&amp;M399,""))</f>
        <v/>
      </c>
      <c r="AF399" s="261">
        <f>COUNTIF($O$1:O399,$O399)</f>
        <v>0</v>
      </c>
      <c r="AG399" s="285" t="str">
        <f>IF(J399='PLAN DE ESTUDIO'!$XFD$41,"",IF(P399="TP","Teórico-Práctica",IF(P399="T","Teórico",IF(P399="P","Práctica",""))))</f>
        <v/>
      </c>
      <c r="AH399" s="234" t="str">
        <f t="shared" si="13"/>
        <v xml:space="preserve"> </v>
      </c>
    </row>
    <row r="400" spans="10:34" x14ac:dyDescent="0.3">
      <c r="J400" s="412"/>
      <c r="K400" s="232"/>
      <c r="L400" s="232"/>
      <c r="M400" s="232"/>
      <c r="N400" s="412"/>
      <c r="P400" s="231"/>
      <c r="Q400" s="412"/>
      <c r="R400" s="425"/>
      <c r="S400" s="442"/>
      <c r="T400" s="283" t="str" cm="1">
        <f t="array" ref="T400">IF($B$9="","",_xlfn.IFS($B$9="PRESENCIAL",_xlfn.XLOOKUP($S400,DATA!$B$4:$B$8,DATA!$D$4:$D$8,"",0,),$B$9="VIRTUAL",_xlfn.XLOOKUP($S400,DATA!$G$4:$G$8,DATA!$I$4:$I$8,"",0),$B$9="DISTANCIA",_xlfn.XLOOKUP($S400,DATA!$L$4:$L$8,DATA!$N$4:$N$8,"",0)))</f>
        <v/>
      </c>
      <c r="U400" s="283" t="str" cm="1">
        <f t="array" ref="U400">IF($B$9="","",_xlfn.IFS($B$9="PRESENCIAL",_xlfn.XLOOKUP($S400,DATA!$B$4:$B$8,DATA!$E$4:$E$8,"",0,),$B$9="VIRTUAL",_xlfn.XLOOKUP($S400,DATA!$G$4:$G$8,DATA!$J$4:$J$8,"",0),$B$9="DISTANCIA",_xlfn.XLOOKUP($S400,DATA!$L$4:$L$8,DATA!$O$4:$O$8,"",0)))</f>
        <v/>
      </c>
      <c r="V400" s="261" t="str">
        <f t="shared" si="12"/>
        <v/>
      </c>
      <c r="W400" s="282"/>
      <c r="X400" s="282"/>
      <c r="Y400" s="282"/>
      <c r="Z400" s="282"/>
      <c r="AA400" s="282"/>
      <c r="AB400" s="284"/>
      <c r="AC400" s="262" t="str">
        <f>IF(AE400="","",COUNTIF($AE$1:AE400,AE400))</f>
        <v/>
      </c>
      <c r="AD400" s="261" t="str">
        <f>IF(J400='PLAN DE ESTUDIO'!$XFD$41,"",IF(AE400="","",AC400&amp;K400&amp;L400&amp;M400))</f>
        <v/>
      </c>
      <c r="AE400" s="261" t="str">
        <f>IF(J400='PLAN DE ESTUDIO'!$XFD$41,"",IF(AF400=1,K400&amp;L400&amp;M400,""))</f>
        <v/>
      </c>
      <c r="AF400" s="261">
        <f>COUNTIF($O$1:O400,$O400)</f>
        <v>0</v>
      </c>
      <c r="AG400" s="285" t="str">
        <f>IF(J400='PLAN DE ESTUDIO'!$XFD$41,"",IF(P400="TP","Teórico-Práctica",IF(P400="T","Teórico",IF(P400="P","Práctica",""))))</f>
        <v/>
      </c>
      <c r="AH400" s="234" t="str">
        <f t="shared" si="13"/>
        <v xml:space="preserve"> </v>
      </c>
    </row>
    <row r="401" spans="10:34" x14ac:dyDescent="0.3">
      <c r="J401" s="412"/>
      <c r="K401" s="232"/>
      <c r="L401" s="232"/>
      <c r="M401" s="232"/>
      <c r="N401" s="412"/>
      <c r="P401" s="231"/>
      <c r="Q401" s="412"/>
      <c r="R401" s="425"/>
      <c r="S401" s="442"/>
      <c r="T401" s="283" t="str" cm="1">
        <f t="array" ref="T401">IF($B$9="","",_xlfn.IFS($B$9="PRESENCIAL",_xlfn.XLOOKUP($S401,DATA!$B$4:$B$8,DATA!$D$4:$D$8,"",0,),$B$9="VIRTUAL",_xlfn.XLOOKUP($S401,DATA!$G$4:$G$8,DATA!$I$4:$I$8,"",0),$B$9="DISTANCIA",_xlfn.XLOOKUP($S401,DATA!$L$4:$L$8,DATA!$N$4:$N$8,"",0)))</f>
        <v/>
      </c>
      <c r="U401" s="283" t="str" cm="1">
        <f t="array" ref="U401">IF($B$9="","",_xlfn.IFS($B$9="PRESENCIAL",_xlfn.XLOOKUP($S401,DATA!$B$4:$B$8,DATA!$E$4:$E$8,"",0,),$B$9="VIRTUAL",_xlfn.XLOOKUP($S401,DATA!$G$4:$G$8,DATA!$J$4:$J$8,"",0),$B$9="DISTANCIA",_xlfn.XLOOKUP($S401,DATA!$L$4:$L$8,DATA!$O$4:$O$8,"",0)))</f>
        <v/>
      </c>
      <c r="V401" s="261" t="str">
        <f t="shared" si="12"/>
        <v/>
      </c>
      <c r="W401" s="282"/>
      <c r="X401" s="282"/>
      <c r="Y401" s="282"/>
      <c r="Z401" s="282"/>
      <c r="AA401" s="282"/>
      <c r="AB401" s="284"/>
      <c r="AC401" s="262" t="str">
        <f>IF(AE401="","",COUNTIF($AE$1:AE401,AE401))</f>
        <v/>
      </c>
      <c r="AD401" s="261" t="str">
        <f>IF(J401='PLAN DE ESTUDIO'!$XFD$41,"",IF(AE401="","",AC401&amp;K401&amp;L401&amp;M401))</f>
        <v/>
      </c>
      <c r="AE401" s="261" t="str">
        <f>IF(J401='PLAN DE ESTUDIO'!$XFD$41,"",IF(AF401=1,K401&amp;L401&amp;M401,""))</f>
        <v/>
      </c>
      <c r="AF401" s="261">
        <f>COUNTIF($O$1:O401,$O401)</f>
        <v>0</v>
      </c>
      <c r="AG401" s="285" t="str">
        <f>IF(J401='PLAN DE ESTUDIO'!$XFD$41,"",IF(P401="TP","Teórico-Práctica",IF(P401="T","Teórico",IF(P401="P","Práctica",""))))</f>
        <v/>
      </c>
      <c r="AH401" s="234" t="str">
        <f t="shared" si="13"/>
        <v xml:space="preserve"> </v>
      </c>
    </row>
    <row r="402" spans="10:34" x14ac:dyDescent="0.3">
      <c r="J402" s="412"/>
      <c r="K402" s="232"/>
      <c r="L402" s="232"/>
      <c r="M402" s="232"/>
      <c r="N402" s="412"/>
      <c r="P402" s="231"/>
      <c r="Q402" s="412"/>
      <c r="R402" s="425"/>
      <c r="S402" s="442"/>
      <c r="T402" s="283" t="str" cm="1">
        <f t="array" ref="T402">IF($B$9="","",_xlfn.IFS($B$9="PRESENCIAL",_xlfn.XLOOKUP($S402,DATA!$B$4:$B$8,DATA!$D$4:$D$8,"",0,),$B$9="VIRTUAL",_xlfn.XLOOKUP($S402,DATA!$G$4:$G$8,DATA!$I$4:$I$8,"",0),$B$9="DISTANCIA",_xlfn.XLOOKUP($S402,DATA!$L$4:$L$8,DATA!$N$4:$N$8,"",0)))</f>
        <v/>
      </c>
      <c r="U402" s="283" t="str" cm="1">
        <f t="array" ref="U402">IF($B$9="","",_xlfn.IFS($B$9="PRESENCIAL",_xlfn.XLOOKUP($S402,DATA!$B$4:$B$8,DATA!$E$4:$E$8,"",0,),$B$9="VIRTUAL",_xlfn.XLOOKUP($S402,DATA!$G$4:$G$8,DATA!$J$4:$J$8,"",0),$B$9="DISTANCIA",_xlfn.XLOOKUP($S402,DATA!$L$4:$L$8,DATA!$O$4:$O$8,"",0)))</f>
        <v/>
      </c>
      <c r="V402" s="261" t="str">
        <f t="shared" si="12"/>
        <v/>
      </c>
      <c r="W402" s="282"/>
      <c r="X402" s="282"/>
      <c r="Y402" s="282"/>
      <c r="Z402" s="282"/>
      <c r="AA402" s="282"/>
      <c r="AB402" s="284"/>
      <c r="AC402" s="262" t="str">
        <f>IF(AE402="","",COUNTIF($AE$1:AE402,AE402))</f>
        <v/>
      </c>
      <c r="AD402" s="261" t="str">
        <f>IF(J402='PLAN DE ESTUDIO'!$XFD$41,"",IF(AE402="","",AC402&amp;K402&amp;L402&amp;M402))</f>
        <v/>
      </c>
      <c r="AE402" s="261" t="str">
        <f>IF(J402='PLAN DE ESTUDIO'!$XFD$41,"",IF(AF402=1,K402&amp;L402&amp;M402,""))</f>
        <v/>
      </c>
      <c r="AF402" s="261">
        <f>COUNTIF($O$1:O402,$O402)</f>
        <v>0</v>
      </c>
      <c r="AG402" s="285" t="str">
        <f>IF(J402='PLAN DE ESTUDIO'!$XFD$41,"",IF(P402="TP","Teórico-Práctica",IF(P402="T","Teórico",IF(P402="P","Práctica",""))))</f>
        <v/>
      </c>
      <c r="AH402" s="234" t="str">
        <f t="shared" si="13"/>
        <v xml:space="preserve"> </v>
      </c>
    </row>
    <row r="403" spans="10:34" x14ac:dyDescent="0.3">
      <c r="J403" s="412"/>
      <c r="K403" s="232"/>
      <c r="L403" s="232"/>
      <c r="M403" s="232"/>
      <c r="N403" s="412"/>
      <c r="P403" s="231"/>
      <c r="Q403" s="412"/>
      <c r="R403" s="425"/>
      <c r="S403" s="442"/>
      <c r="T403" s="283" t="str" cm="1">
        <f t="array" ref="T403">IF($B$9="","",_xlfn.IFS($B$9="PRESENCIAL",_xlfn.XLOOKUP($S403,DATA!$B$4:$B$8,DATA!$D$4:$D$8,"",0,),$B$9="VIRTUAL",_xlfn.XLOOKUP($S403,DATA!$G$4:$G$8,DATA!$I$4:$I$8,"",0),$B$9="DISTANCIA",_xlfn.XLOOKUP($S403,DATA!$L$4:$L$8,DATA!$N$4:$N$8,"",0)))</f>
        <v/>
      </c>
      <c r="U403" s="283" t="str" cm="1">
        <f t="array" ref="U403">IF($B$9="","",_xlfn.IFS($B$9="PRESENCIAL",_xlfn.XLOOKUP($S403,DATA!$B$4:$B$8,DATA!$E$4:$E$8,"",0,),$B$9="VIRTUAL",_xlfn.XLOOKUP($S403,DATA!$G$4:$G$8,DATA!$J$4:$J$8,"",0),$B$9="DISTANCIA",_xlfn.XLOOKUP($S403,DATA!$L$4:$L$8,DATA!$O$4:$O$8,"",0)))</f>
        <v/>
      </c>
      <c r="V403" s="261" t="str">
        <f t="shared" si="12"/>
        <v/>
      </c>
      <c r="W403" s="282"/>
      <c r="X403" s="282"/>
      <c r="Y403" s="282"/>
      <c r="Z403" s="282"/>
      <c r="AA403" s="282"/>
      <c r="AB403" s="284"/>
      <c r="AC403" s="262" t="str">
        <f>IF(AE403="","",COUNTIF($AE$1:AE403,AE403))</f>
        <v/>
      </c>
      <c r="AD403" s="261" t="str">
        <f>IF(J403='PLAN DE ESTUDIO'!$XFD$41,"",IF(AE403="","",AC403&amp;K403&amp;L403&amp;M403))</f>
        <v/>
      </c>
      <c r="AE403" s="261" t="str">
        <f>IF(J403='PLAN DE ESTUDIO'!$XFD$41,"",IF(AF403=1,K403&amp;L403&amp;M403,""))</f>
        <v/>
      </c>
      <c r="AF403" s="261">
        <f>COUNTIF($O$1:O403,$O403)</f>
        <v>0</v>
      </c>
      <c r="AG403" s="285" t="str">
        <f>IF(J403='PLAN DE ESTUDIO'!$XFD$41,"",IF(P403="TP","Teórico-Práctica",IF(P403="T","Teórico",IF(P403="P","Práctica",""))))</f>
        <v/>
      </c>
      <c r="AH403" s="234" t="str">
        <f t="shared" si="13"/>
        <v xml:space="preserve"> </v>
      </c>
    </row>
    <row r="404" spans="10:34" x14ac:dyDescent="0.3">
      <c r="J404" s="412"/>
      <c r="K404" s="232"/>
      <c r="L404" s="232"/>
      <c r="M404" s="232"/>
      <c r="N404" s="412"/>
      <c r="P404" s="231"/>
      <c r="Q404" s="412"/>
      <c r="R404" s="425"/>
      <c r="S404" s="442"/>
      <c r="T404" s="283" t="str" cm="1">
        <f t="array" ref="T404">IF($B$9="","",_xlfn.IFS($B$9="PRESENCIAL",_xlfn.XLOOKUP($S404,DATA!$B$4:$B$8,DATA!$D$4:$D$8,"",0,),$B$9="VIRTUAL",_xlfn.XLOOKUP($S404,DATA!$G$4:$G$8,DATA!$I$4:$I$8,"",0),$B$9="DISTANCIA",_xlfn.XLOOKUP($S404,DATA!$L$4:$L$8,DATA!$N$4:$N$8,"",0)))</f>
        <v/>
      </c>
      <c r="U404" s="283" t="str" cm="1">
        <f t="array" ref="U404">IF($B$9="","",_xlfn.IFS($B$9="PRESENCIAL",_xlfn.XLOOKUP($S404,DATA!$B$4:$B$8,DATA!$E$4:$E$8,"",0,),$B$9="VIRTUAL",_xlfn.XLOOKUP($S404,DATA!$G$4:$G$8,DATA!$J$4:$J$8,"",0),$B$9="DISTANCIA",_xlfn.XLOOKUP($S404,DATA!$L$4:$L$8,DATA!$O$4:$O$8,"",0)))</f>
        <v/>
      </c>
      <c r="V404" s="261" t="str">
        <f t="shared" si="12"/>
        <v/>
      </c>
      <c r="W404" s="282"/>
      <c r="X404" s="282"/>
      <c r="Y404" s="282"/>
      <c r="Z404" s="282"/>
      <c r="AA404" s="282"/>
      <c r="AB404" s="284"/>
      <c r="AC404" s="262" t="str">
        <f>IF(AE404="","",COUNTIF($AE$1:AE404,AE404))</f>
        <v/>
      </c>
      <c r="AD404" s="261" t="str">
        <f>IF(J404='PLAN DE ESTUDIO'!$XFD$41,"",IF(AE404="","",AC404&amp;K404&amp;L404&amp;M404))</f>
        <v/>
      </c>
      <c r="AE404" s="261" t="str">
        <f>IF(J404='PLAN DE ESTUDIO'!$XFD$41,"",IF(AF404=1,K404&amp;L404&amp;M404,""))</f>
        <v/>
      </c>
      <c r="AF404" s="261">
        <f>COUNTIF($O$1:O404,$O404)</f>
        <v>0</v>
      </c>
      <c r="AG404" s="285" t="str">
        <f>IF(J404='PLAN DE ESTUDIO'!$XFD$41,"",IF(P404="TP","Teórico-Práctica",IF(P404="T","Teórico",IF(P404="P","Práctica",""))))</f>
        <v/>
      </c>
      <c r="AH404" s="234" t="str">
        <f t="shared" si="13"/>
        <v xml:space="preserve"> </v>
      </c>
    </row>
    <row r="405" spans="10:34" x14ac:dyDescent="0.3">
      <c r="J405" s="412"/>
      <c r="K405" s="232"/>
      <c r="L405" s="232"/>
      <c r="M405" s="232"/>
      <c r="N405" s="412"/>
      <c r="P405" s="231"/>
      <c r="Q405" s="412"/>
      <c r="R405" s="425"/>
      <c r="S405" s="442"/>
      <c r="T405" s="283" t="str" cm="1">
        <f t="array" ref="T405">IF($B$9="","",_xlfn.IFS($B$9="PRESENCIAL",_xlfn.XLOOKUP($S405,DATA!$B$4:$B$8,DATA!$D$4:$D$8,"",0,),$B$9="VIRTUAL",_xlfn.XLOOKUP($S405,DATA!$G$4:$G$8,DATA!$I$4:$I$8,"",0),$B$9="DISTANCIA",_xlfn.XLOOKUP($S405,DATA!$L$4:$L$8,DATA!$N$4:$N$8,"",0)))</f>
        <v/>
      </c>
      <c r="U405" s="283" t="str" cm="1">
        <f t="array" ref="U405">IF($B$9="","",_xlfn.IFS($B$9="PRESENCIAL",_xlfn.XLOOKUP($S405,DATA!$B$4:$B$8,DATA!$E$4:$E$8,"",0,),$B$9="VIRTUAL",_xlfn.XLOOKUP($S405,DATA!$G$4:$G$8,DATA!$J$4:$J$8,"",0),$B$9="DISTANCIA",_xlfn.XLOOKUP($S405,DATA!$L$4:$L$8,DATA!$O$4:$O$8,"",0)))</f>
        <v/>
      </c>
      <c r="V405" s="261" t="str">
        <f t="shared" si="12"/>
        <v/>
      </c>
      <c r="W405" s="282"/>
      <c r="X405" s="282"/>
      <c r="Y405" s="282"/>
      <c r="Z405" s="282"/>
      <c r="AA405" s="282"/>
      <c r="AB405" s="284"/>
      <c r="AC405" s="262" t="str">
        <f>IF(AE405="","",COUNTIF($AE$1:AE405,AE405))</f>
        <v/>
      </c>
      <c r="AD405" s="261" t="str">
        <f>IF(J405='PLAN DE ESTUDIO'!$XFD$41,"",IF(AE405="","",AC405&amp;K405&amp;L405&amp;M405))</f>
        <v/>
      </c>
      <c r="AE405" s="261" t="str">
        <f>IF(J405='PLAN DE ESTUDIO'!$XFD$41,"",IF(AF405=1,K405&amp;L405&amp;M405,""))</f>
        <v/>
      </c>
      <c r="AF405" s="261">
        <f>COUNTIF($O$1:O405,$O405)</f>
        <v>0</v>
      </c>
      <c r="AG405" s="285" t="str">
        <f>IF(J405='PLAN DE ESTUDIO'!$XFD$41,"",IF(P405="TP","Teórico-Práctica",IF(P405="T","Teórico",IF(P405="P","Práctica",""))))</f>
        <v/>
      </c>
      <c r="AH405" s="234" t="str">
        <f t="shared" si="13"/>
        <v xml:space="preserve"> </v>
      </c>
    </row>
    <row r="406" spans="10:34" x14ac:dyDescent="0.3">
      <c r="J406" s="412"/>
      <c r="K406" s="232"/>
      <c r="L406" s="232"/>
      <c r="M406" s="232"/>
      <c r="N406" s="412"/>
      <c r="P406" s="231"/>
      <c r="Q406" s="412"/>
      <c r="R406" s="425"/>
      <c r="S406" s="442"/>
      <c r="T406" s="283" t="str" cm="1">
        <f t="array" ref="T406">IF($B$9="","",_xlfn.IFS($B$9="PRESENCIAL",_xlfn.XLOOKUP($S406,DATA!$B$4:$B$8,DATA!$D$4:$D$8,"",0,),$B$9="VIRTUAL",_xlfn.XLOOKUP($S406,DATA!$G$4:$G$8,DATA!$I$4:$I$8,"",0),$B$9="DISTANCIA",_xlfn.XLOOKUP($S406,DATA!$L$4:$L$8,DATA!$N$4:$N$8,"",0)))</f>
        <v/>
      </c>
      <c r="U406" s="283" t="str" cm="1">
        <f t="array" ref="U406">IF($B$9="","",_xlfn.IFS($B$9="PRESENCIAL",_xlfn.XLOOKUP($S406,DATA!$B$4:$B$8,DATA!$E$4:$E$8,"",0,),$B$9="VIRTUAL",_xlfn.XLOOKUP($S406,DATA!$G$4:$G$8,DATA!$J$4:$J$8,"",0),$B$9="DISTANCIA",_xlfn.XLOOKUP($S406,DATA!$L$4:$L$8,DATA!$O$4:$O$8,"",0)))</f>
        <v/>
      </c>
      <c r="V406" s="261" t="str">
        <f t="shared" si="12"/>
        <v/>
      </c>
      <c r="W406" s="282"/>
      <c r="X406" s="282"/>
      <c r="Y406" s="282"/>
      <c r="Z406" s="282"/>
      <c r="AA406" s="282"/>
      <c r="AB406" s="284"/>
      <c r="AC406" s="262" t="str">
        <f>IF(AE406="","",COUNTIF($AE$1:AE406,AE406))</f>
        <v/>
      </c>
      <c r="AD406" s="261" t="str">
        <f>IF(J406='PLAN DE ESTUDIO'!$XFD$41,"",IF(AE406="","",AC406&amp;K406&amp;L406&amp;M406))</f>
        <v/>
      </c>
      <c r="AE406" s="261" t="str">
        <f>IF(J406='PLAN DE ESTUDIO'!$XFD$41,"",IF(AF406=1,K406&amp;L406&amp;M406,""))</f>
        <v/>
      </c>
      <c r="AF406" s="261">
        <f>COUNTIF($O$1:O406,$O406)</f>
        <v>0</v>
      </c>
      <c r="AG406" s="285" t="str">
        <f>IF(J406='PLAN DE ESTUDIO'!$XFD$41,"",IF(P406="TP","Teórico-Práctica",IF(P406="T","Teórico",IF(P406="P","Práctica",""))))</f>
        <v/>
      </c>
      <c r="AH406" s="234" t="str">
        <f t="shared" si="13"/>
        <v xml:space="preserve"> </v>
      </c>
    </row>
    <row r="407" spans="10:34" x14ac:dyDescent="0.3">
      <c r="J407" s="412"/>
      <c r="K407" s="232"/>
      <c r="L407" s="232"/>
      <c r="M407" s="232"/>
      <c r="N407" s="412"/>
      <c r="P407" s="231"/>
      <c r="Q407" s="412"/>
      <c r="R407" s="425"/>
      <c r="S407" s="442"/>
      <c r="T407" s="283" t="str" cm="1">
        <f t="array" ref="T407">IF($B$9="","",_xlfn.IFS($B$9="PRESENCIAL",_xlfn.XLOOKUP($S407,DATA!$B$4:$B$8,DATA!$D$4:$D$8,"",0,),$B$9="VIRTUAL",_xlfn.XLOOKUP($S407,DATA!$G$4:$G$8,DATA!$I$4:$I$8,"",0),$B$9="DISTANCIA",_xlfn.XLOOKUP($S407,DATA!$L$4:$L$8,DATA!$N$4:$N$8,"",0)))</f>
        <v/>
      </c>
      <c r="U407" s="283" t="str" cm="1">
        <f t="array" ref="U407">IF($B$9="","",_xlfn.IFS($B$9="PRESENCIAL",_xlfn.XLOOKUP($S407,DATA!$B$4:$B$8,DATA!$E$4:$E$8,"",0,),$B$9="VIRTUAL",_xlfn.XLOOKUP($S407,DATA!$G$4:$G$8,DATA!$J$4:$J$8,"",0),$B$9="DISTANCIA",_xlfn.XLOOKUP($S407,DATA!$L$4:$L$8,DATA!$O$4:$O$8,"",0)))</f>
        <v/>
      </c>
      <c r="V407" s="261" t="str">
        <f t="shared" si="12"/>
        <v/>
      </c>
      <c r="W407" s="282"/>
      <c r="X407" s="282"/>
      <c r="Y407" s="282"/>
      <c r="Z407" s="282"/>
      <c r="AA407" s="282"/>
      <c r="AB407" s="284"/>
      <c r="AC407" s="262" t="str">
        <f>IF(AE407="","",COUNTIF($AE$1:AE407,AE407))</f>
        <v/>
      </c>
      <c r="AD407" s="261" t="str">
        <f>IF(J407='PLAN DE ESTUDIO'!$XFD$41,"",IF(AE407="","",AC407&amp;K407&amp;L407&amp;M407))</f>
        <v/>
      </c>
      <c r="AE407" s="261" t="str">
        <f>IF(J407='PLAN DE ESTUDIO'!$XFD$41,"",IF(AF407=1,K407&amp;L407&amp;M407,""))</f>
        <v/>
      </c>
      <c r="AF407" s="261">
        <f>COUNTIF($O$1:O407,$O407)</f>
        <v>0</v>
      </c>
      <c r="AG407" s="285" t="str">
        <f>IF(J407='PLAN DE ESTUDIO'!$XFD$41,"",IF(P407="TP","Teórico-Práctica",IF(P407="T","Teórico",IF(P407="P","Práctica",""))))</f>
        <v/>
      </c>
      <c r="AH407" s="234" t="str">
        <f t="shared" si="13"/>
        <v xml:space="preserve"> </v>
      </c>
    </row>
    <row r="408" spans="10:34" x14ac:dyDescent="0.3">
      <c r="J408" s="412"/>
      <c r="K408" s="232"/>
      <c r="L408" s="232"/>
      <c r="M408" s="232"/>
      <c r="N408" s="412"/>
      <c r="P408" s="231"/>
      <c r="Q408" s="412"/>
      <c r="R408" s="425"/>
      <c r="S408" s="442"/>
      <c r="T408" s="283" t="str" cm="1">
        <f t="array" ref="T408">IF($B$9="","",_xlfn.IFS($B$9="PRESENCIAL",_xlfn.XLOOKUP($S408,DATA!$B$4:$B$8,DATA!$D$4:$D$8,"",0,),$B$9="VIRTUAL",_xlfn.XLOOKUP($S408,DATA!$G$4:$G$8,DATA!$I$4:$I$8,"",0),$B$9="DISTANCIA",_xlfn.XLOOKUP($S408,DATA!$L$4:$L$8,DATA!$N$4:$N$8,"",0)))</f>
        <v/>
      </c>
      <c r="U408" s="283" t="str" cm="1">
        <f t="array" ref="U408">IF($B$9="","",_xlfn.IFS($B$9="PRESENCIAL",_xlfn.XLOOKUP($S408,DATA!$B$4:$B$8,DATA!$E$4:$E$8,"",0,),$B$9="VIRTUAL",_xlfn.XLOOKUP($S408,DATA!$G$4:$G$8,DATA!$J$4:$J$8,"",0),$B$9="DISTANCIA",_xlfn.XLOOKUP($S408,DATA!$L$4:$L$8,DATA!$O$4:$O$8,"",0)))</f>
        <v/>
      </c>
      <c r="V408" s="261" t="str">
        <f t="shared" si="12"/>
        <v/>
      </c>
      <c r="W408" s="282"/>
      <c r="X408" s="282"/>
      <c r="Y408" s="282"/>
      <c r="Z408" s="282"/>
      <c r="AA408" s="282"/>
      <c r="AB408" s="284"/>
      <c r="AC408" s="262" t="str">
        <f>IF(AE408="","",COUNTIF($AE$1:AE408,AE408))</f>
        <v/>
      </c>
      <c r="AD408" s="261" t="str">
        <f>IF(J408='PLAN DE ESTUDIO'!$XFD$41,"",IF(AE408="","",AC408&amp;K408&amp;L408&amp;M408))</f>
        <v/>
      </c>
      <c r="AE408" s="261" t="str">
        <f>IF(J408='PLAN DE ESTUDIO'!$XFD$41,"",IF(AF408=1,K408&amp;L408&amp;M408,""))</f>
        <v/>
      </c>
      <c r="AF408" s="261">
        <f>COUNTIF($O$1:O408,$O408)</f>
        <v>0</v>
      </c>
      <c r="AG408" s="285" t="str">
        <f>IF(J408='PLAN DE ESTUDIO'!$XFD$41,"",IF(P408="TP","Teórico-Práctica",IF(P408="T","Teórico",IF(P408="P","Práctica",""))))</f>
        <v/>
      </c>
      <c r="AH408" s="234" t="str">
        <f t="shared" si="13"/>
        <v xml:space="preserve"> </v>
      </c>
    </row>
    <row r="409" spans="10:34" x14ac:dyDescent="0.3">
      <c r="J409" s="412"/>
      <c r="K409" s="232"/>
      <c r="L409" s="232"/>
      <c r="M409" s="232"/>
      <c r="N409" s="412"/>
      <c r="P409" s="231"/>
      <c r="Q409" s="412"/>
      <c r="R409" s="425"/>
      <c r="S409" s="442"/>
      <c r="T409" s="283" t="str" cm="1">
        <f t="array" ref="T409">IF($B$9="","",_xlfn.IFS($B$9="PRESENCIAL",_xlfn.XLOOKUP($S409,DATA!$B$4:$B$8,DATA!$D$4:$D$8,"",0,),$B$9="VIRTUAL",_xlfn.XLOOKUP($S409,DATA!$G$4:$G$8,DATA!$I$4:$I$8,"",0),$B$9="DISTANCIA",_xlfn.XLOOKUP($S409,DATA!$L$4:$L$8,DATA!$N$4:$N$8,"",0)))</f>
        <v/>
      </c>
      <c r="U409" s="283" t="str" cm="1">
        <f t="array" ref="U409">IF($B$9="","",_xlfn.IFS($B$9="PRESENCIAL",_xlfn.XLOOKUP($S409,DATA!$B$4:$B$8,DATA!$E$4:$E$8,"",0,),$B$9="VIRTUAL",_xlfn.XLOOKUP($S409,DATA!$G$4:$G$8,DATA!$J$4:$J$8,"",0),$B$9="DISTANCIA",_xlfn.XLOOKUP($S409,DATA!$L$4:$L$8,DATA!$O$4:$O$8,"",0)))</f>
        <v/>
      </c>
      <c r="V409" s="261" t="str">
        <f t="shared" si="12"/>
        <v/>
      </c>
      <c r="W409" s="282"/>
      <c r="X409" s="282"/>
      <c r="Y409" s="282"/>
      <c r="Z409" s="282"/>
      <c r="AA409" s="282"/>
      <c r="AB409" s="284"/>
      <c r="AC409" s="262" t="str">
        <f>IF(AE409="","",COUNTIF($AE$1:AE409,AE409))</f>
        <v/>
      </c>
      <c r="AD409" s="261" t="str">
        <f>IF(J409='PLAN DE ESTUDIO'!$XFD$41,"",IF(AE409="","",AC409&amp;K409&amp;L409&amp;M409))</f>
        <v/>
      </c>
      <c r="AE409" s="261" t="str">
        <f>IF(J409='PLAN DE ESTUDIO'!$XFD$41,"",IF(AF409=1,K409&amp;L409&amp;M409,""))</f>
        <v/>
      </c>
      <c r="AF409" s="261">
        <f>COUNTIF($O$1:O409,$O409)</f>
        <v>0</v>
      </c>
      <c r="AG409" s="285" t="str">
        <f>IF(J409='PLAN DE ESTUDIO'!$XFD$41,"",IF(P409="TP","Teórico-Práctica",IF(P409="T","Teórico",IF(P409="P","Práctica",""))))</f>
        <v/>
      </c>
      <c r="AH409" s="234" t="str">
        <f t="shared" si="13"/>
        <v xml:space="preserve"> </v>
      </c>
    </row>
    <row r="410" spans="10:34" x14ac:dyDescent="0.3">
      <c r="J410" s="412"/>
      <c r="K410" s="232"/>
      <c r="L410" s="232"/>
      <c r="M410" s="232"/>
      <c r="N410" s="412"/>
      <c r="P410" s="231"/>
      <c r="Q410" s="412"/>
      <c r="R410" s="425"/>
      <c r="S410" s="442"/>
      <c r="T410" s="283" t="str" cm="1">
        <f t="array" ref="T410">IF($B$9="","",_xlfn.IFS($B$9="PRESENCIAL",_xlfn.XLOOKUP($S410,DATA!$B$4:$B$8,DATA!$D$4:$D$8,"",0,),$B$9="VIRTUAL",_xlfn.XLOOKUP($S410,DATA!$G$4:$G$8,DATA!$I$4:$I$8,"",0),$B$9="DISTANCIA",_xlfn.XLOOKUP($S410,DATA!$L$4:$L$8,DATA!$N$4:$N$8,"",0)))</f>
        <v/>
      </c>
      <c r="U410" s="283" t="str" cm="1">
        <f t="array" ref="U410">IF($B$9="","",_xlfn.IFS($B$9="PRESENCIAL",_xlfn.XLOOKUP($S410,DATA!$B$4:$B$8,DATA!$E$4:$E$8,"",0,),$B$9="VIRTUAL",_xlfn.XLOOKUP($S410,DATA!$G$4:$G$8,DATA!$J$4:$J$8,"",0),$B$9="DISTANCIA",_xlfn.XLOOKUP($S410,DATA!$L$4:$L$8,DATA!$O$4:$O$8,"",0)))</f>
        <v/>
      </c>
      <c r="V410" s="261" t="str">
        <f t="shared" si="12"/>
        <v/>
      </c>
      <c r="W410" s="282"/>
      <c r="X410" s="282"/>
      <c r="Y410" s="282"/>
      <c r="Z410" s="282"/>
      <c r="AA410" s="282"/>
      <c r="AB410" s="284"/>
      <c r="AC410" s="262" t="str">
        <f>IF(AE410="","",COUNTIF($AE$1:AE410,AE410))</f>
        <v/>
      </c>
      <c r="AD410" s="261" t="str">
        <f>IF(J410='PLAN DE ESTUDIO'!$XFD$41,"",IF(AE410="","",AC410&amp;K410&amp;L410&amp;M410))</f>
        <v/>
      </c>
      <c r="AE410" s="261" t="str">
        <f>IF(J410='PLAN DE ESTUDIO'!$XFD$41,"",IF(AF410=1,K410&amp;L410&amp;M410,""))</f>
        <v/>
      </c>
      <c r="AF410" s="261">
        <f>COUNTIF($O$1:O410,$O410)</f>
        <v>0</v>
      </c>
      <c r="AG410" s="285" t="str">
        <f>IF(J410='PLAN DE ESTUDIO'!$XFD$41,"",IF(P410="TP","Teórico-Práctica",IF(P410="T","Teórico",IF(P410="P","Práctica",""))))</f>
        <v/>
      </c>
      <c r="AH410" s="234" t="str">
        <f t="shared" si="13"/>
        <v xml:space="preserve"> </v>
      </c>
    </row>
    <row r="411" spans="10:34" x14ac:dyDescent="0.3">
      <c r="J411" s="412"/>
      <c r="K411" s="232"/>
      <c r="L411" s="232"/>
      <c r="M411" s="232"/>
      <c r="N411" s="412"/>
      <c r="P411" s="231"/>
      <c r="Q411" s="412"/>
      <c r="R411" s="425"/>
      <c r="S411" s="442"/>
      <c r="T411" s="283" t="str" cm="1">
        <f t="array" ref="T411">IF($B$9="","",_xlfn.IFS($B$9="PRESENCIAL",_xlfn.XLOOKUP($S411,DATA!$B$4:$B$8,DATA!$D$4:$D$8,"",0,),$B$9="VIRTUAL",_xlfn.XLOOKUP($S411,DATA!$G$4:$G$8,DATA!$I$4:$I$8,"",0),$B$9="DISTANCIA",_xlfn.XLOOKUP($S411,DATA!$L$4:$L$8,DATA!$N$4:$N$8,"",0)))</f>
        <v/>
      </c>
      <c r="U411" s="283" t="str" cm="1">
        <f t="array" ref="U411">IF($B$9="","",_xlfn.IFS($B$9="PRESENCIAL",_xlfn.XLOOKUP($S411,DATA!$B$4:$B$8,DATA!$E$4:$E$8,"",0,),$B$9="VIRTUAL",_xlfn.XLOOKUP($S411,DATA!$G$4:$G$8,DATA!$J$4:$J$8,"",0),$B$9="DISTANCIA",_xlfn.XLOOKUP($S411,DATA!$L$4:$L$8,DATA!$O$4:$O$8,"",0)))</f>
        <v/>
      </c>
      <c r="V411" s="261" t="str">
        <f t="shared" si="12"/>
        <v/>
      </c>
      <c r="W411" s="282"/>
      <c r="X411" s="282"/>
      <c r="Y411" s="282"/>
      <c r="Z411" s="282"/>
      <c r="AA411" s="282"/>
      <c r="AB411" s="284"/>
      <c r="AC411" s="262" t="str">
        <f>IF(AE411="","",COUNTIF($AE$1:AE411,AE411))</f>
        <v/>
      </c>
      <c r="AD411" s="261" t="str">
        <f>IF(J411='PLAN DE ESTUDIO'!$XFD$41,"",IF(AE411="","",AC411&amp;K411&amp;L411&amp;M411))</f>
        <v/>
      </c>
      <c r="AE411" s="261" t="str">
        <f>IF(J411='PLAN DE ESTUDIO'!$XFD$41,"",IF(AF411=1,K411&amp;L411&amp;M411,""))</f>
        <v/>
      </c>
      <c r="AF411" s="261">
        <f>COUNTIF($O$1:O411,$O411)</f>
        <v>0</v>
      </c>
      <c r="AG411" s="285" t="str">
        <f>IF(J411='PLAN DE ESTUDIO'!$XFD$41,"",IF(P411="TP","Teórico-Práctica",IF(P411="T","Teórico",IF(P411="P","Práctica",""))))</f>
        <v/>
      </c>
      <c r="AH411" s="234" t="str">
        <f t="shared" si="13"/>
        <v xml:space="preserve"> </v>
      </c>
    </row>
    <row r="412" spans="10:34" x14ac:dyDescent="0.3">
      <c r="J412" s="412"/>
      <c r="K412" s="232"/>
      <c r="L412" s="232"/>
      <c r="M412" s="232"/>
      <c r="N412" s="412"/>
      <c r="P412" s="231"/>
      <c r="Q412" s="412"/>
      <c r="R412" s="425"/>
      <c r="S412" s="442"/>
      <c r="T412" s="283" t="str" cm="1">
        <f t="array" ref="T412">IF($B$9="","",_xlfn.IFS($B$9="PRESENCIAL",_xlfn.XLOOKUP($S412,DATA!$B$4:$B$8,DATA!$D$4:$D$8,"",0,),$B$9="VIRTUAL",_xlfn.XLOOKUP($S412,DATA!$G$4:$G$8,DATA!$I$4:$I$8,"",0),$B$9="DISTANCIA",_xlfn.XLOOKUP($S412,DATA!$L$4:$L$8,DATA!$N$4:$N$8,"",0)))</f>
        <v/>
      </c>
      <c r="U412" s="283" t="str" cm="1">
        <f t="array" ref="U412">IF($B$9="","",_xlfn.IFS($B$9="PRESENCIAL",_xlfn.XLOOKUP($S412,DATA!$B$4:$B$8,DATA!$E$4:$E$8,"",0,),$B$9="VIRTUAL",_xlfn.XLOOKUP($S412,DATA!$G$4:$G$8,DATA!$J$4:$J$8,"",0),$B$9="DISTANCIA",_xlfn.XLOOKUP($S412,DATA!$L$4:$L$8,DATA!$O$4:$O$8,"",0)))</f>
        <v/>
      </c>
      <c r="V412" s="261" t="str">
        <f t="shared" si="12"/>
        <v/>
      </c>
      <c r="W412" s="282"/>
      <c r="X412" s="282"/>
      <c r="Y412" s="282"/>
      <c r="Z412" s="282"/>
      <c r="AA412" s="282"/>
      <c r="AB412" s="284"/>
      <c r="AC412" s="262" t="str">
        <f>IF(AE412="","",COUNTIF($AE$1:AE412,AE412))</f>
        <v/>
      </c>
      <c r="AD412" s="261" t="str">
        <f>IF(J412='PLAN DE ESTUDIO'!$XFD$41,"",IF(AE412="","",AC412&amp;K412&amp;L412&amp;M412))</f>
        <v/>
      </c>
      <c r="AE412" s="261" t="str">
        <f>IF(J412='PLAN DE ESTUDIO'!$XFD$41,"",IF(AF412=1,K412&amp;L412&amp;M412,""))</f>
        <v/>
      </c>
      <c r="AF412" s="261">
        <f>COUNTIF($O$1:O412,$O412)</f>
        <v>0</v>
      </c>
      <c r="AG412" s="285" t="str">
        <f>IF(J412='PLAN DE ESTUDIO'!$XFD$41,"",IF(P412="TP","Teórico-Práctica",IF(P412="T","Teórico",IF(P412="P","Práctica",""))))</f>
        <v/>
      </c>
      <c r="AH412" s="234" t="str">
        <f t="shared" si="13"/>
        <v xml:space="preserve"> </v>
      </c>
    </row>
    <row r="413" spans="10:34" x14ac:dyDescent="0.3">
      <c r="J413" s="412"/>
      <c r="K413" s="232"/>
      <c r="L413" s="232"/>
      <c r="M413" s="232"/>
      <c r="N413" s="412"/>
      <c r="P413" s="231"/>
      <c r="Q413" s="412"/>
      <c r="R413" s="425"/>
      <c r="S413" s="442"/>
      <c r="T413" s="283" t="str" cm="1">
        <f t="array" ref="T413">IF($B$9="","",_xlfn.IFS($B$9="PRESENCIAL",_xlfn.XLOOKUP($S413,DATA!$B$4:$B$8,DATA!$D$4:$D$8,"",0,),$B$9="VIRTUAL",_xlfn.XLOOKUP($S413,DATA!$G$4:$G$8,DATA!$I$4:$I$8,"",0),$B$9="DISTANCIA",_xlfn.XLOOKUP($S413,DATA!$L$4:$L$8,DATA!$N$4:$N$8,"",0)))</f>
        <v/>
      </c>
      <c r="U413" s="283" t="str" cm="1">
        <f t="array" ref="U413">IF($B$9="","",_xlfn.IFS($B$9="PRESENCIAL",_xlfn.XLOOKUP($S413,DATA!$B$4:$B$8,DATA!$E$4:$E$8,"",0,),$B$9="VIRTUAL",_xlfn.XLOOKUP($S413,DATA!$G$4:$G$8,DATA!$J$4:$J$8,"",0),$B$9="DISTANCIA",_xlfn.XLOOKUP($S413,DATA!$L$4:$L$8,DATA!$O$4:$O$8,"",0)))</f>
        <v/>
      </c>
      <c r="V413" s="261" t="str">
        <f t="shared" si="12"/>
        <v/>
      </c>
      <c r="W413" s="282"/>
      <c r="X413" s="282"/>
      <c r="Y413" s="282"/>
      <c r="Z413" s="282"/>
      <c r="AA413" s="282"/>
      <c r="AB413" s="284"/>
      <c r="AC413" s="262" t="str">
        <f>IF(AE413="","",COUNTIF($AE$1:AE413,AE413))</f>
        <v/>
      </c>
      <c r="AD413" s="261" t="str">
        <f>IF(J413='PLAN DE ESTUDIO'!$XFD$41,"",IF(AE413="","",AC413&amp;K413&amp;L413&amp;M413))</f>
        <v/>
      </c>
      <c r="AE413" s="261" t="str">
        <f>IF(J413='PLAN DE ESTUDIO'!$XFD$41,"",IF(AF413=1,K413&amp;L413&amp;M413,""))</f>
        <v/>
      </c>
      <c r="AF413" s="261">
        <f>COUNTIF($O$1:O413,$O413)</f>
        <v>0</v>
      </c>
      <c r="AG413" s="285" t="str">
        <f>IF(J413='PLAN DE ESTUDIO'!$XFD$41,"",IF(P413="TP","Teórico-Práctica",IF(P413="T","Teórico",IF(P413="P","Práctica",""))))</f>
        <v/>
      </c>
      <c r="AH413" s="234" t="str">
        <f t="shared" si="13"/>
        <v xml:space="preserve"> </v>
      </c>
    </row>
    <row r="414" spans="10:34" x14ac:dyDescent="0.3">
      <c r="J414" s="412"/>
      <c r="K414" s="232"/>
      <c r="L414" s="232"/>
      <c r="M414" s="232"/>
      <c r="N414" s="412"/>
      <c r="P414" s="231"/>
      <c r="Q414" s="412"/>
      <c r="R414" s="425"/>
      <c r="S414" s="442"/>
      <c r="T414" s="283" t="str" cm="1">
        <f t="array" ref="T414">IF($B$9="","",_xlfn.IFS($B$9="PRESENCIAL",_xlfn.XLOOKUP($S414,DATA!$B$4:$B$8,DATA!$D$4:$D$8,"",0,),$B$9="VIRTUAL",_xlfn.XLOOKUP($S414,DATA!$G$4:$G$8,DATA!$I$4:$I$8,"",0),$B$9="DISTANCIA",_xlfn.XLOOKUP($S414,DATA!$L$4:$L$8,DATA!$N$4:$N$8,"",0)))</f>
        <v/>
      </c>
      <c r="U414" s="283" t="str" cm="1">
        <f t="array" ref="U414">IF($B$9="","",_xlfn.IFS($B$9="PRESENCIAL",_xlfn.XLOOKUP($S414,DATA!$B$4:$B$8,DATA!$E$4:$E$8,"",0,),$B$9="VIRTUAL",_xlfn.XLOOKUP($S414,DATA!$G$4:$G$8,DATA!$J$4:$J$8,"",0),$B$9="DISTANCIA",_xlfn.XLOOKUP($S414,DATA!$L$4:$L$8,DATA!$O$4:$O$8,"",0)))</f>
        <v/>
      </c>
      <c r="V414" s="261" t="str">
        <f t="shared" si="12"/>
        <v/>
      </c>
      <c r="W414" s="282"/>
      <c r="X414" s="282"/>
      <c r="Y414" s="282"/>
      <c r="Z414" s="282"/>
      <c r="AA414" s="282"/>
      <c r="AB414" s="284"/>
      <c r="AC414" s="262" t="str">
        <f>IF(AE414="","",COUNTIF($AE$1:AE414,AE414))</f>
        <v/>
      </c>
      <c r="AD414" s="261" t="str">
        <f>IF(J414='PLAN DE ESTUDIO'!$XFD$41,"",IF(AE414="","",AC414&amp;K414&amp;L414&amp;M414))</f>
        <v/>
      </c>
      <c r="AE414" s="261" t="str">
        <f>IF(J414='PLAN DE ESTUDIO'!$XFD$41,"",IF(AF414=1,K414&amp;L414&amp;M414,""))</f>
        <v/>
      </c>
      <c r="AF414" s="261">
        <f>COUNTIF($O$1:O414,$O414)</f>
        <v>0</v>
      </c>
      <c r="AG414" s="285" t="str">
        <f>IF(J414='PLAN DE ESTUDIO'!$XFD$41,"",IF(P414="TP","Teórico-Práctica",IF(P414="T","Teórico",IF(P414="P","Práctica",""))))</f>
        <v/>
      </c>
      <c r="AH414" s="234" t="str">
        <f t="shared" si="13"/>
        <v xml:space="preserve"> </v>
      </c>
    </row>
    <row r="415" spans="10:34" x14ac:dyDescent="0.3">
      <c r="J415" s="412"/>
      <c r="K415" s="232"/>
      <c r="L415" s="232"/>
      <c r="M415" s="232"/>
      <c r="N415" s="412"/>
      <c r="P415" s="231"/>
      <c r="Q415" s="412"/>
      <c r="R415" s="425"/>
      <c r="S415" s="442"/>
      <c r="T415" s="283" t="str" cm="1">
        <f t="array" ref="T415">IF($B$9="","",_xlfn.IFS($B$9="PRESENCIAL",_xlfn.XLOOKUP($S415,DATA!$B$4:$B$8,DATA!$D$4:$D$8,"",0,),$B$9="VIRTUAL",_xlfn.XLOOKUP($S415,DATA!$G$4:$G$8,DATA!$I$4:$I$8,"",0),$B$9="DISTANCIA",_xlfn.XLOOKUP($S415,DATA!$L$4:$L$8,DATA!$N$4:$N$8,"",0)))</f>
        <v/>
      </c>
      <c r="U415" s="283" t="str" cm="1">
        <f t="array" ref="U415">IF($B$9="","",_xlfn.IFS($B$9="PRESENCIAL",_xlfn.XLOOKUP($S415,DATA!$B$4:$B$8,DATA!$E$4:$E$8,"",0,),$B$9="VIRTUAL",_xlfn.XLOOKUP($S415,DATA!$G$4:$G$8,DATA!$J$4:$J$8,"",0),$B$9="DISTANCIA",_xlfn.XLOOKUP($S415,DATA!$L$4:$L$8,DATA!$O$4:$O$8,"",0)))</f>
        <v/>
      </c>
      <c r="V415" s="261" t="str">
        <f t="shared" si="12"/>
        <v/>
      </c>
      <c r="W415" s="282"/>
      <c r="X415" s="282"/>
      <c r="Y415" s="282"/>
      <c r="Z415" s="282"/>
      <c r="AA415" s="282"/>
      <c r="AB415" s="284"/>
      <c r="AC415" s="262" t="str">
        <f>IF(AE415="","",COUNTIF($AE$1:AE415,AE415))</f>
        <v/>
      </c>
      <c r="AD415" s="261" t="str">
        <f>IF(J415='PLAN DE ESTUDIO'!$XFD$41,"",IF(AE415="","",AC415&amp;K415&amp;L415&amp;M415))</f>
        <v/>
      </c>
      <c r="AE415" s="261" t="str">
        <f>IF(J415='PLAN DE ESTUDIO'!$XFD$41,"",IF(AF415=1,K415&amp;L415&amp;M415,""))</f>
        <v/>
      </c>
      <c r="AF415" s="261">
        <f>COUNTIF($O$1:O415,$O415)</f>
        <v>0</v>
      </c>
      <c r="AG415" s="285" t="str">
        <f>IF(J415='PLAN DE ESTUDIO'!$XFD$41,"",IF(P415="TP","Teórico-Práctica",IF(P415="T","Teórico",IF(P415="P","Práctica",""))))</f>
        <v/>
      </c>
      <c r="AH415" s="234" t="str">
        <f t="shared" si="13"/>
        <v xml:space="preserve"> </v>
      </c>
    </row>
    <row r="416" spans="10:34" x14ac:dyDescent="0.3">
      <c r="J416" s="412"/>
      <c r="K416" s="232"/>
      <c r="L416" s="232"/>
      <c r="M416" s="232"/>
      <c r="N416" s="412"/>
      <c r="P416" s="231"/>
      <c r="Q416" s="412"/>
      <c r="R416" s="425"/>
      <c r="S416" s="442"/>
      <c r="T416" s="283" t="str" cm="1">
        <f t="array" ref="T416">IF($B$9="","",_xlfn.IFS($B$9="PRESENCIAL",_xlfn.XLOOKUP($S416,DATA!$B$4:$B$8,DATA!$D$4:$D$8,"",0,),$B$9="VIRTUAL",_xlfn.XLOOKUP($S416,DATA!$G$4:$G$8,DATA!$I$4:$I$8,"",0),$B$9="DISTANCIA",_xlfn.XLOOKUP($S416,DATA!$L$4:$L$8,DATA!$N$4:$N$8,"",0)))</f>
        <v/>
      </c>
      <c r="U416" s="283" t="str" cm="1">
        <f t="array" ref="U416">IF($B$9="","",_xlfn.IFS($B$9="PRESENCIAL",_xlfn.XLOOKUP($S416,DATA!$B$4:$B$8,DATA!$E$4:$E$8,"",0,),$B$9="VIRTUAL",_xlfn.XLOOKUP($S416,DATA!$G$4:$G$8,DATA!$J$4:$J$8,"",0),$B$9="DISTANCIA",_xlfn.XLOOKUP($S416,DATA!$L$4:$L$8,DATA!$O$4:$O$8,"",0)))</f>
        <v/>
      </c>
      <c r="V416" s="261" t="str">
        <f t="shared" si="12"/>
        <v/>
      </c>
      <c r="W416" s="282"/>
      <c r="X416" s="282"/>
      <c r="Y416" s="282"/>
      <c r="Z416" s="282"/>
      <c r="AA416" s="282"/>
      <c r="AB416" s="284"/>
      <c r="AC416" s="262" t="str">
        <f>IF(AE416="","",COUNTIF($AE$1:AE416,AE416))</f>
        <v/>
      </c>
      <c r="AD416" s="261" t="str">
        <f>IF(J416='PLAN DE ESTUDIO'!$XFD$41,"",IF(AE416="","",AC416&amp;K416&amp;L416&amp;M416))</f>
        <v/>
      </c>
      <c r="AE416" s="261" t="str">
        <f>IF(J416='PLAN DE ESTUDIO'!$XFD$41,"",IF(AF416=1,K416&amp;L416&amp;M416,""))</f>
        <v/>
      </c>
      <c r="AF416" s="261">
        <f>COUNTIF($O$1:O416,$O416)</f>
        <v>0</v>
      </c>
      <c r="AG416" s="285" t="str">
        <f>IF(J416='PLAN DE ESTUDIO'!$XFD$41,"",IF(P416="TP","Teórico-Práctica",IF(P416="T","Teórico",IF(P416="P","Práctica",""))))</f>
        <v/>
      </c>
      <c r="AH416" s="234" t="str">
        <f t="shared" si="13"/>
        <v xml:space="preserve"> </v>
      </c>
    </row>
    <row r="417" spans="10:34" x14ac:dyDescent="0.3">
      <c r="J417" s="412"/>
      <c r="K417" s="232"/>
      <c r="L417" s="232"/>
      <c r="M417" s="232"/>
      <c r="N417" s="412"/>
      <c r="P417" s="231"/>
      <c r="Q417" s="412"/>
      <c r="R417" s="425"/>
      <c r="S417" s="442"/>
      <c r="T417" s="283" t="str" cm="1">
        <f t="array" ref="T417">IF($B$9="","",_xlfn.IFS($B$9="PRESENCIAL",_xlfn.XLOOKUP($S417,DATA!$B$4:$B$8,DATA!$D$4:$D$8,"",0,),$B$9="VIRTUAL",_xlfn.XLOOKUP($S417,DATA!$G$4:$G$8,DATA!$I$4:$I$8,"",0),$B$9="DISTANCIA",_xlfn.XLOOKUP($S417,DATA!$L$4:$L$8,DATA!$N$4:$N$8,"",0)))</f>
        <v/>
      </c>
      <c r="U417" s="283" t="str" cm="1">
        <f t="array" ref="U417">IF($B$9="","",_xlfn.IFS($B$9="PRESENCIAL",_xlfn.XLOOKUP($S417,DATA!$B$4:$B$8,DATA!$E$4:$E$8,"",0,),$B$9="VIRTUAL",_xlfn.XLOOKUP($S417,DATA!$G$4:$G$8,DATA!$J$4:$J$8,"",0),$B$9="DISTANCIA",_xlfn.XLOOKUP($S417,DATA!$L$4:$L$8,DATA!$O$4:$O$8,"",0)))</f>
        <v/>
      </c>
      <c r="V417" s="261" t="str">
        <f t="shared" si="12"/>
        <v/>
      </c>
      <c r="W417" s="282"/>
      <c r="X417" s="282"/>
      <c r="Y417" s="282"/>
      <c r="Z417" s="282"/>
      <c r="AA417" s="282"/>
      <c r="AB417" s="284"/>
      <c r="AC417" s="262" t="str">
        <f>IF(AE417="","",COUNTIF($AE$1:AE417,AE417))</f>
        <v/>
      </c>
      <c r="AD417" s="261" t="str">
        <f>IF(J417='PLAN DE ESTUDIO'!$XFD$41,"",IF(AE417="","",AC417&amp;K417&amp;L417&amp;M417))</f>
        <v/>
      </c>
      <c r="AE417" s="261" t="str">
        <f>IF(J417='PLAN DE ESTUDIO'!$XFD$41,"",IF(AF417=1,K417&amp;L417&amp;M417,""))</f>
        <v/>
      </c>
      <c r="AF417" s="261">
        <f>COUNTIF($O$1:O417,$O417)</f>
        <v>0</v>
      </c>
      <c r="AG417" s="285" t="str">
        <f>IF(J417='PLAN DE ESTUDIO'!$XFD$41,"",IF(P417="TP","Teórico-Práctica",IF(P417="T","Teórico",IF(P417="P","Práctica",""))))</f>
        <v/>
      </c>
      <c r="AH417" s="234" t="str">
        <f t="shared" si="13"/>
        <v xml:space="preserve"> </v>
      </c>
    </row>
    <row r="418" spans="10:34" x14ac:dyDescent="0.3">
      <c r="J418" s="412"/>
      <c r="K418" s="232"/>
      <c r="L418" s="232"/>
      <c r="M418" s="232"/>
      <c r="N418" s="412"/>
      <c r="P418" s="231"/>
      <c r="Q418" s="412"/>
      <c r="R418" s="425"/>
      <c r="S418" s="442"/>
      <c r="T418" s="283" t="str" cm="1">
        <f t="array" ref="T418">IF($B$9="","",_xlfn.IFS($B$9="PRESENCIAL",_xlfn.XLOOKUP($S418,DATA!$B$4:$B$8,DATA!$D$4:$D$8,"",0,),$B$9="VIRTUAL",_xlfn.XLOOKUP($S418,DATA!$G$4:$G$8,DATA!$I$4:$I$8,"",0),$B$9="DISTANCIA",_xlfn.XLOOKUP($S418,DATA!$L$4:$L$8,DATA!$N$4:$N$8,"",0)))</f>
        <v/>
      </c>
      <c r="U418" s="283" t="str" cm="1">
        <f t="array" ref="U418">IF($B$9="","",_xlfn.IFS($B$9="PRESENCIAL",_xlfn.XLOOKUP($S418,DATA!$B$4:$B$8,DATA!$E$4:$E$8,"",0,),$B$9="VIRTUAL",_xlfn.XLOOKUP($S418,DATA!$G$4:$G$8,DATA!$J$4:$J$8,"",0),$B$9="DISTANCIA",_xlfn.XLOOKUP($S418,DATA!$L$4:$L$8,DATA!$O$4:$O$8,"",0)))</f>
        <v/>
      </c>
      <c r="V418" s="261" t="str">
        <f t="shared" si="12"/>
        <v/>
      </c>
      <c r="W418" s="282"/>
      <c r="X418" s="282"/>
      <c r="Y418" s="282"/>
      <c r="Z418" s="282"/>
      <c r="AA418" s="282"/>
      <c r="AB418" s="284"/>
      <c r="AC418" s="262" t="str">
        <f>IF(AE418="","",COUNTIF($AE$1:AE418,AE418))</f>
        <v/>
      </c>
      <c r="AD418" s="261" t="str">
        <f>IF(J418='PLAN DE ESTUDIO'!$XFD$41,"",IF(AE418="","",AC418&amp;K418&amp;L418&amp;M418))</f>
        <v/>
      </c>
      <c r="AE418" s="261" t="str">
        <f>IF(J418='PLAN DE ESTUDIO'!$XFD$41,"",IF(AF418=1,K418&amp;L418&amp;M418,""))</f>
        <v/>
      </c>
      <c r="AF418" s="261">
        <f>COUNTIF($O$1:O418,$O418)</f>
        <v>0</v>
      </c>
      <c r="AG418" s="285" t="str">
        <f>IF(J418='PLAN DE ESTUDIO'!$XFD$41,"",IF(P418="TP","Teórico-Práctica",IF(P418="T","Teórico",IF(P418="P","Práctica",""))))</f>
        <v/>
      </c>
      <c r="AH418" s="234" t="str">
        <f t="shared" si="13"/>
        <v xml:space="preserve"> </v>
      </c>
    </row>
    <row r="419" spans="10:34" x14ac:dyDescent="0.3">
      <c r="J419" s="412"/>
      <c r="K419" s="232"/>
      <c r="L419" s="232"/>
      <c r="M419" s="232"/>
      <c r="N419" s="412"/>
      <c r="P419" s="231"/>
      <c r="Q419" s="412"/>
      <c r="R419" s="425"/>
      <c r="S419" s="442"/>
      <c r="T419" s="283" t="str" cm="1">
        <f t="array" ref="T419">IF($B$9="","",_xlfn.IFS($B$9="PRESENCIAL",_xlfn.XLOOKUP($S419,DATA!$B$4:$B$8,DATA!$D$4:$D$8,"",0,),$B$9="VIRTUAL",_xlfn.XLOOKUP($S419,DATA!$G$4:$G$8,DATA!$I$4:$I$8,"",0),$B$9="DISTANCIA",_xlfn.XLOOKUP($S419,DATA!$L$4:$L$8,DATA!$N$4:$N$8,"",0)))</f>
        <v/>
      </c>
      <c r="U419" s="283" t="str" cm="1">
        <f t="array" ref="U419">IF($B$9="","",_xlfn.IFS($B$9="PRESENCIAL",_xlfn.XLOOKUP($S419,DATA!$B$4:$B$8,DATA!$E$4:$E$8,"",0,),$B$9="VIRTUAL",_xlfn.XLOOKUP($S419,DATA!$G$4:$G$8,DATA!$J$4:$J$8,"",0),$B$9="DISTANCIA",_xlfn.XLOOKUP($S419,DATA!$L$4:$L$8,DATA!$O$4:$O$8,"",0)))</f>
        <v/>
      </c>
      <c r="V419" s="261" t="str">
        <f t="shared" si="12"/>
        <v/>
      </c>
      <c r="W419" s="282"/>
      <c r="X419" s="282"/>
      <c r="Y419" s="282"/>
      <c r="Z419" s="282"/>
      <c r="AA419" s="282"/>
      <c r="AB419" s="284"/>
      <c r="AC419" s="262" t="str">
        <f>IF(AE419="","",COUNTIF($AE$1:AE419,AE419))</f>
        <v/>
      </c>
      <c r="AD419" s="261" t="str">
        <f>IF(J419='PLAN DE ESTUDIO'!$XFD$41,"",IF(AE419="","",AC419&amp;K419&amp;L419&amp;M419))</f>
        <v/>
      </c>
      <c r="AE419" s="261" t="str">
        <f>IF(J419='PLAN DE ESTUDIO'!$XFD$41,"",IF(AF419=1,K419&amp;L419&amp;M419,""))</f>
        <v/>
      </c>
      <c r="AF419" s="261">
        <f>COUNTIF($O$1:O419,$O419)</f>
        <v>0</v>
      </c>
      <c r="AG419" s="285" t="str">
        <f>IF(J419='PLAN DE ESTUDIO'!$XFD$41,"",IF(P419="TP","Teórico-Práctica",IF(P419="T","Teórico",IF(P419="P","Práctica",""))))</f>
        <v/>
      </c>
      <c r="AH419" s="234" t="str">
        <f t="shared" si="13"/>
        <v xml:space="preserve"> </v>
      </c>
    </row>
    <row r="420" spans="10:34" x14ac:dyDescent="0.3">
      <c r="J420" s="412"/>
      <c r="K420" s="232"/>
      <c r="L420" s="232"/>
      <c r="M420" s="232"/>
      <c r="N420" s="412"/>
      <c r="P420" s="231"/>
      <c r="Q420" s="412"/>
      <c r="R420" s="425"/>
      <c r="S420" s="442"/>
      <c r="T420" s="283" t="str" cm="1">
        <f t="array" ref="T420">IF($B$9="","",_xlfn.IFS($B$9="PRESENCIAL",_xlfn.XLOOKUP($S420,DATA!$B$4:$B$8,DATA!$D$4:$D$8,"",0,),$B$9="VIRTUAL",_xlfn.XLOOKUP($S420,DATA!$G$4:$G$8,DATA!$I$4:$I$8,"",0),$B$9="DISTANCIA",_xlfn.XLOOKUP($S420,DATA!$L$4:$L$8,DATA!$N$4:$N$8,"",0)))</f>
        <v/>
      </c>
      <c r="U420" s="283" t="str" cm="1">
        <f t="array" ref="U420">IF($B$9="","",_xlfn.IFS($B$9="PRESENCIAL",_xlfn.XLOOKUP($S420,DATA!$B$4:$B$8,DATA!$E$4:$E$8,"",0,),$B$9="VIRTUAL",_xlfn.XLOOKUP($S420,DATA!$G$4:$G$8,DATA!$J$4:$J$8,"",0),$B$9="DISTANCIA",_xlfn.XLOOKUP($S420,DATA!$L$4:$L$8,DATA!$O$4:$O$8,"",0)))</f>
        <v/>
      </c>
      <c r="V420" s="261" t="str">
        <f t="shared" si="12"/>
        <v/>
      </c>
      <c r="W420" s="282"/>
      <c r="X420" s="282"/>
      <c r="Y420" s="282"/>
      <c r="Z420" s="282"/>
      <c r="AA420" s="282"/>
      <c r="AB420" s="284"/>
      <c r="AC420" s="262" t="str">
        <f>IF(AE420="","",COUNTIF($AE$1:AE420,AE420))</f>
        <v/>
      </c>
      <c r="AD420" s="261" t="str">
        <f>IF(J420='PLAN DE ESTUDIO'!$XFD$41,"",IF(AE420="","",AC420&amp;K420&amp;L420&amp;M420))</f>
        <v/>
      </c>
      <c r="AE420" s="261" t="str">
        <f>IF(J420='PLAN DE ESTUDIO'!$XFD$41,"",IF(AF420=1,K420&amp;L420&amp;M420,""))</f>
        <v/>
      </c>
      <c r="AF420" s="261">
        <f>COUNTIF($O$1:O420,$O420)</f>
        <v>0</v>
      </c>
      <c r="AG420" s="285" t="str">
        <f>IF(J420='PLAN DE ESTUDIO'!$XFD$41,"",IF(P420="TP","Teórico-Práctica",IF(P420="T","Teórico",IF(P420="P","Práctica",""))))</f>
        <v/>
      </c>
      <c r="AH420" s="234" t="str">
        <f t="shared" si="13"/>
        <v xml:space="preserve"> </v>
      </c>
    </row>
    <row r="421" spans="10:34" x14ac:dyDescent="0.3">
      <c r="J421" s="412"/>
      <c r="K421" s="232"/>
      <c r="L421" s="232"/>
      <c r="M421" s="232"/>
      <c r="N421" s="412"/>
      <c r="P421" s="231"/>
      <c r="Q421" s="412"/>
      <c r="R421" s="425"/>
      <c r="S421" s="442"/>
      <c r="T421" s="283" t="str" cm="1">
        <f t="array" ref="T421">IF($B$9="","",_xlfn.IFS($B$9="PRESENCIAL",_xlfn.XLOOKUP($S421,DATA!$B$4:$B$8,DATA!$D$4:$D$8,"",0,),$B$9="VIRTUAL",_xlfn.XLOOKUP($S421,DATA!$G$4:$G$8,DATA!$I$4:$I$8,"",0),$B$9="DISTANCIA",_xlfn.XLOOKUP($S421,DATA!$L$4:$L$8,DATA!$N$4:$N$8,"",0)))</f>
        <v/>
      </c>
      <c r="U421" s="283" t="str" cm="1">
        <f t="array" ref="U421">IF($B$9="","",_xlfn.IFS($B$9="PRESENCIAL",_xlfn.XLOOKUP($S421,DATA!$B$4:$B$8,DATA!$E$4:$E$8,"",0,),$B$9="VIRTUAL",_xlfn.XLOOKUP($S421,DATA!$G$4:$G$8,DATA!$J$4:$J$8,"",0),$B$9="DISTANCIA",_xlfn.XLOOKUP($S421,DATA!$L$4:$L$8,DATA!$O$4:$O$8,"",0)))</f>
        <v/>
      </c>
      <c r="V421" s="261" t="str">
        <f t="shared" si="12"/>
        <v/>
      </c>
      <c r="W421" s="282"/>
      <c r="X421" s="282"/>
      <c r="Y421" s="282"/>
      <c r="Z421" s="282"/>
      <c r="AA421" s="282"/>
      <c r="AB421" s="284"/>
      <c r="AC421" s="262" t="str">
        <f>IF(AE421="","",COUNTIF($AE$1:AE421,AE421))</f>
        <v/>
      </c>
      <c r="AD421" s="261" t="str">
        <f>IF(J421='PLAN DE ESTUDIO'!$XFD$41,"",IF(AE421="","",AC421&amp;K421&amp;L421&amp;M421))</f>
        <v/>
      </c>
      <c r="AE421" s="261" t="str">
        <f>IF(J421='PLAN DE ESTUDIO'!$XFD$41,"",IF(AF421=1,K421&amp;L421&amp;M421,""))</f>
        <v/>
      </c>
      <c r="AF421" s="261">
        <f>COUNTIF($O$1:O421,$O421)</f>
        <v>0</v>
      </c>
      <c r="AG421" s="285" t="str">
        <f>IF(J421='PLAN DE ESTUDIO'!$XFD$41,"",IF(P421="TP","Teórico-Práctica",IF(P421="T","Teórico",IF(P421="P","Práctica",""))))</f>
        <v/>
      </c>
      <c r="AH421" s="234" t="str">
        <f t="shared" si="13"/>
        <v xml:space="preserve"> </v>
      </c>
    </row>
    <row r="422" spans="10:34" x14ac:dyDescent="0.3">
      <c r="J422" s="412"/>
      <c r="K422" s="232"/>
      <c r="L422" s="232"/>
      <c r="M422" s="232"/>
      <c r="N422" s="412"/>
      <c r="P422" s="231"/>
      <c r="Q422" s="412"/>
      <c r="R422" s="425"/>
      <c r="S422" s="442"/>
      <c r="T422" s="283" t="str" cm="1">
        <f t="array" ref="T422">IF($B$9="","",_xlfn.IFS($B$9="PRESENCIAL",_xlfn.XLOOKUP($S422,DATA!$B$4:$B$8,DATA!$D$4:$D$8,"",0,),$B$9="VIRTUAL",_xlfn.XLOOKUP($S422,DATA!$G$4:$G$8,DATA!$I$4:$I$8,"",0),$B$9="DISTANCIA",_xlfn.XLOOKUP($S422,DATA!$L$4:$L$8,DATA!$N$4:$N$8,"",0)))</f>
        <v/>
      </c>
      <c r="U422" s="283" t="str" cm="1">
        <f t="array" ref="U422">IF($B$9="","",_xlfn.IFS($B$9="PRESENCIAL",_xlfn.XLOOKUP($S422,DATA!$B$4:$B$8,DATA!$E$4:$E$8,"",0,),$B$9="VIRTUAL",_xlfn.XLOOKUP($S422,DATA!$G$4:$G$8,DATA!$J$4:$J$8,"",0),$B$9="DISTANCIA",_xlfn.XLOOKUP($S422,DATA!$L$4:$L$8,DATA!$O$4:$O$8,"",0)))</f>
        <v/>
      </c>
      <c r="V422" s="261" t="str">
        <f t="shared" si="12"/>
        <v/>
      </c>
      <c r="W422" s="282"/>
      <c r="X422" s="282"/>
      <c r="Y422" s="282"/>
      <c r="Z422" s="282"/>
      <c r="AA422" s="282"/>
      <c r="AB422" s="284"/>
      <c r="AC422" s="262" t="str">
        <f>IF(AE422="","",COUNTIF($AE$1:AE422,AE422))</f>
        <v/>
      </c>
      <c r="AD422" s="261" t="str">
        <f>IF(J422='PLAN DE ESTUDIO'!$XFD$41,"",IF(AE422="","",AC422&amp;K422&amp;L422&amp;M422))</f>
        <v/>
      </c>
      <c r="AE422" s="261" t="str">
        <f>IF(J422='PLAN DE ESTUDIO'!$XFD$41,"",IF(AF422=1,K422&amp;L422&amp;M422,""))</f>
        <v/>
      </c>
      <c r="AF422" s="261">
        <f>COUNTIF($O$1:O422,$O422)</f>
        <v>0</v>
      </c>
      <c r="AG422" s="285" t="str">
        <f>IF(J422='PLAN DE ESTUDIO'!$XFD$41,"",IF(P422="TP","Teórico-Práctica",IF(P422="T","Teórico",IF(P422="P","Práctica",""))))</f>
        <v/>
      </c>
      <c r="AH422" s="234" t="str">
        <f t="shared" si="13"/>
        <v xml:space="preserve"> </v>
      </c>
    </row>
    <row r="423" spans="10:34" x14ac:dyDescent="0.3">
      <c r="J423" s="412"/>
      <c r="K423" s="232"/>
      <c r="L423" s="232"/>
      <c r="M423" s="232"/>
      <c r="N423" s="412"/>
      <c r="P423" s="231"/>
      <c r="Q423" s="412"/>
      <c r="R423" s="425"/>
      <c r="S423" s="442"/>
      <c r="T423" s="283" t="str" cm="1">
        <f t="array" ref="T423">IF($B$9="","",_xlfn.IFS($B$9="PRESENCIAL",_xlfn.XLOOKUP($S423,DATA!$B$4:$B$8,DATA!$D$4:$D$8,"",0,),$B$9="VIRTUAL",_xlfn.XLOOKUP($S423,DATA!$G$4:$G$8,DATA!$I$4:$I$8,"",0),$B$9="DISTANCIA",_xlfn.XLOOKUP($S423,DATA!$L$4:$L$8,DATA!$N$4:$N$8,"",0)))</f>
        <v/>
      </c>
      <c r="U423" s="283" t="str" cm="1">
        <f t="array" ref="U423">IF($B$9="","",_xlfn.IFS($B$9="PRESENCIAL",_xlfn.XLOOKUP($S423,DATA!$B$4:$B$8,DATA!$E$4:$E$8,"",0,),$B$9="VIRTUAL",_xlfn.XLOOKUP($S423,DATA!$G$4:$G$8,DATA!$J$4:$J$8,"",0),$B$9="DISTANCIA",_xlfn.XLOOKUP($S423,DATA!$L$4:$L$8,DATA!$O$4:$O$8,"",0)))</f>
        <v/>
      </c>
      <c r="V423" s="261" t="str">
        <f t="shared" si="12"/>
        <v/>
      </c>
      <c r="W423" s="282"/>
      <c r="X423" s="282"/>
      <c r="Y423" s="282"/>
      <c r="Z423" s="282"/>
      <c r="AA423" s="282"/>
      <c r="AB423" s="284"/>
      <c r="AC423" s="262" t="str">
        <f>IF(AE423="","",COUNTIF($AE$1:AE423,AE423))</f>
        <v/>
      </c>
      <c r="AD423" s="261" t="str">
        <f>IF(J423='PLAN DE ESTUDIO'!$XFD$41,"",IF(AE423="","",AC423&amp;K423&amp;L423&amp;M423))</f>
        <v/>
      </c>
      <c r="AE423" s="261" t="str">
        <f>IF(J423='PLAN DE ESTUDIO'!$XFD$41,"",IF(AF423=1,K423&amp;L423&amp;M423,""))</f>
        <v/>
      </c>
      <c r="AF423" s="261">
        <f>COUNTIF($O$1:O423,$O423)</f>
        <v>0</v>
      </c>
      <c r="AG423" s="285" t="str">
        <f>IF(J423='PLAN DE ESTUDIO'!$XFD$41,"",IF(P423="TP","Teórico-Práctica",IF(P423="T","Teórico",IF(P423="P","Práctica",""))))</f>
        <v/>
      </c>
      <c r="AH423" s="234" t="str">
        <f t="shared" si="13"/>
        <v xml:space="preserve"> </v>
      </c>
    </row>
    <row r="424" spans="10:34" x14ac:dyDescent="0.3">
      <c r="J424" s="412"/>
      <c r="K424" s="232"/>
      <c r="L424" s="232"/>
      <c r="M424" s="232"/>
      <c r="N424" s="412"/>
      <c r="P424" s="231"/>
      <c r="Q424" s="412"/>
      <c r="R424" s="425"/>
      <c r="S424" s="442"/>
      <c r="T424" s="283" t="str" cm="1">
        <f t="array" ref="T424">IF($B$9="","",_xlfn.IFS($B$9="PRESENCIAL",_xlfn.XLOOKUP($S424,DATA!$B$4:$B$8,DATA!$D$4:$D$8,"",0,),$B$9="VIRTUAL",_xlfn.XLOOKUP($S424,DATA!$G$4:$G$8,DATA!$I$4:$I$8,"",0),$B$9="DISTANCIA",_xlfn.XLOOKUP($S424,DATA!$L$4:$L$8,DATA!$N$4:$N$8,"",0)))</f>
        <v/>
      </c>
      <c r="U424" s="283" t="str" cm="1">
        <f t="array" ref="U424">IF($B$9="","",_xlfn.IFS($B$9="PRESENCIAL",_xlfn.XLOOKUP($S424,DATA!$B$4:$B$8,DATA!$E$4:$E$8,"",0,),$B$9="VIRTUAL",_xlfn.XLOOKUP($S424,DATA!$G$4:$G$8,DATA!$J$4:$J$8,"",0),$B$9="DISTANCIA",_xlfn.XLOOKUP($S424,DATA!$L$4:$L$8,DATA!$O$4:$O$8,"",0)))</f>
        <v/>
      </c>
      <c r="V424" s="261" t="str">
        <f t="shared" ref="V424:V487" si="14">IF($U424="","",T424+U424)</f>
        <v/>
      </c>
      <c r="W424" s="282"/>
      <c r="X424" s="282"/>
      <c r="Y424" s="282"/>
      <c r="Z424" s="282"/>
      <c r="AA424" s="282"/>
      <c r="AB424" s="284"/>
      <c r="AC424" s="262" t="str">
        <f>IF(AE424="","",COUNTIF($AE$1:AE424,AE424))</f>
        <v/>
      </c>
      <c r="AD424" s="261" t="str">
        <f>IF(J424='PLAN DE ESTUDIO'!$XFD$41,"",IF(AE424="","",AC424&amp;K424&amp;L424&amp;M424))</f>
        <v/>
      </c>
      <c r="AE424" s="261" t="str">
        <f>IF(J424='PLAN DE ESTUDIO'!$XFD$41,"",IF(AF424=1,K424&amp;L424&amp;M424,""))</f>
        <v/>
      </c>
      <c r="AF424" s="261">
        <f>COUNTIF($O$1:O424,$O424)</f>
        <v>0</v>
      </c>
      <c r="AG424" s="285" t="str">
        <f>IF(J424='PLAN DE ESTUDIO'!$XFD$41,"",IF(P424="TP","Teórico-Práctica",IF(P424="T","Teórico",IF(P424="P","Práctica",""))))</f>
        <v/>
      </c>
      <c r="AH424" s="234" t="str">
        <f t="shared" ref="AH424:AH487" si="15">IF(AC424&lt;&gt;1," ",S424)</f>
        <v xml:space="preserve"> </v>
      </c>
    </row>
    <row r="425" spans="10:34" x14ac:dyDescent="0.3">
      <c r="J425" s="412"/>
      <c r="K425" s="232"/>
      <c r="L425" s="232"/>
      <c r="M425" s="232"/>
      <c r="N425" s="412"/>
      <c r="P425" s="231"/>
      <c r="Q425" s="412"/>
      <c r="R425" s="425"/>
      <c r="S425" s="442"/>
      <c r="T425" s="283" t="str" cm="1">
        <f t="array" ref="T425">IF($B$9="","",_xlfn.IFS($B$9="PRESENCIAL",_xlfn.XLOOKUP($S425,DATA!$B$4:$B$8,DATA!$D$4:$D$8,"",0,),$B$9="VIRTUAL",_xlfn.XLOOKUP($S425,DATA!$G$4:$G$8,DATA!$I$4:$I$8,"",0),$B$9="DISTANCIA",_xlfn.XLOOKUP($S425,DATA!$L$4:$L$8,DATA!$N$4:$N$8,"",0)))</f>
        <v/>
      </c>
      <c r="U425" s="283" t="str" cm="1">
        <f t="array" ref="U425">IF($B$9="","",_xlfn.IFS($B$9="PRESENCIAL",_xlfn.XLOOKUP($S425,DATA!$B$4:$B$8,DATA!$E$4:$E$8,"",0,),$B$9="VIRTUAL",_xlfn.XLOOKUP($S425,DATA!$G$4:$G$8,DATA!$J$4:$J$8,"",0),$B$9="DISTANCIA",_xlfn.XLOOKUP($S425,DATA!$L$4:$L$8,DATA!$O$4:$O$8,"",0)))</f>
        <v/>
      </c>
      <c r="V425" s="261" t="str">
        <f t="shared" si="14"/>
        <v/>
      </c>
      <c r="W425" s="282"/>
      <c r="X425" s="282"/>
      <c r="Y425" s="282"/>
      <c r="Z425" s="282"/>
      <c r="AA425" s="282"/>
      <c r="AB425" s="284"/>
      <c r="AC425" s="262" t="str">
        <f>IF(AE425="","",COUNTIF($AE$1:AE425,AE425))</f>
        <v/>
      </c>
      <c r="AD425" s="261" t="str">
        <f>IF(J425='PLAN DE ESTUDIO'!$XFD$41,"",IF(AE425="","",AC425&amp;K425&amp;L425&amp;M425))</f>
        <v/>
      </c>
      <c r="AE425" s="261" t="str">
        <f>IF(J425='PLAN DE ESTUDIO'!$XFD$41,"",IF(AF425=1,K425&amp;L425&amp;M425,""))</f>
        <v/>
      </c>
      <c r="AF425" s="261">
        <f>COUNTIF($O$1:O425,$O425)</f>
        <v>0</v>
      </c>
      <c r="AG425" s="285" t="str">
        <f>IF(J425='PLAN DE ESTUDIO'!$XFD$41,"",IF(P425="TP","Teórico-Práctica",IF(P425="T","Teórico",IF(P425="P","Práctica",""))))</f>
        <v/>
      </c>
      <c r="AH425" s="234" t="str">
        <f t="shared" si="15"/>
        <v xml:space="preserve"> </v>
      </c>
    </row>
    <row r="426" spans="10:34" x14ac:dyDescent="0.3">
      <c r="J426" s="412"/>
      <c r="K426" s="232"/>
      <c r="L426" s="232"/>
      <c r="M426" s="232"/>
      <c r="N426" s="412"/>
      <c r="P426" s="231"/>
      <c r="Q426" s="412"/>
      <c r="R426" s="425"/>
      <c r="S426" s="442"/>
      <c r="T426" s="283" t="str" cm="1">
        <f t="array" ref="T426">IF($B$9="","",_xlfn.IFS($B$9="PRESENCIAL",_xlfn.XLOOKUP($S426,DATA!$B$4:$B$8,DATA!$D$4:$D$8,"",0,),$B$9="VIRTUAL",_xlfn.XLOOKUP($S426,DATA!$G$4:$G$8,DATA!$I$4:$I$8,"",0),$B$9="DISTANCIA",_xlfn.XLOOKUP($S426,DATA!$L$4:$L$8,DATA!$N$4:$N$8,"",0)))</f>
        <v/>
      </c>
      <c r="U426" s="283" t="str" cm="1">
        <f t="array" ref="U426">IF($B$9="","",_xlfn.IFS($B$9="PRESENCIAL",_xlfn.XLOOKUP($S426,DATA!$B$4:$B$8,DATA!$E$4:$E$8,"",0,),$B$9="VIRTUAL",_xlfn.XLOOKUP($S426,DATA!$G$4:$G$8,DATA!$J$4:$J$8,"",0),$B$9="DISTANCIA",_xlfn.XLOOKUP($S426,DATA!$L$4:$L$8,DATA!$O$4:$O$8,"",0)))</f>
        <v/>
      </c>
      <c r="V426" s="261" t="str">
        <f t="shared" si="14"/>
        <v/>
      </c>
      <c r="W426" s="282"/>
      <c r="X426" s="282"/>
      <c r="Y426" s="282"/>
      <c r="Z426" s="282"/>
      <c r="AA426" s="282"/>
      <c r="AB426" s="284"/>
      <c r="AC426" s="262" t="str">
        <f>IF(AE426="","",COUNTIF($AE$1:AE426,AE426))</f>
        <v/>
      </c>
      <c r="AD426" s="261" t="str">
        <f>IF(J426='PLAN DE ESTUDIO'!$XFD$41,"",IF(AE426="","",AC426&amp;K426&amp;L426&amp;M426))</f>
        <v/>
      </c>
      <c r="AE426" s="261" t="str">
        <f>IF(J426='PLAN DE ESTUDIO'!$XFD$41,"",IF(AF426=1,K426&amp;L426&amp;M426,""))</f>
        <v/>
      </c>
      <c r="AF426" s="261">
        <f>COUNTIF($O$1:O426,$O426)</f>
        <v>0</v>
      </c>
      <c r="AG426" s="285" t="str">
        <f>IF(J426='PLAN DE ESTUDIO'!$XFD$41,"",IF(P426="TP","Teórico-Práctica",IF(P426="T","Teórico",IF(P426="P","Práctica",""))))</f>
        <v/>
      </c>
      <c r="AH426" s="234" t="str">
        <f t="shared" si="15"/>
        <v xml:space="preserve"> </v>
      </c>
    </row>
    <row r="427" spans="10:34" x14ac:dyDescent="0.3">
      <c r="J427" s="412"/>
      <c r="K427" s="232"/>
      <c r="L427" s="232"/>
      <c r="M427" s="232"/>
      <c r="N427" s="412"/>
      <c r="P427" s="231"/>
      <c r="Q427" s="412"/>
      <c r="R427" s="425"/>
      <c r="S427" s="442"/>
      <c r="T427" s="283" t="str" cm="1">
        <f t="array" ref="T427">IF($B$9="","",_xlfn.IFS($B$9="PRESENCIAL",_xlfn.XLOOKUP($S427,DATA!$B$4:$B$8,DATA!$D$4:$D$8,"",0,),$B$9="VIRTUAL",_xlfn.XLOOKUP($S427,DATA!$G$4:$G$8,DATA!$I$4:$I$8,"",0),$B$9="DISTANCIA",_xlfn.XLOOKUP($S427,DATA!$L$4:$L$8,DATA!$N$4:$N$8,"",0)))</f>
        <v/>
      </c>
      <c r="U427" s="283" t="str" cm="1">
        <f t="array" ref="U427">IF($B$9="","",_xlfn.IFS($B$9="PRESENCIAL",_xlfn.XLOOKUP($S427,DATA!$B$4:$B$8,DATA!$E$4:$E$8,"",0,),$B$9="VIRTUAL",_xlfn.XLOOKUP($S427,DATA!$G$4:$G$8,DATA!$J$4:$J$8,"",0),$B$9="DISTANCIA",_xlfn.XLOOKUP($S427,DATA!$L$4:$L$8,DATA!$O$4:$O$8,"",0)))</f>
        <v/>
      </c>
      <c r="V427" s="261" t="str">
        <f t="shared" si="14"/>
        <v/>
      </c>
      <c r="W427" s="282"/>
      <c r="X427" s="282"/>
      <c r="Y427" s="282"/>
      <c r="Z427" s="282"/>
      <c r="AA427" s="282"/>
      <c r="AB427" s="284"/>
      <c r="AC427" s="262" t="str">
        <f>IF(AE427="","",COUNTIF($AE$1:AE427,AE427))</f>
        <v/>
      </c>
      <c r="AD427" s="261" t="str">
        <f>IF(J427='PLAN DE ESTUDIO'!$XFD$41,"",IF(AE427="","",AC427&amp;K427&amp;L427&amp;M427))</f>
        <v/>
      </c>
      <c r="AE427" s="261" t="str">
        <f>IF(J427='PLAN DE ESTUDIO'!$XFD$41,"",IF(AF427=1,K427&amp;L427&amp;M427,""))</f>
        <v/>
      </c>
      <c r="AF427" s="261">
        <f>COUNTIF($O$1:O427,$O427)</f>
        <v>0</v>
      </c>
      <c r="AG427" s="285" t="str">
        <f>IF(J427='PLAN DE ESTUDIO'!$XFD$41,"",IF(P427="TP","Teórico-Práctica",IF(P427="T","Teórico",IF(P427="P","Práctica",""))))</f>
        <v/>
      </c>
      <c r="AH427" s="234" t="str">
        <f t="shared" si="15"/>
        <v xml:space="preserve"> </v>
      </c>
    </row>
    <row r="428" spans="10:34" x14ac:dyDescent="0.3">
      <c r="J428" s="412"/>
      <c r="K428" s="232"/>
      <c r="L428" s="232"/>
      <c r="M428" s="232"/>
      <c r="N428" s="412"/>
      <c r="P428" s="231"/>
      <c r="Q428" s="412"/>
      <c r="R428" s="425"/>
      <c r="S428" s="442"/>
      <c r="T428" s="283" t="str" cm="1">
        <f t="array" ref="T428">IF($B$9="","",_xlfn.IFS($B$9="PRESENCIAL",_xlfn.XLOOKUP($S428,DATA!$B$4:$B$8,DATA!$D$4:$D$8,"",0,),$B$9="VIRTUAL",_xlfn.XLOOKUP($S428,DATA!$G$4:$G$8,DATA!$I$4:$I$8,"",0),$B$9="DISTANCIA",_xlfn.XLOOKUP($S428,DATA!$L$4:$L$8,DATA!$N$4:$N$8,"",0)))</f>
        <v/>
      </c>
      <c r="U428" s="283" t="str" cm="1">
        <f t="array" ref="U428">IF($B$9="","",_xlfn.IFS($B$9="PRESENCIAL",_xlfn.XLOOKUP($S428,DATA!$B$4:$B$8,DATA!$E$4:$E$8,"",0,),$B$9="VIRTUAL",_xlfn.XLOOKUP($S428,DATA!$G$4:$G$8,DATA!$J$4:$J$8,"",0),$B$9="DISTANCIA",_xlfn.XLOOKUP($S428,DATA!$L$4:$L$8,DATA!$O$4:$O$8,"",0)))</f>
        <v/>
      </c>
      <c r="V428" s="261" t="str">
        <f t="shared" si="14"/>
        <v/>
      </c>
      <c r="W428" s="282"/>
      <c r="X428" s="282"/>
      <c r="Y428" s="282"/>
      <c r="Z428" s="282"/>
      <c r="AA428" s="282"/>
      <c r="AB428" s="284"/>
      <c r="AC428" s="262" t="str">
        <f>IF(AE428="","",COUNTIF($AE$1:AE428,AE428))</f>
        <v/>
      </c>
      <c r="AD428" s="261" t="str">
        <f>IF(J428='PLAN DE ESTUDIO'!$XFD$41,"",IF(AE428="","",AC428&amp;K428&amp;L428&amp;M428))</f>
        <v/>
      </c>
      <c r="AE428" s="261" t="str">
        <f>IF(J428='PLAN DE ESTUDIO'!$XFD$41,"",IF(AF428=1,K428&amp;L428&amp;M428,""))</f>
        <v/>
      </c>
      <c r="AF428" s="261">
        <f>COUNTIF($O$1:O428,$O428)</f>
        <v>0</v>
      </c>
      <c r="AG428" s="285" t="str">
        <f>IF(J428='PLAN DE ESTUDIO'!$XFD$41,"",IF(P428="TP","Teórico-Práctica",IF(P428="T","Teórico",IF(P428="P","Práctica",""))))</f>
        <v/>
      </c>
      <c r="AH428" s="234" t="str">
        <f t="shared" si="15"/>
        <v xml:space="preserve"> </v>
      </c>
    </row>
    <row r="429" spans="10:34" x14ac:dyDescent="0.3">
      <c r="J429" s="412"/>
      <c r="K429" s="232"/>
      <c r="L429" s="232"/>
      <c r="M429" s="232"/>
      <c r="N429" s="412"/>
      <c r="P429" s="231"/>
      <c r="Q429" s="412"/>
      <c r="R429" s="425"/>
      <c r="S429" s="442"/>
      <c r="T429" s="283" t="str" cm="1">
        <f t="array" ref="T429">IF($B$9="","",_xlfn.IFS($B$9="PRESENCIAL",_xlfn.XLOOKUP($S429,DATA!$B$4:$B$8,DATA!$D$4:$D$8,"",0,),$B$9="VIRTUAL",_xlfn.XLOOKUP($S429,DATA!$G$4:$G$8,DATA!$I$4:$I$8,"",0),$B$9="DISTANCIA",_xlfn.XLOOKUP($S429,DATA!$L$4:$L$8,DATA!$N$4:$N$8,"",0)))</f>
        <v/>
      </c>
      <c r="U429" s="283" t="str" cm="1">
        <f t="array" ref="U429">IF($B$9="","",_xlfn.IFS($B$9="PRESENCIAL",_xlfn.XLOOKUP($S429,DATA!$B$4:$B$8,DATA!$E$4:$E$8,"",0,),$B$9="VIRTUAL",_xlfn.XLOOKUP($S429,DATA!$G$4:$G$8,DATA!$J$4:$J$8,"",0),$B$9="DISTANCIA",_xlfn.XLOOKUP($S429,DATA!$L$4:$L$8,DATA!$O$4:$O$8,"",0)))</f>
        <v/>
      </c>
      <c r="V429" s="261" t="str">
        <f t="shared" si="14"/>
        <v/>
      </c>
      <c r="W429" s="282"/>
      <c r="X429" s="282"/>
      <c r="Y429" s="282"/>
      <c r="Z429" s="282"/>
      <c r="AA429" s="282"/>
      <c r="AB429" s="284"/>
      <c r="AC429" s="262" t="str">
        <f>IF(AE429="","",COUNTIF($AE$1:AE429,AE429))</f>
        <v/>
      </c>
      <c r="AD429" s="261" t="str">
        <f>IF(J429='PLAN DE ESTUDIO'!$XFD$41,"",IF(AE429="","",AC429&amp;K429&amp;L429&amp;M429))</f>
        <v/>
      </c>
      <c r="AE429" s="261" t="str">
        <f>IF(J429='PLAN DE ESTUDIO'!$XFD$41,"",IF(AF429=1,K429&amp;L429&amp;M429,""))</f>
        <v/>
      </c>
      <c r="AF429" s="261">
        <f>COUNTIF($O$1:O429,$O429)</f>
        <v>0</v>
      </c>
      <c r="AG429" s="285" t="str">
        <f>IF(J429='PLAN DE ESTUDIO'!$XFD$41,"",IF(P429="TP","Teórico-Práctica",IF(P429="T","Teórico",IF(P429="P","Práctica",""))))</f>
        <v/>
      </c>
      <c r="AH429" s="234" t="str">
        <f t="shared" si="15"/>
        <v xml:space="preserve"> </v>
      </c>
    </row>
    <row r="430" spans="10:34" x14ac:dyDescent="0.3">
      <c r="J430" s="412"/>
      <c r="K430" s="232"/>
      <c r="L430" s="232"/>
      <c r="M430" s="232"/>
      <c r="N430" s="412"/>
      <c r="P430" s="231"/>
      <c r="Q430" s="412"/>
      <c r="R430" s="425"/>
      <c r="S430" s="442"/>
      <c r="T430" s="283" t="str" cm="1">
        <f t="array" ref="T430">IF($B$9="","",_xlfn.IFS($B$9="PRESENCIAL",_xlfn.XLOOKUP($S430,DATA!$B$4:$B$8,DATA!$D$4:$D$8,"",0,),$B$9="VIRTUAL",_xlfn.XLOOKUP($S430,DATA!$G$4:$G$8,DATA!$I$4:$I$8,"",0),$B$9="DISTANCIA",_xlfn.XLOOKUP($S430,DATA!$L$4:$L$8,DATA!$N$4:$N$8,"",0)))</f>
        <v/>
      </c>
      <c r="U430" s="283" t="str" cm="1">
        <f t="array" ref="U430">IF($B$9="","",_xlfn.IFS($B$9="PRESENCIAL",_xlfn.XLOOKUP($S430,DATA!$B$4:$B$8,DATA!$E$4:$E$8,"",0,),$B$9="VIRTUAL",_xlfn.XLOOKUP($S430,DATA!$G$4:$G$8,DATA!$J$4:$J$8,"",0),$B$9="DISTANCIA",_xlfn.XLOOKUP($S430,DATA!$L$4:$L$8,DATA!$O$4:$O$8,"",0)))</f>
        <v/>
      </c>
      <c r="V430" s="261" t="str">
        <f t="shared" si="14"/>
        <v/>
      </c>
      <c r="W430" s="282"/>
      <c r="X430" s="282"/>
      <c r="Y430" s="282"/>
      <c r="Z430" s="282"/>
      <c r="AA430" s="282"/>
      <c r="AB430" s="284"/>
      <c r="AC430" s="262" t="str">
        <f>IF(AE430="","",COUNTIF($AE$1:AE430,AE430))</f>
        <v/>
      </c>
      <c r="AD430" s="261" t="str">
        <f>IF(J430='PLAN DE ESTUDIO'!$XFD$41,"",IF(AE430="","",AC430&amp;K430&amp;L430&amp;M430))</f>
        <v/>
      </c>
      <c r="AE430" s="261" t="str">
        <f>IF(J430='PLAN DE ESTUDIO'!$XFD$41,"",IF(AF430=1,K430&amp;L430&amp;M430,""))</f>
        <v/>
      </c>
      <c r="AF430" s="261">
        <f>COUNTIF($O$1:O430,$O430)</f>
        <v>0</v>
      </c>
      <c r="AG430" s="285" t="str">
        <f>IF(J430='PLAN DE ESTUDIO'!$XFD$41,"",IF(P430="TP","Teórico-Práctica",IF(P430="T","Teórico",IF(P430="P","Práctica",""))))</f>
        <v/>
      </c>
      <c r="AH430" s="234" t="str">
        <f t="shared" si="15"/>
        <v xml:space="preserve"> </v>
      </c>
    </row>
    <row r="431" spans="10:34" x14ac:dyDescent="0.3">
      <c r="J431" s="412"/>
      <c r="K431" s="232"/>
      <c r="L431" s="232"/>
      <c r="M431" s="232"/>
      <c r="N431" s="412"/>
      <c r="P431" s="231"/>
      <c r="Q431" s="412"/>
      <c r="R431" s="425"/>
      <c r="S431" s="442"/>
      <c r="T431" s="283" t="str" cm="1">
        <f t="array" ref="T431">IF($B$9="","",_xlfn.IFS($B$9="PRESENCIAL",_xlfn.XLOOKUP($S431,DATA!$B$4:$B$8,DATA!$D$4:$D$8,"",0,),$B$9="VIRTUAL",_xlfn.XLOOKUP($S431,DATA!$G$4:$G$8,DATA!$I$4:$I$8,"",0),$B$9="DISTANCIA",_xlfn.XLOOKUP($S431,DATA!$L$4:$L$8,DATA!$N$4:$N$8,"",0)))</f>
        <v/>
      </c>
      <c r="U431" s="283" t="str" cm="1">
        <f t="array" ref="U431">IF($B$9="","",_xlfn.IFS($B$9="PRESENCIAL",_xlfn.XLOOKUP($S431,DATA!$B$4:$B$8,DATA!$E$4:$E$8,"",0,),$B$9="VIRTUAL",_xlfn.XLOOKUP($S431,DATA!$G$4:$G$8,DATA!$J$4:$J$8,"",0),$B$9="DISTANCIA",_xlfn.XLOOKUP($S431,DATA!$L$4:$L$8,DATA!$O$4:$O$8,"",0)))</f>
        <v/>
      </c>
      <c r="V431" s="261" t="str">
        <f t="shared" si="14"/>
        <v/>
      </c>
      <c r="W431" s="282"/>
      <c r="X431" s="282"/>
      <c r="Y431" s="282"/>
      <c r="Z431" s="282"/>
      <c r="AA431" s="282"/>
      <c r="AB431" s="284"/>
      <c r="AC431" s="262" t="str">
        <f>IF(AE431="","",COUNTIF($AE$1:AE431,AE431))</f>
        <v/>
      </c>
      <c r="AD431" s="261" t="str">
        <f>IF(J431='PLAN DE ESTUDIO'!$XFD$41,"",IF(AE431="","",AC431&amp;K431&amp;L431&amp;M431))</f>
        <v/>
      </c>
      <c r="AE431" s="261" t="str">
        <f>IF(J431='PLAN DE ESTUDIO'!$XFD$41,"",IF(AF431=1,K431&amp;L431&amp;M431,""))</f>
        <v/>
      </c>
      <c r="AF431" s="261">
        <f>COUNTIF($O$1:O431,$O431)</f>
        <v>0</v>
      </c>
      <c r="AG431" s="285" t="str">
        <f>IF(J431='PLAN DE ESTUDIO'!$XFD$41,"",IF(P431="TP","Teórico-Práctica",IF(P431="T","Teórico",IF(P431="P","Práctica",""))))</f>
        <v/>
      </c>
      <c r="AH431" s="234" t="str">
        <f t="shared" si="15"/>
        <v xml:space="preserve"> </v>
      </c>
    </row>
    <row r="432" spans="10:34" x14ac:dyDescent="0.3">
      <c r="J432" s="412"/>
      <c r="K432" s="232"/>
      <c r="L432" s="232"/>
      <c r="M432" s="232"/>
      <c r="N432" s="412"/>
      <c r="P432" s="231"/>
      <c r="Q432" s="412"/>
      <c r="R432" s="425"/>
      <c r="S432" s="442"/>
      <c r="T432" s="283" t="str" cm="1">
        <f t="array" ref="T432">IF($B$9="","",_xlfn.IFS($B$9="PRESENCIAL",_xlfn.XLOOKUP($S432,DATA!$B$4:$B$8,DATA!$D$4:$D$8,"",0,),$B$9="VIRTUAL",_xlfn.XLOOKUP($S432,DATA!$G$4:$G$8,DATA!$I$4:$I$8,"",0),$B$9="DISTANCIA",_xlfn.XLOOKUP($S432,DATA!$L$4:$L$8,DATA!$N$4:$N$8,"",0)))</f>
        <v/>
      </c>
      <c r="U432" s="283" t="str" cm="1">
        <f t="array" ref="U432">IF($B$9="","",_xlfn.IFS($B$9="PRESENCIAL",_xlfn.XLOOKUP($S432,DATA!$B$4:$B$8,DATA!$E$4:$E$8,"",0,),$B$9="VIRTUAL",_xlfn.XLOOKUP($S432,DATA!$G$4:$G$8,DATA!$J$4:$J$8,"",0),$B$9="DISTANCIA",_xlfn.XLOOKUP($S432,DATA!$L$4:$L$8,DATA!$O$4:$O$8,"",0)))</f>
        <v/>
      </c>
      <c r="V432" s="261" t="str">
        <f t="shared" si="14"/>
        <v/>
      </c>
      <c r="W432" s="282"/>
      <c r="X432" s="282"/>
      <c r="Y432" s="282"/>
      <c r="Z432" s="282"/>
      <c r="AA432" s="282"/>
      <c r="AB432" s="284"/>
      <c r="AC432" s="262" t="str">
        <f>IF(AE432="","",COUNTIF($AE$1:AE432,AE432))</f>
        <v/>
      </c>
      <c r="AD432" s="261" t="str">
        <f>IF(J432='PLAN DE ESTUDIO'!$XFD$41,"",IF(AE432="","",AC432&amp;K432&amp;L432&amp;M432))</f>
        <v/>
      </c>
      <c r="AE432" s="261" t="str">
        <f>IF(J432='PLAN DE ESTUDIO'!$XFD$41,"",IF(AF432=1,K432&amp;L432&amp;M432,""))</f>
        <v/>
      </c>
      <c r="AF432" s="261">
        <f>COUNTIF($O$1:O432,$O432)</f>
        <v>0</v>
      </c>
      <c r="AG432" s="285" t="str">
        <f>IF(J432='PLAN DE ESTUDIO'!$XFD$41,"",IF(P432="TP","Teórico-Práctica",IF(P432="T","Teórico",IF(P432="P","Práctica",""))))</f>
        <v/>
      </c>
      <c r="AH432" s="234" t="str">
        <f t="shared" si="15"/>
        <v xml:space="preserve"> </v>
      </c>
    </row>
    <row r="433" spans="10:34" x14ac:dyDescent="0.3">
      <c r="J433" s="412"/>
      <c r="K433" s="232"/>
      <c r="L433" s="232"/>
      <c r="M433" s="232"/>
      <c r="N433" s="412"/>
      <c r="P433" s="231"/>
      <c r="Q433" s="412"/>
      <c r="R433" s="425"/>
      <c r="S433" s="442"/>
      <c r="T433" s="283" t="str" cm="1">
        <f t="array" ref="T433">IF($B$9="","",_xlfn.IFS($B$9="PRESENCIAL",_xlfn.XLOOKUP($S433,DATA!$B$4:$B$8,DATA!$D$4:$D$8,"",0,),$B$9="VIRTUAL",_xlfn.XLOOKUP($S433,DATA!$G$4:$G$8,DATA!$I$4:$I$8,"",0),$B$9="DISTANCIA",_xlfn.XLOOKUP($S433,DATA!$L$4:$L$8,DATA!$N$4:$N$8,"",0)))</f>
        <v/>
      </c>
      <c r="U433" s="283" t="str" cm="1">
        <f t="array" ref="U433">IF($B$9="","",_xlfn.IFS($B$9="PRESENCIAL",_xlfn.XLOOKUP($S433,DATA!$B$4:$B$8,DATA!$E$4:$E$8,"",0,),$B$9="VIRTUAL",_xlfn.XLOOKUP($S433,DATA!$G$4:$G$8,DATA!$J$4:$J$8,"",0),$B$9="DISTANCIA",_xlfn.XLOOKUP($S433,DATA!$L$4:$L$8,DATA!$O$4:$O$8,"",0)))</f>
        <v/>
      </c>
      <c r="V433" s="261" t="str">
        <f t="shared" si="14"/>
        <v/>
      </c>
      <c r="W433" s="282"/>
      <c r="X433" s="282"/>
      <c r="Y433" s="282"/>
      <c r="Z433" s="282"/>
      <c r="AA433" s="282"/>
      <c r="AB433" s="284"/>
      <c r="AC433" s="262" t="str">
        <f>IF(AE433="","",COUNTIF($AE$1:AE433,AE433))</f>
        <v/>
      </c>
      <c r="AD433" s="261" t="str">
        <f>IF(J433='PLAN DE ESTUDIO'!$XFD$41,"",IF(AE433="","",AC433&amp;K433&amp;L433&amp;M433))</f>
        <v/>
      </c>
      <c r="AE433" s="261" t="str">
        <f>IF(J433='PLAN DE ESTUDIO'!$XFD$41,"",IF(AF433=1,K433&amp;L433&amp;M433,""))</f>
        <v/>
      </c>
      <c r="AF433" s="261">
        <f>COUNTIF($O$1:O433,$O433)</f>
        <v>0</v>
      </c>
      <c r="AG433" s="285" t="str">
        <f>IF(J433='PLAN DE ESTUDIO'!$XFD$41,"",IF(P433="TP","Teórico-Práctica",IF(P433="T","Teórico",IF(P433="P","Práctica",""))))</f>
        <v/>
      </c>
      <c r="AH433" s="234" t="str">
        <f t="shared" si="15"/>
        <v xml:space="preserve"> </v>
      </c>
    </row>
    <row r="434" spans="10:34" x14ac:dyDescent="0.3">
      <c r="J434" s="412"/>
      <c r="K434" s="232"/>
      <c r="L434" s="232"/>
      <c r="M434" s="232"/>
      <c r="N434" s="412"/>
      <c r="P434" s="231"/>
      <c r="Q434" s="412"/>
      <c r="R434" s="425"/>
      <c r="S434" s="442"/>
      <c r="T434" s="283" t="str" cm="1">
        <f t="array" ref="T434">IF($B$9="","",_xlfn.IFS($B$9="PRESENCIAL",_xlfn.XLOOKUP($S434,DATA!$B$4:$B$8,DATA!$D$4:$D$8,"",0,),$B$9="VIRTUAL",_xlfn.XLOOKUP($S434,DATA!$G$4:$G$8,DATA!$I$4:$I$8,"",0),$B$9="DISTANCIA",_xlfn.XLOOKUP($S434,DATA!$L$4:$L$8,DATA!$N$4:$N$8,"",0)))</f>
        <v/>
      </c>
      <c r="U434" s="283" t="str" cm="1">
        <f t="array" ref="U434">IF($B$9="","",_xlfn.IFS($B$9="PRESENCIAL",_xlfn.XLOOKUP($S434,DATA!$B$4:$B$8,DATA!$E$4:$E$8,"",0,),$B$9="VIRTUAL",_xlfn.XLOOKUP($S434,DATA!$G$4:$G$8,DATA!$J$4:$J$8,"",0),$B$9="DISTANCIA",_xlfn.XLOOKUP($S434,DATA!$L$4:$L$8,DATA!$O$4:$O$8,"",0)))</f>
        <v/>
      </c>
      <c r="V434" s="261" t="str">
        <f t="shared" si="14"/>
        <v/>
      </c>
      <c r="W434" s="282"/>
      <c r="X434" s="282"/>
      <c r="Y434" s="282"/>
      <c r="Z434" s="282"/>
      <c r="AA434" s="282"/>
      <c r="AB434" s="284"/>
      <c r="AC434" s="262" t="str">
        <f>IF(AE434="","",COUNTIF($AE$1:AE434,AE434))</f>
        <v/>
      </c>
      <c r="AD434" s="261" t="str">
        <f>IF(J434='PLAN DE ESTUDIO'!$XFD$41,"",IF(AE434="","",AC434&amp;K434&amp;L434&amp;M434))</f>
        <v/>
      </c>
      <c r="AE434" s="261" t="str">
        <f>IF(J434='PLAN DE ESTUDIO'!$XFD$41,"",IF(AF434=1,K434&amp;L434&amp;M434,""))</f>
        <v/>
      </c>
      <c r="AF434" s="261">
        <f>COUNTIF($O$1:O434,$O434)</f>
        <v>0</v>
      </c>
      <c r="AG434" s="285" t="str">
        <f>IF(J434='PLAN DE ESTUDIO'!$XFD$41,"",IF(P434="TP","Teórico-Práctica",IF(P434="T","Teórico",IF(P434="P","Práctica",""))))</f>
        <v/>
      </c>
      <c r="AH434" s="234" t="str">
        <f t="shared" si="15"/>
        <v xml:space="preserve"> </v>
      </c>
    </row>
    <row r="435" spans="10:34" x14ac:dyDescent="0.3">
      <c r="J435" s="412"/>
      <c r="K435" s="232"/>
      <c r="L435" s="232"/>
      <c r="M435" s="232"/>
      <c r="N435" s="412"/>
      <c r="P435" s="231"/>
      <c r="Q435" s="412"/>
      <c r="R435" s="425"/>
      <c r="S435" s="442"/>
      <c r="T435" s="283" t="str" cm="1">
        <f t="array" ref="T435">IF($B$9="","",_xlfn.IFS($B$9="PRESENCIAL",_xlfn.XLOOKUP($S435,DATA!$B$4:$B$8,DATA!$D$4:$D$8,"",0,),$B$9="VIRTUAL",_xlfn.XLOOKUP($S435,DATA!$G$4:$G$8,DATA!$I$4:$I$8,"",0),$B$9="DISTANCIA",_xlfn.XLOOKUP($S435,DATA!$L$4:$L$8,DATA!$N$4:$N$8,"",0)))</f>
        <v/>
      </c>
      <c r="U435" s="283" t="str" cm="1">
        <f t="array" ref="U435">IF($B$9="","",_xlfn.IFS($B$9="PRESENCIAL",_xlfn.XLOOKUP($S435,DATA!$B$4:$B$8,DATA!$E$4:$E$8,"",0,),$B$9="VIRTUAL",_xlfn.XLOOKUP($S435,DATA!$G$4:$G$8,DATA!$J$4:$J$8,"",0),$B$9="DISTANCIA",_xlfn.XLOOKUP($S435,DATA!$L$4:$L$8,DATA!$O$4:$O$8,"",0)))</f>
        <v/>
      </c>
      <c r="V435" s="261" t="str">
        <f t="shared" si="14"/>
        <v/>
      </c>
      <c r="W435" s="282"/>
      <c r="X435" s="282"/>
      <c r="Y435" s="282"/>
      <c r="Z435" s="282"/>
      <c r="AA435" s="282"/>
      <c r="AB435" s="284"/>
      <c r="AC435" s="262" t="str">
        <f>IF(AE435="","",COUNTIF($AE$1:AE435,AE435))</f>
        <v/>
      </c>
      <c r="AD435" s="261" t="str">
        <f>IF(J435='PLAN DE ESTUDIO'!$XFD$41,"",IF(AE435="","",AC435&amp;K435&amp;L435&amp;M435))</f>
        <v/>
      </c>
      <c r="AE435" s="261" t="str">
        <f>IF(J435='PLAN DE ESTUDIO'!$XFD$41,"",IF(AF435=1,K435&amp;L435&amp;M435,""))</f>
        <v/>
      </c>
      <c r="AF435" s="261">
        <f>COUNTIF($O$1:O435,$O435)</f>
        <v>0</v>
      </c>
      <c r="AG435" s="285" t="str">
        <f>IF(J435='PLAN DE ESTUDIO'!$XFD$41,"",IF(P435="TP","Teórico-Práctica",IF(P435="T","Teórico",IF(P435="P","Práctica",""))))</f>
        <v/>
      </c>
      <c r="AH435" s="234" t="str">
        <f t="shared" si="15"/>
        <v xml:space="preserve"> </v>
      </c>
    </row>
    <row r="436" spans="10:34" x14ac:dyDescent="0.3">
      <c r="J436" s="412"/>
      <c r="K436" s="232"/>
      <c r="L436" s="232"/>
      <c r="M436" s="232"/>
      <c r="N436" s="412"/>
      <c r="P436" s="231"/>
      <c r="Q436" s="412"/>
      <c r="R436" s="425"/>
      <c r="S436" s="442"/>
      <c r="T436" s="283" t="str" cm="1">
        <f t="array" ref="T436">IF($B$9="","",_xlfn.IFS($B$9="PRESENCIAL",_xlfn.XLOOKUP($S436,DATA!$B$4:$B$8,DATA!$D$4:$D$8,"",0,),$B$9="VIRTUAL",_xlfn.XLOOKUP($S436,DATA!$G$4:$G$8,DATA!$I$4:$I$8,"",0),$B$9="DISTANCIA",_xlfn.XLOOKUP($S436,DATA!$L$4:$L$8,DATA!$N$4:$N$8,"",0)))</f>
        <v/>
      </c>
      <c r="U436" s="283" t="str" cm="1">
        <f t="array" ref="U436">IF($B$9="","",_xlfn.IFS($B$9="PRESENCIAL",_xlfn.XLOOKUP($S436,DATA!$B$4:$B$8,DATA!$E$4:$E$8,"",0,),$B$9="VIRTUAL",_xlfn.XLOOKUP($S436,DATA!$G$4:$G$8,DATA!$J$4:$J$8,"",0),$B$9="DISTANCIA",_xlfn.XLOOKUP($S436,DATA!$L$4:$L$8,DATA!$O$4:$O$8,"",0)))</f>
        <v/>
      </c>
      <c r="V436" s="261" t="str">
        <f t="shared" si="14"/>
        <v/>
      </c>
      <c r="W436" s="282"/>
      <c r="X436" s="282"/>
      <c r="Y436" s="282"/>
      <c r="Z436" s="282"/>
      <c r="AA436" s="282"/>
      <c r="AB436" s="284"/>
      <c r="AC436" s="262" t="str">
        <f>IF(AE436="","",COUNTIF($AE$1:AE436,AE436))</f>
        <v/>
      </c>
      <c r="AD436" s="261" t="str">
        <f>IF(J436='PLAN DE ESTUDIO'!$XFD$41,"",IF(AE436="","",AC436&amp;K436&amp;L436&amp;M436))</f>
        <v/>
      </c>
      <c r="AE436" s="261" t="str">
        <f>IF(J436='PLAN DE ESTUDIO'!$XFD$41,"",IF(AF436=1,K436&amp;L436&amp;M436,""))</f>
        <v/>
      </c>
      <c r="AF436" s="261">
        <f>COUNTIF($O$1:O436,$O436)</f>
        <v>0</v>
      </c>
      <c r="AG436" s="285" t="str">
        <f>IF(J436='PLAN DE ESTUDIO'!$XFD$41,"",IF(P436="TP","Teórico-Práctica",IF(P436="T","Teórico",IF(P436="P","Práctica",""))))</f>
        <v/>
      </c>
      <c r="AH436" s="234" t="str">
        <f t="shared" si="15"/>
        <v xml:space="preserve"> </v>
      </c>
    </row>
    <row r="437" spans="10:34" x14ac:dyDescent="0.3">
      <c r="J437" s="412"/>
      <c r="K437" s="232"/>
      <c r="L437" s="232"/>
      <c r="M437" s="232"/>
      <c r="N437" s="412"/>
      <c r="P437" s="231"/>
      <c r="Q437" s="412"/>
      <c r="R437" s="425"/>
      <c r="S437" s="442"/>
      <c r="T437" s="283" t="str" cm="1">
        <f t="array" ref="T437">IF($B$9="","",_xlfn.IFS($B$9="PRESENCIAL",_xlfn.XLOOKUP($S437,DATA!$B$4:$B$8,DATA!$D$4:$D$8,"",0,),$B$9="VIRTUAL",_xlfn.XLOOKUP($S437,DATA!$G$4:$G$8,DATA!$I$4:$I$8,"",0),$B$9="DISTANCIA",_xlfn.XLOOKUP($S437,DATA!$L$4:$L$8,DATA!$N$4:$N$8,"",0)))</f>
        <v/>
      </c>
      <c r="U437" s="283" t="str" cm="1">
        <f t="array" ref="U437">IF($B$9="","",_xlfn.IFS($B$9="PRESENCIAL",_xlfn.XLOOKUP($S437,DATA!$B$4:$B$8,DATA!$E$4:$E$8,"",0,),$B$9="VIRTUAL",_xlfn.XLOOKUP($S437,DATA!$G$4:$G$8,DATA!$J$4:$J$8,"",0),$B$9="DISTANCIA",_xlfn.XLOOKUP($S437,DATA!$L$4:$L$8,DATA!$O$4:$O$8,"",0)))</f>
        <v/>
      </c>
      <c r="V437" s="261" t="str">
        <f t="shared" si="14"/>
        <v/>
      </c>
      <c r="W437" s="282"/>
      <c r="X437" s="282"/>
      <c r="Y437" s="282"/>
      <c r="Z437" s="282"/>
      <c r="AA437" s="282"/>
      <c r="AB437" s="284"/>
      <c r="AC437" s="262" t="str">
        <f>IF(AE437="","",COUNTIF($AE$1:AE437,AE437))</f>
        <v/>
      </c>
      <c r="AD437" s="261" t="str">
        <f>IF(J437='PLAN DE ESTUDIO'!$XFD$41,"",IF(AE437="","",AC437&amp;K437&amp;L437&amp;M437))</f>
        <v/>
      </c>
      <c r="AE437" s="261" t="str">
        <f>IF(J437='PLAN DE ESTUDIO'!$XFD$41,"",IF(AF437=1,K437&amp;L437&amp;M437,""))</f>
        <v/>
      </c>
      <c r="AF437" s="261">
        <f>COUNTIF($O$1:O437,$O437)</f>
        <v>0</v>
      </c>
      <c r="AG437" s="285" t="str">
        <f>IF(J437='PLAN DE ESTUDIO'!$XFD$41,"",IF(P437="TP","Teórico-Práctica",IF(P437="T","Teórico",IF(P437="P","Práctica",""))))</f>
        <v/>
      </c>
      <c r="AH437" s="234" t="str">
        <f t="shared" si="15"/>
        <v xml:space="preserve"> </v>
      </c>
    </row>
    <row r="438" spans="10:34" x14ac:dyDescent="0.3">
      <c r="J438" s="412"/>
      <c r="K438" s="232"/>
      <c r="L438" s="232"/>
      <c r="M438" s="232"/>
      <c r="N438" s="412"/>
      <c r="P438" s="231"/>
      <c r="Q438" s="412"/>
      <c r="R438" s="425"/>
      <c r="S438" s="442"/>
      <c r="T438" s="283" t="str" cm="1">
        <f t="array" ref="T438">IF($B$9="","",_xlfn.IFS($B$9="PRESENCIAL",_xlfn.XLOOKUP($S438,DATA!$B$4:$B$8,DATA!$D$4:$D$8,"",0,),$B$9="VIRTUAL",_xlfn.XLOOKUP($S438,DATA!$G$4:$G$8,DATA!$I$4:$I$8,"",0),$B$9="DISTANCIA",_xlfn.XLOOKUP($S438,DATA!$L$4:$L$8,DATA!$N$4:$N$8,"",0)))</f>
        <v/>
      </c>
      <c r="U438" s="283" t="str" cm="1">
        <f t="array" ref="U438">IF($B$9="","",_xlfn.IFS($B$9="PRESENCIAL",_xlfn.XLOOKUP($S438,DATA!$B$4:$B$8,DATA!$E$4:$E$8,"",0,),$B$9="VIRTUAL",_xlfn.XLOOKUP($S438,DATA!$G$4:$G$8,DATA!$J$4:$J$8,"",0),$B$9="DISTANCIA",_xlfn.XLOOKUP($S438,DATA!$L$4:$L$8,DATA!$O$4:$O$8,"",0)))</f>
        <v/>
      </c>
      <c r="V438" s="261" t="str">
        <f t="shared" si="14"/>
        <v/>
      </c>
      <c r="W438" s="282"/>
      <c r="X438" s="282"/>
      <c r="Y438" s="282"/>
      <c r="Z438" s="282"/>
      <c r="AA438" s="282"/>
      <c r="AB438" s="284"/>
      <c r="AC438" s="262" t="str">
        <f>IF(AE438="","",COUNTIF($AE$1:AE438,AE438))</f>
        <v/>
      </c>
      <c r="AD438" s="261" t="str">
        <f>IF(J438='PLAN DE ESTUDIO'!$XFD$41,"",IF(AE438="","",AC438&amp;K438&amp;L438&amp;M438))</f>
        <v/>
      </c>
      <c r="AE438" s="261" t="str">
        <f>IF(J438='PLAN DE ESTUDIO'!$XFD$41,"",IF(AF438=1,K438&amp;L438&amp;M438,""))</f>
        <v/>
      </c>
      <c r="AF438" s="261">
        <f>COUNTIF($O$1:O438,$O438)</f>
        <v>0</v>
      </c>
      <c r="AG438" s="285" t="str">
        <f>IF(J438='PLAN DE ESTUDIO'!$XFD$41,"",IF(P438="TP","Teórico-Práctica",IF(P438="T","Teórico",IF(P438="P","Práctica",""))))</f>
        <v/>
      </c>
      <c r="AH438" s="234" t="str">
        <f t="shared" si="15"/>
        <v xml:space="preserve"> </v>
      </c>
    </row>
    <row r="439" spans="10:34" x14ac:dyDescent="0.3">
      <c r="J439" s="412"/>
      <c r="K439" s="232"/>
      <c r="L439" s="232"/>
      <c r="M439" s="232"/>
      <c r="N439" s="412"/>
      <c r="P439" s="231"/>
      <c r="Q439" s="412"/>
      <c r="R439" s="425"/>
      <c r="S439" s="442"/>
      <c r="T439" s="283" t="str" cm="1">
        <f t="array" ref="T439">IF($B$9="","",_xlfn.IFS($B$9="PRESENCIAL",_xlfn.XLOOKUP($S439,DATA!$B$4:$B$8,DATA!$D$4:$D$8,"",0,),$B$9="VIRTUAL",_xlfn.XLOOKUP($S439,DATA!$G$4:$G$8,DATA!$I$4:$I$8,"",0),$B$9="DISTANCIA",_xlfn.XLOOKUP($S439,DATA!$L$4:$L$8,DATA!$N$4:$N$8,"",0)))</f>
        <v/>
      </c>
      <c r="U439" s="283" t="str" cm="1">
        <f t="array" ref="U439">IF($B$9="","",_xlfn.IFS($B$9="PRESENCIAL",_xlfn.XLOOKUP($S439,DATA!$B$4:$B$8,DATA!$E$4:$E$8,"",0,),$B$9="VIRTUAL",_xlfn.XLOOKUP($S439,DATA!$G$4:$G$8,DATA!$J$4:$J$8,"",0),$B$9="DISTANCIA",_xlfn.XLOOKUP($S439,DATA!$L$4:$L$8,DATA!$O$4:$O$8,"",0)))</f>
        <v/>
      </c>
      <c r="V439" s="261" t="str">
        <f t="shared" si="14"/>
        <v/>
      </c>
      <c r="W439" s="282"/>
      <c r="X439" s="282"/>
      <c r="Y439" s="282"/>
      <c r="Z439" s="282"/>
      <c r="AA439" s="282"/>
      <c r="AB439" s="284"/>
      <c r="AC439" s="262" t="str">
        <f>IF(AE439="","",COUNTIF($AE$1:AE439,AE439))</f>
        <v/>
      </c>
      <c r="AD439" s="261" t="str">
        <f>IF(J439='PLAN DE ESTUDIO'!$XFD$41,"",IF(AE439="","",AC439&amp;K439&amp;L439&amp;M439))</f>
        <v/>
      </c>
      <c r="AE439" s="261" t="str">
        <f>IF(J439='PLAN DE ESTUDIO'!$XFD$41,"",IF(AF439=1,K439&amp;L439&amp;M439,""))</f>
        <v/>
      </c>
      <c r="AF439" s="261">
        <f>COUNTIF($O$1:O439,$O439)</f>
        <v>0</v>
      </c>
      <c r="AG439" s="285" t="str">
        <f>IF(J439='PLAN DE ESTUDIO'!$XFD$41,"",IF(P439="TP","Teórico-Práctica",IF(P439="T","Teórico",IF(P439="P","Práctica",""))))</f>
        <v/>
      </c>
      <c r="AH439" s="234" t="str">
        <f t="shared" si="15"/>
        <v xml:space="preserve"> </v>
      </c>
    </row>
    <row r="440" spans="10:34" x14ac:dyDescent="0.3">
      <c r="J440" s="412"/>
      <c r="K440" s="232"/>
      <c r="L440" s="232"/>
      <c r="M440" s="232"/>
      <c r="N440" s="412"/>
      <c r="P440" s="231"/>
      <c r="Q440" s="412"/>
      <c r="R440" s="425"/>
      <c r="S440" s="442"/>
      <c r="T440" s="283" t="str" cm="1">
        <f t="array" ref="T440">IF($B$9="","",_xlfn.IFS($B$9="PRESENCIAL",_xlfn.XLOOKUP($S440,DATA!$B$4:$B$8,DATA!$D$4:$D$8,"",0,),$B$9="VIRTUAL",_xlfn.XLOOKUP($S440,DATA!$G$4:$G$8,DATA!$I$4:$I$8,"",0),$B$9="DISTANCIA",_xlfn.XLOOKUP($S440,DATA!$L$4:$L$8,DATA!$N$4:$N$8,"",0)))</f>
        <v/>
      </c>
      <c r="U440" s="283" t="str" cm="1">
        <f t="array" ref="U440">IF($B$9="","",_xlfn.IFS($B$9="PRESENCIAL",_xlfn.XLOOKUP($S440,DATA!$B$4:$B$8,DATA!$E$4:$E$8,"",0,),$B$9="VIRTUAL",_xlfn.XLOOKUP($S440,DATA!$G$4:$G$8,DATA!$J$4:$J$8,"",0),$B$9="DISTANCIA",_xlfn.XLOOKUP($S440,DATA!$L$4:$L$8,DATA!$O$4:$O$8,"",0)))</f>
        <v/>
      </c>
      <c r="V440" s="261" t="str">
        <f t="shared" si="14"/>
        <v/>
      </c>
      <c r="W440" s="282"/>
      <c r="X440" s="282"/>
      <c r="Y440" s="282"/>
      <c r="Z440" s="282"/>
      <c r="AA440" s="282"/>
      <c r="AB440" s="284"/>
      <c r="AC440" s="262" t="str">
        <f>IF(AE440="","",COUNTIF($AE$1:AE440,AE440))</f>
        <v/>
      </c>
      <c r="AD440" s="261" t="str">
        <f>IF(J440='PLAN DE ESTUDIO'!$XFD$41,"",IF(AE440="","",AC440&amp;K440&amp;L440&amp;M440))</f>
        <v/>
      </c>
      <c r="AE440" s="261" t="str">
        <f>IF(J440='PLAN DE ESTUDIO'!$XFD$41,"",IF(AF440=1,K440&amp;L440&amp;M440,""))</f>
        <v/>
      </c>
      <c r="AF440" s="261">
        <f>COUNTIF($O$1:O440,$O440)</f>
        <v>0</v>
      </c>
      <c r="AG440" s="285" t="str">
        <f>IF(J440='PLAN DE ESTUDIO'!$XFD$41,"",IF(P440="TP","Teórico-Práctica",IF(P440="T","Teórico",IF(P440="P","Práctica",""))))</f>
        <v/>
      </c>
      <c r="AH440" s="234" t="str">
        <f t="shared" si="15"/>
        <v xml:space="preserve"> </v>
      </c>
    </row>
    <row r="441" spans="10:34" x14ac:dyDescent="0.3">
      <c r="J441" s="412"/>
      <c r="K441" s="232"/>
      <c r="L441" s="232"/>
      <c r="M441" s="232"/>
      <c r="N441" s="412"/>
      <c r="P441" s="231"/>
      <c r="Q441" s="412"/>
      <c r="R441" s="425"/>
      <c r="S441" s="442"/>
      <c r="T441" s="283" t="str" cm="1">
        <f t="array" ref="T441">IF($B$9="","",_xlfn.IFS($B$9="PRESENCIAL",_xlfn.XLOOKUP($S441,DATA!$B$4:$B$8,DATA!$D$4:$D$8,"",0,),$B$9="VIRTUAL",_xlfn.XLOOKUP($S441,DATA!$G$4:$G$8,DATA!$I$4:$I$8,"",0),$B$9="DISTANCIA",_xlfn.XLOOKUP($S441,DATA!$L$4:$L$8,DATA!$N$4:$N$8,"",0)))</f>
        <v/>
      </c>
      <c r="U441" s="283" t="str" cm="1">
        <f t="array" ref="U441">IF($B$9="","",_xlfn.IFS($B$9="PRESENCIAL",_xlfn.XLOOKUP($S441,DATA!$B$4:$B$8,DATA!$E$4:$E$8,"",0,),$B$9="VIRTUAL",_xlfn.XLOOKUP($S441,DATA!$G$4:$G$8,DATA!$J$4:$J$8,"",0),$B$9="DISTANCIA",_xlfn.XLOOKUP($S441,DATA!$L$4:$L$8,DATA!$O$4:$O$8,"",0)))</f>
        <v/>
      </c>
      <c r="V441" s="261" t="str">
        <f t="shared" si="14"/>
        <v/>
      </c>
      <c r="W441" s="282"/>
      <c r="X441" s="282"/>
      <c r="Y441" s="282"/>
      <c r="Z441" s="282"/>
      <c r="AA441" s="282"/>
      <c r="AB441" s="284"/>
      <c r="AC441" s="262" t="str">
        <f>IF(AE441="","",COUNTIF($AE$1:AE441,AE441))</f>
        <v/>
      </c>
      <c r="AD441" s="261" t="str">
        <f>IF(J441='PLAN DE ESTUDIO'!$XFD$41,"",IF(AE441="","",AC441&amp;K441&amp;L441&amp;M441))</f>
        <v/>
      </c>
      <c r="AE441" s="261" t="str">
        <f>IF(J441='PLAN DE ESTUDIO'!$XFD$41,"",IF(AF441=1,K441&amp;L441&amp;M441,""))</f>
        <v/>
      </c>
      <c r="AF441" s="261">
        <f>COUNTIF($O$1:O441,$O441)</f>
        <v>0</v>
      </c>
      <c r="AG441" s="285" t="str">
        <f>IF(J441='PLAN DE ESTUDIO'!$XFD$41,"",IF(P441="TP","Teórico-Práctica",IF(P441="T","Teórico",IF(P441="P","Práctica",""))))</f>
        <v/>
      </c>
      <c r="AH441" s="234" t="str">
        <f t="shared" si="15"/>
        <v xml:space="preserve"> </v>
      </c>
    </row>
    <row r="442" spans="10:34" x14ac:dyDescent="0.3">
      <c r="J442" s="412"/>
      <c r="K442" s="232"/>
      <c r="L442" s="232"/>
      <c r="M442" s="232"/>
      <c r="N442" s="412"/>
      <c r="P442" s="231"/>
      <c r="Q442" s="412"/>
      <c r="R442" s="425"/>
      <c r="S442" s="442"/>
      <c r="T442" s="283" t="str" cm="1">
        <f t="array" ref="T442">IF($B$9="","",_xlfn.IFS($B$9="PRESENCIAL",_xlfn.XLOOKUP($S442,DATA!$B$4:$B$8,DATA!$D$4:$D$8,"",0,),$B$9="VIRTUAL",_xlfn.XLOOKUP($S442,DATA!$G$4:$G$8,DATA!$I$4:$I$8,"",0),$B$9="DISTANCIA",_xlfn.XLOOKUP($S442,DATA!$L$4:$L$8,DATA!$N$4:$N$8,"",0)))</f>
        <v/>
      </c>
      <c r="U442" s="283" t="str" cm="1">
        <f t="array" ref="U442">IF($B$9="","",_xlfn.IFS($B$9="PRESENCIAL",_xlfn.XLOOKUP($S442,DATA!$B$4:$B$8,DATA!$E$4:$E$8,"",0,),$B$9="VIRTUAL",_xlfn.XLOOKUP($S442,DATA!$G$4:$G$8,DATA!$J$4:$J$8,"",0),$B$9="DISTANCIA",_xlfn.XLOOKUP($S442,DATA!$L$4:$L$8,DATA!$O$4:$O$8,"",0)))</f>
        <v/>
      </c>
      <c r="V442" s="261" t="str">
        <f t="shared" si="14"/>
        <v/>
      </c>
      <c r="W442" s="282"/>
      <c r="X442" s="282"/>
      <c r="Y442" s="282"/>
      <c r="Z442" s="282"/>
      <c r="AA442" s="282"/>
      <c r="AB442" s="284"/>
      <c r="AC442" s="262" t="str">
        <f>IF(AE442="","",COUNTIF($AE$1:AE442,AE442))</f>
        <v/>
      </c>
      <c r="AD442" s="261" t="str">
        <f>IF(J442='PLAN DE ESTUDIO'!$XFD$41,"",IF(AE442="","",AC442&amp;K442&amp;L442&amp;M442))</f>
        <v/>
      </c>
      <c r="AE442" s="261" t="str">
        <f>IF(J442='PLAN DE ESTUDIO'!$XFD$41,"",IF(AF442=1,K442&amp;L442&amp;M442,""))</f>
        <v/>
      </c>
      <c r="AF442" s="261">
        <f>COUNTIF($O$1:O442,$O442)</f>
        <v>0</v>
      </c>
      <c r="AG442" s="285" t="str">
        <f>IF(J442='PLAN DE ESTUDIO'!$XFD$41,"",IF(P442="TP","Teórico-Práctica",IF(P442="T","Teórico",IF(P442="P","Práctica",""))))</f>
        <v/>
      </c>
      <c r="AH442" s="234" t="str">
        <f t="shared" si="15"/>
        <v xml:space="preserve"> </v>
      </c>
    </row>
    <row r="443" spans="10:34" x14ac:dyDescent="0.3">
      <c r="J443" s="412"/>
      <c r="K443" s="232"/>
      <c r="L443" s="232"/>
      <c r="M443" s="232"/>
      <c r="N443" s="412"/>
      <c r="P443" s="231"/>
      <c r="Q443" s="412"/>
      <c r="R443" s="425"/>
      <c r="S443" s="442"/>
      <c r="T443" s="283" t="str" cm="1">
        <f t="array" ref="T443">IF($B$9="","",_xlfn.IFS($B$9="PRESENCIAL",_xlfn.XLOOKUP($S443,DATA!$B$4:$B$8,DATA!$D$4:$D$8,"",0,),$B$9="VIRTUAL",_xlfn.XLOOKUP($S443,DATA!$G$4:$G$8,DATA!$I$4:$I$8,"",0),$B$9="DISTANCIA",_xlfn.XLOOKUP($S443,DATA!$L$4:$L$8,DATA!$N$4:$N$8,"",0)))</f>
        <v/>
      </c>
      <c r="U443" s="283" t="str" cm="1">
        <f t="array" ref="U443">IF($B$9="","",_xlfn.IFS($B$9="PRESENCIAL",_xlfn.XLOOKUP($S443,DATA!$B$4:$B$8,DATA!$E$4:$E$8,"",0,),$B$9="VIRTUAL",_xlfn.XLOOKUP($S443,DATA!$G$4:$G$8,DATA!$J$4:$J$8,"",0),$B$9="DISTANCIA",_xlfn.XLOOKUP($S443,DATA!$L$4:$L$8,DATA!$O$4:$O$8,"",0)))</f>
        <v/>
      </c>
      <c r="V443" s="261" t="str">
        <f t="shared" si="14"/>
        <v/>
      </c>
      <c r="W443" s="282"/>
      <c r="X443" s="282"/>
      <c r="Y443" s="282"/>
      <c r="Z443" s="282"/>
      <c r="AA443" s="282"/>
      <c r="AB443" s="284"/>
      <c r="AC443" s="262" t="str">
        <f>IF(AE443="","",COUNTIF($AE$1:AE443,AE443))</f>
        <v/>
      </c>
      <c r="AD443" s="261" t="str">
        <f>IF(J443='PLAN DE ESTUDIO'!$XFD$41,"",IF(AE443="","",AC443&amp;K443&amp;L443&amp;M443))</f>
        <v/>
      </c>
      <c r="AE443" s="261" t="str">
        <f>IF(J443='PLAN DE ESTUDIO'!$XFD$41,"",IF(AF443=1,K443&amp;L443&amp;M443,""))</f>
        <v/>
      </c>
      <c r="AF443" s="261">
        <f>COUNTIF($O$1:O443,$O443)</f>
        <v>0</v>
      </c>
      <c r="AG443" s="285" t="str">
        <f>IF(J443='PLAN DE ESTUDIO'!$XFD$41,"",IF(P443="TP","Teórico-Práctica",IF(P443="T","Teórico",IF(P443="P","Práctica",""))))</f>
        <v/>
      </c>
      <c r="AH443" s="234" t="str">
        <f t="shared" si="15"/>
        <v xml:space="preserve"> </v>
      </c>
    </row>
    <row r="444" spans="10:34" x14ac:dyDescent="0.3">
      <c r="J444" s="412"/>
      <c r="K444" s="232"/>
      <c r="L444" s="232"/>
      <c r="M444" s="232"/>
      <c r="N444" s="412"/>
      <c r="P444" s="231"/>
      <c r="Q444" s="412"/>
      <c r="R444" s="425"/>
      <c r="S444" s="442"/>
      <c r="T444" s="283" t="str" cm="1">
        <f t="array" ref="T444">IF($B$9="","",_xlfn.IFS($B$9="PRESENCIAL",_xlfn.XLOOKUP($S444,DATA!$B$4:$B$8,DATA!$D$4:$D$8,"",0,),$B$9="VIRTUAL",_xlfn.XLOOKUP($S444,DATA!$G$4:$G$8,DATA!$I$4:$I$8,"",0),$B$9="DISTANCIA",_xlfn.XLOOKUP($S444,DATA!$L$4:$L$8,DATA!$N$4:$N$8,"",0)))</f>
        <v/>
      </c>
      <c r="U444" s="283" t="str" cm="1">
        <f t="array" ref="U444">IF($B$9="","",_xlfn.IFS($B$9="PRESENCIAL",_xlfn.XLOOKUP($S444,DATA!$B$4:$B$8,DATA!$E$4:$E$8,"",0,),$B$9="VIRTUAL",_xlfn.XLOOKUP($S444,DATA!$G$4:$G$8,DATA!$J$4:$J$8,"",0),$B$9="DISTANCIA",_xlfn.XLOOKUP($S444,DATA!$L$4:$L$8,DATA!$O$4:$O$8,"",0)))</f>
        <v/>
      </c>
      <c r="V444" s="261" t="str">
        <f t="shared" si="14"/>
        <v/>
      </c>
      <c r="W444" s="282"/>
      <c r="X444" s="282"/>
      <c r="Y444" s="282"/>
      <c r="Z444" s="282"/>
      <c r="AA444" s="282"/>
      <c r="AB444" s="284"/>
      <c r="AC444" s="262" t="str">
        <f>IF(AE444="","",COUNTIF($AE$1:AE444,AE444))</f>
        <v/>
      </c>
      <c r="AD444" s="261" t="str">
        <f>IF(J444='PLAN DE ESTUDIO'!$XFD$41,"",IF(AE444="","",AC444&amp;K444&amp;L444&amp;M444))</f>
        <v/>
      </c>
      <c r="AE444" s="261" t="str">
        <f>IF(J444='PLAN DE ESTUDIO'!$XFD$41,"",IF(AF444=1,K444&amp;L444&amp;M444,""))</f>
        <v/>
      </c>
      <c r="AF444" s="261">
        <f>COUNTIF($O$1:O444,$O444)</f>
        <v>0</v>
      </c>
      <c r="AG444" s="285" t="str">
        <f>IF(J444='PLAN DE ESTUDIO'!$XFD$41,"",IF(P444="TP","Teórico-Práctica",IF(P444="T","Teórico",IF(P444="P","Práctica",""))))</f>
        <v/>
      </c>
      <c r="AH444" s="234" t="str">
        <f t="shared" si="15"/>
        <v xml:space="preserve"> </v>
      </c>
    </row>
    <row r="445" spans="10:34" x14ac:dyDescent="0.3">
      <c r="J445" s="412"/>
      <c r="K445" s="232"/>
      <c r="L445" s="232"/>
      <c r="M445" s="232"/>
      <c r="N445" s="412"/>
      <c r="P445" s="231"/>
      <c r="Q445" s="412"/>
      <c r="R445" s="425"/>
      <c r="S445" s="442"/>
      <c r="T445" s="283" t="str" cm="1">
        <f t="array" ref="T445">IF($B$9="","",_xlfn.IFS($B$9="PRESENCIAL",_xlfn.XLOOKUP($S445,DATA!$B$4:$B$8,DATA!$D$4:$D$8,"",0,),$B$9="VIRTUAL",_xlfn.XLOOKUP($S445,DATA!$G$4:$G$8,DATA!$I$4:$I$8,"",0),$B$9="DISTANCIA",_xlfn.XLOOKUP($S445,DATA!$L$4:$L$8,DATA!$N$4:$N$8,"",0)))</f>
        <v/>
      </c>
      <c r="U445" s="283" t="str" cm="1">
        <f t="array" ref="U445">IF($B$9="","",_xlfn.IFS($B$9="PRESENCIAL",_xlfn.XLOOKUP($S445,DATA!$B$4:$B$8,DATA!$E$4:$E$8,"",0,),$B$9="VIRTUAL",_xlfn.XLOOKUP($S445,DATA!$G$4:$G$8,DATA!$J$4:$J$8,"",0),$B$9="DISTANCIA",_xlfn.XLOOKUP($S445,DATA!$L$4:$L$8,DATA!$O$4:$O$8,"",0)))</f>
        <v/>
      </c>
      <c r="V445" s="261" t="str">
        <f t="shared" si="14"/>
        <v/>
      </c>
      <c r="W445" s="282"/>
      <c r="X445" s="282"/>
      <c r="Y445" s="282"/>
      <c r="Z445" s="282"/>
      <c r="AA445" s="282"/>
      <c r="AB445" s="284"/>
      <c r="AC445" s="262" t="str">
        <f>IF(AE445="","",COUNTIF($AE$1:AE445,AE445))</f>
        <v/>
      </c>
      <c r="AD445" s="261" t="str">
        <f>IF(J445='PLAN DE ESTUDIO'!$XFD$41,"",IF(AE445="","",AC445&amp;K445&amp;L445&amp;M445))</f>
        <v/>
      </c>
      <c r="AE445" s="261" t="str">
        <f>IF(J445='PLAN DE ESTUDIO'!$XFD$41,"",IF(AF445=1,K445&amp;L445&amp;M445,""))</f>
        <v/>
      </c>
      <c r="AF445" s="261">
        <f>COUNTIF($O$1:O445,$O445)</f>
        <v>0</v>
      </c>
      <c r="AG445" s="285" t="str">
        <f>IF(J445='PLAN DE ESTUDIO'!$XFD$41,"",IF(P445="TP","Teórico-Práctica",IF(P445="T","Teórico",IF(P445="P","Práctica",""))))</f>
        <v/>
      </c>
      <c r="AH445" s="234" t="str">
        <f t="shared" si="15"/>
        <v xml:space="preserve"> </v>
      </c>
    </row>
    <row r="446" spans="10:34" x14ac:dyDescent="0.3">
      <c r="J446" s="412"/>
      <c r="K446" s="232"/>
      <c r="L446" s="232"/>
      <c r="M446" s="232"/>
      <c r="N446" s="412"/>
      <c r="P446" s="231"/>
      <c r="Q446" s="412"/>
      <c r="R446" s="425"/>
      <c r="S446" s="442"/>
      <c r="T446" s="283" t="str" cm="1">
        <f t="array" ref="T446">IF($B$9="","",_xlfn.IFS($B$9="PRESENCIAL",_xlfn.XLOOKUP($S446,DATA!$B$4:$B$8,DATA!$D$4:$D$8,"",0,),$B$9="VIRTUAL",_xlfn.XLOOKUP($S446,DATA!$G$4:$G$8,DATA!$I$4:$I$8,"",0),$B$9="DISTANCIA",_xlfn.XLOOKUP($S446,DATA!$L$4:$L$8,DATA!$N$4:$N$8,"",0)))</f>
        <v/>
      </c>
      <c r="U446" s="283" t="str" cm="1">
        <f t="array" ref="U446">IF($B$9="","",_xlfn.IFS($B$9="PRESENCIAL",_xlfn.XLOOKUP($S446,DATA!$B$4:$B$8,DATA!$E$4:$E$8,"",0,),$B$9="VIRTUAL",_xlfn.XLOOKUP($S446,DATA!$G$4:$G$8,DATA!$J$4:$J$8,"",0),$B$9="DISTANCIA",_xlfn.XLOOKUP($S446,DATA!$L$4:$L$8,DATA!$O$4:$O$8,"",0)))</f>
        <v/>
      </c>
      <c r="V446" s="261" t="str">
        <f t="shared" si="14"/>
        <v/>
      </c>
      <c r="W446" s="282"/>
      <c r="X446" s="282"/>
      <c r="Y446" s="282"/>
      <c r="Z446" s="282"/>
      <c r="AA446" s="282"/>
      <c r="AB446" s="284"/>
      <c r="AC446" s="262" t="str">
        <f>IF(AE446="","",COUNTIF($AE$1:AE446,AE446))</f>
        <v/>
      </c>
      <c r="AD446" s="261" t="str">
        <f>IF(J446='PLAN DE ESTUDIO'!$XFD$41,"",IF(AE446="","",AC446&amp;K446&amp;L446&amp;M446))</f>
        <v/>
      </c>
      <c r="AE446" s="261" t="str">
        <f>IF(J446='PLAN DE ESTUDIO'!$XFD$41,"",IF(AF446=1,K446&amp;L446&amp;M446,""))</f>
        <v/>
      </c>
      <c r="AF446" s="261">
        <f>COUNTIF($O$1:O446,$O446)</f>
        <v>0</v>
      </c>
      <c r="AG446" s="285" t="str">
        <f>IF(J446='PLAN DE ESTUDIO'!$XFD$41,"",IF(P446="TP","Teórico-Práctica",IF(P446="T","Teórico",IF(P446="P","Práctica",""))))</f>
        <v/>
      </c>
      <c r="AH446" s="234" t="str">
        <f t="shared" si="15"/>
        <v xml:space="preserve"> </v>
      </c>
    </row>
    <row r="447" spans="10:34" x14ac:dyDescent="0.3">
      <c r="J447" s="412"/>
      <c r="K447" s="232"/>
      <c r="L447" s="232"/>
      <c r="M447" s="232"/>
      <c r="N447" s="412"/>
      <c r="P447" s="231"/>
      <c r="Q447" s="412"/>
      <c r="R447" s="425"/>
      <c r="S447" s="442"/>
      <c r="T447" s="283" t="str" cm="1">
        <f t="array" ref="T447">IF($B$9="","",_xlfn.IFS($B$9="PRESENCIAL",_xlfn.XLOOKUP($S447,DATA!$B$4:$B$8,DATA!$D$4:$D$8,"",0,),$B$9="VIRTUAL",_xlfn.XLOOKUP($S447,DATA!$G$4:$G$8,DATA!$I$4:$I$8,"",0),$B$9="DISTANCIA",_xlfn.XLOOKUP($S447,DATA!$L$4:$L$8,DATA!$N$4:$N$8,"",0)))</f>
        <v/>
      </c>
      <c r="U447" s="283" t="str" cm="1">
        <f t="array" ref="U447">IF($B$9="","",_xlfn.IFS($B$9="PRESENCIAL",_xlfn.XLOOKUP($S447,DATA!$B$4:$B$8,DATA!$E$4:$E$8,"",0,),$B$9="VIRTUAL",_xlfn.XLOOKUP($S447,DATA!$G$4:$G$8,DATA!$J$4:$J$8,"",0),$B$9="DISTANCIA",_xlfn.XLOOKUP($S447,DATA!$L$4:$L$8,DATA!$O$4:$O$8,"",0)))</f>
        <v/>
      </c>
      <c r="V447" s="261" t="str">
        <f t="shared" si="14"/>
        <v/>
      </c>
      <c r="W447" s="282"/>
      <c r="X447" s="282"/>
      <c r="Y447" s="282"/>
      <c r="Z447" s="282"/>
      <c r="AA447" s="282"/>
      <c r="AB447" s="284"/>
      <c r="AC447" s="262" t="str">
        <f>IF(AE447="","",COUNTIF($AE$1:AE447,AE447))</f>
        <v/>
      </c>
      <c r="AD447" s="261" t="str">
        <f>IF(J447='PLAN DE ESTUDIO'!$XFD$41,"",IF(AE447="","",AC447&amp;K447&amp;L447&amp;M447))</f>
        <v/>
      </c>
      <c r="AE447" s="261" t="str">
        <f>IF(J447='PLAN DE ESTUDIO'!$XFD$41,"",IF(AF447=1,K447&amp;L447&amp;M447,""))</f>
        <v/>
      </c>
      <c r="AF447" s="261">
        <f>COUNTIF($O$1:O447,$O447)</f>
        <v>0</v>
      </c>
      <c r="AG447" s="285" t="str">
        <f>IF(J447='PLAN DE ESTUDIO'!$XFD$41,"",IF(P447="TP","Teórico-Práctica",IF(P447="T","Teórico",IF(P447="P","Práctica",""))))</f>
        <v/>
      </c>
      <c r="AH447" s="234" t="str">
        <f t="shared" si="15"/>
        <v xml:space="preserve"> </v>
      </c>
    </row>
    <row r="448" spans="10:34" x14ac:dyDescent="0.3">
      <c r="J448" s="412"/>
      <c r="K448" s="232"/>
      <c r="L448" s="232"/>
      <c r="M448" s="232"/>
      <c r="N448" s="412"/>
      <c r="P448" s="231"/>
      <c r="Q448" s="412"/>
      <c r="R448" s="425"/>
      <c r="S448" s="442"/>
      <c r="T448" s="283" t="str" cm="1">
        <f t="array" ref="T448">IF($B$9="","",_xlfn.IFS($B$9="PRESENCIAL",_xlfn.XLOOKUP($S448,DATA!$B$4:$B$8,DATA!$D$4:$D$8,"",0,),$B$9="VIRTUAL",_xlfn.XLOOKUP($S448,DATA!$G$4:$G$8,DATA!$I$4:$I$8,"",0),$B$9="DISTANCIA",_xlfn.XLOOKUP($S448,DATA!$L$4:$L$8,DATA!$N$4:$N$8,"",0)))</f>
        <v/>
      </c>
      <c r="U448" s="283" t="str" cm="1">
        <f t="array" ref="U448">IF($B$9="","",_xlfn.IFS($B$9="PRESENCIAL",_xlfn.XLOOKUP($S448,DATA!$B$4:$B$8,DATA!$E$4:$E$8,"",0,),$B$9="VIRTUAL",_xlfn.XLOOKUP($S448,DATA!$G$4:$G$8,DATA!$J$4:$J$8,"",0),$B$9="DISTANCIA",_xlfn.XLOOKUP($S448,DATA!$L$4:$L$8,DATA!$O$4:$O$8,"",0)))</f>
        <v/>
      </c>
      <c r="V448" s="261" t="str">
        <f t="shared" si="14"/>
        <v/>
      </c>
      <c r="W448" s="282"/>
      <c r="X448" s="282"/>
      <c r="Y448" s="282"/>
      <c r="Z448" s="282"/>
      <c r="AA448" s="282"/>
      <c r="AB448" s="284"/>
      <c r="AC448" s="262" t="str">
        <f>IF(AE448="","",COUNTIF($AE$1:AE448,AE448))</f>
        <v/>
      </c>
      <c r="AD448" s="261" t="str">
        <f>IF(J448='PLAN DE ESTUDIO'!$XFD$41,"",IF(AE448="","",AC448&amp;K448&amp;L448&amp;M448))</f>
        <v/>
      </c>
      <c r="AE448" s="261" t="str">
        <f>IF(J448='PLAN DE ESTUDIO'!$XFD$41,"",IF(AF448=1,K448&amp;L448&amp;M448,""))</f>
        <v/>
      </c>
      <c r="AF448" s="261">
        <f>COUNTIF($O$1:O448,$O448)</f>
        <v>0</v>
      </c>
      <c r="AG448" s="285" t="str">
        <f>IF(J448='PLAN DE ESTUDIO'!$XFD$41,"",IF(P448="TP","Teórico-Práctica",IF(P448="T","Teórico",IF(P448="P","Práctica",""))))</f>
        <v/>
      </c>
      <c r="AH448" s="234" t="str">
        <f t="shared" si="15"/>
        <v xml:space="preserve"> </v>
      </c>
    </row>
    <row r="449" spans="10:34" x14ac:dyDescent="0.3">
      <c r="J449" s="412"/>
      <c r="K449" s="232"/>
      <c r="L449" s="232"/>
      <c r="M449" s="232"/>
      <c r="N449" s="412"/>
      <c r="P449" s="231"/>
      <c r="Q449" s="412"/>
      <c r="R449" s="425"/>
      <c r="S449" s="442"/>
      <c r="T449" s="283" t="str" cm="1">
        <f t="array" ref="T449">IF($B$9="","",_xlfn.IFS($B$9="PRESENCIAL",_xlfn.XLOOKUP($S449,DATA!$B$4:$B$8,DATA!$D$4:$D$8,"",0,),$B$9="VIRTUAL",_xlfn.XLOOKUP($S449,DATA!$G$4:$G$8,DATA!$I$4:$I$8,"",0),$B$9="DISTANCIA",_xlfn.XLOOKUP($S449,DATA!$L$4:$L$8,DATA!$N$4:$N$8,"",0)))</f>
        <v/>
      </c>
      <c r="U449" s="283" t="str" cm="1">
        <f t="array" ref="U449">IF($B$9="","",_xlfn.IFS($B$9="PRESENCIAL",_xlfn.XLOOKUP($S449,DATA!$B$4:$B$8,DATA!$E$4:$E$8,"",0,),$B$9="VIRTUAL",_xlfn.XLOOKUP($S449,DATA!$G$4:$G$8,DATA!$J$4:$J$8,"",0),$B$9="DISTANCIA",_xlfn.XLOOKUP($S449,DATA!$L$4:$L$8,DATA!$O$4:$O$8,"",0)))</f>
        <v/>
      </c>
      <c r="V449" s="261" t="str">
        <f t="shared" si="14"/>
        <v/>
      </c>
      <c r="W449" s="282"/>
      <c r="X449" s="282"/>
      <c r="Y449" s="282"/>
      <c r="Z449" s="282"/>
      <c r="AA449" s="282"/>
      <c r="AB449" s="284"/>
      <c r="AC449" s="262" t="str">
        <f>IF(AE449="","",COUNTIF($AE$1:AE449,AE449))</f>
        <v/>
      </c>
      <c r="AD449" s="261" t="str">
        <f>IF(J449='PLAN DE ESTUDIO'!$XFD$41,"",IF(AE449="","",AC449&amp;K449&amp;L449&amp;M449))</f>
        <v/>
      </c>
      <c r="AE449" s="261" t="str">
        <f>IF(J449='PLAN DE ESTUDIO'!$XFD$41,"",IF(AF449=1,K449&amp;L449&amp;M449,""))</f>
        <v/>
      </c>
      <c r="AF449" s="261">
        <f>COUNTIF($O$1:O449,$O449)</f>
        <v>0</v>
      </c>
      <c r="AG449" s="285" t="str">
        <f>IF(J449='PLAN DE ESTUDIO'!$XFD$41,"",IF(P449="TP","Teórico-Práctica",IF(P449="T","Teórico",IF(P449="P","Práctica",""))))</f>
        <v/>
      </c>
      <c r="AH449" s="234" t="str">
        <f t="shared" si="15"/>
        <v xml:space="preserve"> </v>
      </c>
    </row>
    <row r="450" spans="10:34" x14ac:dyDescent="0.3">
      <c r="J450" s="412"/>
      <c r="K450" s="232"/>
      <c r="L450" s="232"/>
      <c r="M450" s="232"/>
      <c r="N450" s="412"/>
      <c r="P450" s="231"/>
      <c r="Q450" s="412"/>
      <c r="R450" s="425"/>
      <c r="S450" s="442"/>
      <c r="T450" s="283" t="str" cm="1">
        <f t="array" ref="T450">IF($B$9="","",_xlfn.IFS($B$9="PRESENCIAL",_xlfn.XLOOKUP($S450,DATA!$B$4:$B$8,DATA!$D$4:$D$8,"",0,),$B$9="VIRTUAL",_xlfn.XLOOKUP($S450,DATA!$G$4:$G$8,DATA!$I$4:$I$8,"",0),$B$9="DISTANCIA",_xlfn.XLOOKUP($S450,DATA!$L$4:$L$8,DATA!$N$4:$N$8,"",0)))</f>
        <v/>
      </c>
      <c r="U450" s="283" t="str" cm="1">
        <f t="array" ref="U450">IF($B$9="","",_xlfn.IFS($B$9="PRESENCIAL",_xlfn.XLOOKUP($S450,DATA!$B$4:$B$8,DATA!$E$4:$E$8,"",0,),$B$9="VIRTUAL",_xlfn.XLOOKUP($S450,DATA!$G$4:$G$8,DATA!$J$4:$J$8,"",0),$B$9="DISTANCIA",_xlfn.XLOOKUP($S450,DATA!$L$4:$L$8,DATA!$O$4:$O$8,"",0)))</f>
        <v/>
      </c>
      <c r="V450" s="261" t="str">
        <f t="shared" si="14"/>
        <v/>
      </c>
      <c r="W450" s="282"/>
      <c r="X450" s="282"/>
      <c r="Y450" s="282"/>
      <c r="Z450" s="282"/>
      <c r="AA450" s="282"/>
      <c r="AB450" s="284"/>
      <c r="AC450" s="262" t="str">
        <f>IF(AE450="","",COUNTIF($AE$1:AE450,AE450))</f>
        <v/>
      </c>
      <c r="AD450" s="261" t="str">
        <f>IF(J450='PLAN DE ESTUDIO'!$XFD$41,"",IF(AE450="","",AC450&amp;K450&amp;L450&amp;M450))</f>
        <v/>
      </c>
      <c r="AE450" s="261" t="str">
        <f>IF(J450='PLAN DE ESTUDIO'!$XFD$41,"",IF(AF450=1,K450&amp;L450&amp;M450,""))</f>
        <v/>
      </c>
      <c r="AF450" s="261">
        <f>COUNTIF($O$1:O450,$O450)</f>
        <v>0</v>
      </c>
      <c r="AG450" s="285" t="str">
        <f>IF(J450='PLAN DE ESTUDIO'!$XFD$41,"",IF(P450="TP","Teórico-Práctica",IF(P450="T","Teórico",IF(P450="P","Práctica",""))))</f>
        <v/>
      </c>
      <c r="AH450" s="234" t="str">
        <f t="shared" si="15"/>
        <v xml:space="preserve"> </v>
      </c>
    </row>
    <row r="451" spans="10:34" x14ac:dyDescent="0.3">
      <c r="J451" s="412"/>
      <c r="K451" s="232"/>
      <c r="L451" s="232"/>
      <c r="M451" s="232"/>
      <c r="N451" s="412"/>
      <c r="P451" s="231"/>
      <c r="Q451" s="412"/>
      <c r="R451" s="425"/>
      <c r="S451" s="442"/>
      <c r="T451" s="283" t="str" cm="1">
        <f t="array" ref="T451">IF($B$9="","",_xlfn.IFS($B$9="PRESENCIAL",_xlfn.XLOOKUP($S451,DATA!$B$4:$B$8,DATA!$D$4:$D$8,"",0,),$B$9="VIRTUAL",_xlfn.XLOOKUP($S451,DATA!$G$4:$G$8,DATA!$I$4:$I$8,"",0),$B$9="DISTANCIA",_xlfn.XLOOKUP($S451,DATA!$L$4:$L$8,DATA!$N$4:$N$8,"",0)))</f>
        <v/>
      </c>
      <c r="U451" s="283" t="str" cm="1">
        <f t="array" ref="U451">IF($B$9="","",_xlfn.IFS($B$9="PRESENCIAL",_xlfn.XLOOKUP($S451,DATA!$B$4:$B$8,DATA!$E$4:$E$8,"",0,),$B$9="VIRTUAL",_xlfn.XLOOKUP($S451,DATA!$G$4:$G$8,DATA!$J$4:$J$8,"",0),$B$9="DISTANCIA",_xlfn.XLOOKUP($S451,DATA!$L$4:$L$8,DATA!$O$4:$O$8,"",0)))</f>
        <v/>
      </c>
      <c r="V451" s="261" t="str">
        <f t="shared" si="14"/>
        <v/>
      </c>
      <c r="W451" s="282"/>
      <c r="X451" s="282"/>
      <c r="Y451" s="282"/>
      <c r="Z451" s="282"/>
      <c r="AA451" s="282"/>
      <c r="AB451" s="284"/>
      <c r="AC451" s="262" t="str">
        <f>IF(AE451="","",COUNTIF($AE$1:AE451,AE451))</f>
        <v/>
      </c>
      <c r="AD451" s="261" t="str">
        <f>IF(J451='PLAN DE ESTUDIO'!$XFD$41,"",IF(AE451="","",AC451&amp;K451&amp;L451&amp;M451))</f>
        <v/>
      </c>
      <c r="AE451" s="261" t="str">
        <f>IF(J451='PLAN DE ESTUDIO'!$XFD$41,"",IF(AF451=1,K451&amp;L451&amp;M451,""))</f>
        <v/>
      </c>
      <c r="AF451" s="261">
        <f>COUNTIF($O$1:O451,$O451)</f>
        <v>0</v>
      </c>
      <c r="AG451" s="285" t="str">
        <f>IF(J451='PLAN DE ESTUDIO'!$XFD$41,"",IF(P451="TP","Teórico-Práctica",IF(P451="T","Teórico",IF(P451="P","Práctica",""))))</f>
        <v/>
      </c>
      <c r="AH451" s="234" t="str">
        <f t="shared" si="15"/>
        <v xml:space="preserve"> </v>
      </c>
    </row>
    <row r="452" spans="10:34" x14ac:dyDescent="0.3">
      <c r="J452" s="412"/>
      <c r="K452" s="232"/>
      <c r="L452" s="232"/>
      <c r="M452" s="232"/>
      <c r="N452" s="412"/>
      <c r="P452" s="231"/>
      <c r="Q452" s="412"/>
      <c r="R452" s="425"/>
      <c r="S452" s="442"/>
      <c r="T452" s="283" t="str" cm="1">
        <f t="array" ref="T452">IF($B$9="","",_xlfn.IFS($B$9="PRESENCIAL",_xlfn.XLOOKUP($S452,DATA!$B$4:$B$8,DATA!$D$4:$D$8,"",0,),$B$9="VIRTUAL",_xlfn.XLOOKUP($S452,DATA!$G$4:$G$8,DATA!$I$4:$I$8,"",0),$B$9="DISTANCIA",_xlfn.XLOOKUP($S452,DATA!$L$4:$L$8,DATA!$N$4:$N$8,"",0)))</f>
        <v/>
      </c>
      <c r="U452" s="283" t="str" cm="1">
        <f t="array" ref="U452">IF($B$9="","",_xlfn.IFS($B$9="PRESENCIAL",_xlfn.XLOOKUP($S452,DATA!$B$4:$B$8,DATA!$E$4:$E$8,"",0,),$B$9="VIRTUAL",_xlfn.XLOOKUP($S452,DATA!$G$4:$G$8,DATA!$J$4:$J$8,"",0),$B$9="DISTANCIA",_xlfn.XLOOKUP($S452,DATA!$L$4:$L$8,DATA!$O$4:$O$8,"",0)))</f>
        <v/>
      </c>
      <c r="V452" s="261" t="str">
        <f t="shared" si="14"/>
        <v/>
      </c>
      <c r="W452" s="282"/>
      <c r="X452" s="282"/>
      <c r="Y452" s="282"/>
      <c r="Z452" s="282"/>
      <c r="AA452" s="282"/>
      <c r="AB452" s="284"/>
      <c r="AC452" s="262" t="str">
        <f>IF(AE452="","",COUNTIF($AE$1:AE452,AE452))</f>
        <v/>
      </c>
      <c r="AD452" s="261" t="str">
        <f>IF(J452='PLAN DE ESTUDIO'!$XFD$41,"",IF(AE452="","",AC452&amp;K452&amp;L452&amp;M452))</f>
        <v/>
      </c>
      <c r="AE452" s="261" t="str">
        <f>IF(J452='PLAN DE ESTUDIO'!$XFD$41,"",IF(AF452=1,K452&amp;L452&amp;M452,""))</f>
        <v/>
      </c>
      <c r="AF452" s="261">
        <f>COUNTIF($O$1:O452,$O452)</f>
        <v>0</v>
      </c>
      <c r="AG452" s="285" t="str">
        <f>IF(J452='PLAN DE ESTUDIO'!$XFD$41,"",IF(P452="TP","Teórico-Práctica",IF(P452="T","Teórico",IF(P452="P","Práctica",""))))</f>
        <v/>
      </c>
      <c r="AH452" s="234" t="str">
        <f t="shared" si="15"/>
        <v xml:space="preserve"> </v>
      </c>
    </row>
    <row r="453" spans="10:34" x14ac:dyDescent="0.3">
      <c r="J453" s="412"/>
      <c r="K453" s="232"/>
      <c r="L453" s="232"/>
      <c r="M453" s="232"/>
      <c r="N453" s="412"/>
      <c r="P453" s="231"/>
      <c r="Q453" s="412"/>
      <c r="R453" s="425"/>
      <c r="S453" s="442"/>
      <c r="T453" s="283" t="str" cm="1">
        <f t="array" ref="T453">IF($B$9="","",_xlfn.IFS($B$9="PRESENCIAL",_xlfn.XLOOKUP($S453,DATA!$B$4:$B$8,DATA!$D$4:$D$8,"",0,),$B$9="VIRTUAL",_xlfn.XLOOKUP($S453,DATA!$G$4:$G$8,DATA!$I$4:$I$8,"",0),$B$9="DISTANCIA",_xlfn.XLOOKUP($S453,DATA!$L$4:$L$8,DATA!$N$4:$N$8,"",0)))</f>
        <v/>
      </c>
      <c r="U453" s="283" t="str" cm="1">
        <f t="array" ref="U453">IF($B$9="","",_xlfn.IFS($B$9="PRESENCIAL",_xlfn.XLOOKUP($S453,DATA!$B$4:$B$8,DATA!$E$4:$E$8,"",0,),$B$9="VIRTUAL",_xlfn.XLOOKUP($S453,DATA!$G$4:$G$8,DATA!$J$4:$J$8,"",0),$B$9="DISTANCIA",_xlfn.XLOOKUP($S453,DATA!$L$4:$L$8,DATA!$O$4:$O$8,"",0)))</f>
        <v/>
      </c>
      <c r="V453" s="261" t="str">
        <f t="shared" si="14"/>
        <v/>
      </c>
      <c r="W453" s="282"/>
      <c r="X453" s="282"/>
      <c r="Y453" s="282"/>
      <c r="Z453" s="282"/>
      <c r="AA453" s="282"/>
      <c r="AB453" s="284"/>
      <c r="AC453" s="262" t="str">
        <f>IF(AE453="","",COUNTIF($AE$1:AE453,AE453))</f>
        <v/>
      </c>
      <c r="AD453" s="261" t="str">
        <f>IF(J453='PLAN DE ESTUDIO'!$XFD$41,"",IF(AE453="","",AC453&amp;K453&amp;L453&amp;M453))</f>
        <v/>
      </c>
      <c r="AE453" s="261" t="str">
        <f>IF(J453='PLAN DE ESTUDIO'!$XFD$41,"",IF(AF453=1,K453&amp;L453&amp;M453,""))</f>
        <v/>
      </c>
      <c r="AF453" s="261">
        <f>COUNTIF($O$1:O453,$O453)</f>
        <v>0</v>
      </c>
      <c r="AG453" s="285" t="str">
        <f>IF(J453='PLAN DE ESTUDIO'!$XFD$41,"",IF(P453="TP","Teórico-Práctica",IF(P453="T","Teórico",IF(P453="P","Práctica",""))))</f>
        <v/>
      </c>
      <c r="AH453" s="234" t="str">
        <f t="shared" si="15"/>
        <v xml:space="preserve"> </v>
      </c>
    </row>
    <row r="454" spans="10:34" x14ac:dyDescent="0.3">
      <c r="J454" s="412"/>
      <c r="K454" s="232"/>
      <c r="L454" s="232"/>
      <c r="M454" s="232"/>
      <c r="N454" s="412"/>
      <c r="P454" s="231"/>
      <c r="Q454" s="412"/>
      <c r="R454" s="425"/>
      <c r="S454" s="442"/>
      <c r="T454" s="283" t="str" cm="1">
        <f t="array" ref="T454">IF($B$9="","",_xlfn.IFS($B$9="PRESENCIAL",_xlfn.XLOOKUP($S454,DATA!$B$4:$B$8,DATA!$D$4:$D$8,"",0,),$B$9="VIRTUAL",_xlfn.XLOOKUP($S454,DATA!$G$4:$G$8,DATA!$I$4:$I$8,"",0),$B$9="DISTANCIA",_xlfn.XLOOKUP($S454,DATA!$L$4:$L$8,DATA!$N$4:$N$8,"",0)))</f>
        <v/>
      </c>
      <c r="U454" s="283" t="str" cm="1">
        <f t="array" ref="U454">IF($B$9="","",_xlfn.IFS($B$9="PRESENCIAL",_xlfn.XLOOKUP($S454,DATA!$B$4:$B$8,DATA!$E$4:$E$8,"",0,),$B$9="VIRTUAL",_xlfn.XLOOKUP($S454,DATA!$G$4:$G$8,DATA!$J$4:$J$8,"",0),$B$9="DISTANCIA",_xlfn.XLOOKUP($S454,DATA!$L$4:$L$8,DATA!$O$4:$O$8,"",0)))</f>
        <v/>
      </c>
      <c r="V454" s="261" t="str">
        <f t="shared" si="14"/>
        <v/>
      </c>
      <c r="W454" s="282"/>
      <c r="X454" s="282"/>
      <c r="Y454" s="282"/>
      <c r="Z454" s="282"/>
      <c r="AA454" s="282"/>
      <c r="AB454" s="284"/>
      <c r="AC454" s="262" t="str">
        <f>IF(AE454="","",COUNTIF($AE$1:AE454,AE454))</f>
        <v/>
      </c>
      <c r="AD454" s="261" t="str">
        <f>IF(J454='PLAN DE ESTUDIO'!$XFD$41,"",IF(AE454="","",AC454&amp;K454&amp;L454&amp;M454))</f>
        <v/>
      </c>
      <c r="AE454" s="261" t="str">
        <f>IF(J454='PLAN DE ESTUDIO'!$XFD$41,"",IF(AF454=1,K454&amp;L454&amp;M454,""))</f>
        <v/>
      </c>
      <c r="AF454" s="261">
        <f>COUNTIF($O$1:O454,$O454)</f>
        <v>0</v>
      </c>
      <c r="AG454" s="285" t="str">
        <f>IF(J454='PLAN DE ESTUDIO'!$XFD$41,"",IF(P454="TP","Teórico-Práctica",IF(P454="T","Teórico",IF(P454="P","Práctica",""))))</f>
        <v/>
      </c>
      <c r="AH454" s="234" t="str">
        <f t="shared" si="15"/>
        <v xml:space="preserve"> </v>
      </c>
    </row>
    <row r="455" spans="10:34" x14ac:dyDescent="0.3">
      <c r="J455" s="412"/>
      <c r="K455" s="232"/>
      <c r="L455" s="232"/>
      <c r="M455" s="232"/>
      <c r="N455" s="412"/>
      <c r="P455" s="231"/>
      <c r="Q455" s="412"/>
      <c r="R455" s="425"/>
      <c r="S455" s="442"/>
      <c r="T455" s="283" t="str" cm="1">
        <f t="array" ref="T455">IF($B$9="","",_xlfn.IFS($B$9="PRESENCIAL",_xlfn.XLOOKUP($S455,DATA!$B$4:$B$8,DATA!$D$4:$D$8,"",0,),$B$9="VIRTUAL",_xlfn.XLOOKUP($S455,DATA!$G$4:$G$8,DATA!$I$4:$I$8,"",0),$B$9="DISTANCIA",_xlfn.XLOOKUP($S455,DATA!$L$4:$L$8,DATA!$N$4:$N$8,"",0)))</f>
        <v/>
      </c>
      <c r="U455" s="283" t="str" cm="1">
        <f t="array" ref="U455">IF($B$9="","",_xlfn.IFS($B$9="PRESENCIAL",_xlfn.XLOOKUP($S455,DATA!$B$4:$B$8,DATA!$E$4:$E$8,"",0,),$B$9="VIRTUAL",_xlfn.XLOOKUP($S455,DATA!$G$4:$G$8,DATA!$J$4:$J$8,"",0),$B$9="DISTANCIA",_xlfn.XLOOKUP($S455,DATA!$L$4:$L$8,DATA!$O$4:$O$8,"",0)))</f>
        <v/>
      </c>
      <c r="V455" s="261" t="str">
        <f t="shared" si="14"/>
        <v/>
      </c>
      <c r="W455" s="282"/>
      <c r="X455" s="282"/>
      <c r="Y455" s="282"/>
      <c r="Z455" s="282"/>
      <c r="AA455" s="282"/>
      <c r="AB455" s="284"/>
      <c r="AC455" s="262" t="str">
        <f>IF(AE455="","",COUNTIF($AE$1:AE455,AE455))</f>
        <v/>
      </c>
      <c r="AD455" s="261" t="str">
        <f>IF(J455='PLAN DE ESTUDIO'!$XFD$41,"",IF(AE455="","",AC455&amp;K455&amp;L455&amp;M455))</f>
        <v/>
      </c>
      <c r="AE455" s="261" t="str">
        <f>IF(J455='PLAN DE ESTUDIO'!$XFD$41,"",IF(AF455=1,K455&amp;L455&amp;M455,""))</f>
        <v/>
      </c>
      <c r="AF455" s="261">
        <f>COUNTIF($O$1:O455,$O455)</f>
        <v>0</v>
      </c>
      <c r="AG455" s="285" t="str">
        <f>IF(J455='PLAN DE ESTUDIO'!$XFD$41,"",IF(P455="TP","Teórico-Práctica",IF(P455="T","Teórico",IF(P455="P","Práctica",""))))</f>
        <v/>
      </c>
      <c r="AH455" s="234" t="str">
        <f t="shared" si="15"/>
        <v xml:space="preserve"> </v>
      </c>
    </row>
    <row r="456" spans="10:34" x14ac:dyDescent="0.3">
      <c r="J456" s="412"/>
      <c r="K456" s="232"/>
      <c r="L456" s="232"/>
      <c r="M456" s="232"/>
      <c r="N456" s="412"/>
      <c r="P456" s="231"/>
      <c r="Q456" s="412"/>
      <c r="R456" s="425"/>
      <c r="S456" s="442"/>
      <c r="T456" s="283" t="str" cm="1">
        <f t="array" ref="T456">IF($B$9="","",_xlfn.IFS($B$9="PRESENCIAL",_xlfn.XLOOKUP($S456,DATA!$B$4:$B$8,DATA!$D$4:$D$8,"",0,),$B$9="VIRTUAL",_xlfn.XLOOKUP($S456,DATA!$G$4:$G$8,DATA!$I$4:$I$8,"",0),$B$9="DISTANCIA",_xlfn.XLOOKUP($S456,DATA!$L$4:$L$8,DATA!$N$4:$N$8,"",0)))</f>
        <v/>
      </c>
      <c r="U456" s="283" t="str" cm="1">
        <f t="array" ref="U456">IF($B$9="","",_xlfn.IFS($B$9="PRESENCIAL",_xlfn.XLOOKUP($S456,DATA!$B$4:$B$8,DATA!$E$4:$E$8,"",0,),$B$9="VIRTUAL",_xlfn.XLOOKUP($S456,DATA!$G$4:$G$8,DATA!$J$4:$J$8,"",0),$B$9="DISTANCIA",_xlfn.XLOOKUP($S456,DATA!$L$4:$L$8,DATA!$O$4:$O$8,"",0)))</f>
        <v/>
      </c>
      <c r="V456" s="261" t="str">
        <f t="shared" si="14"/>
        <v/>
      </c>
      <c r="W456" s="282"/>
      <c r="X456" s="282"/>
      <c r="Y456" s="282"/>
      <c r="Z456" s="282"/>
      <c r="AA456" s="282"/>
      <c r="AB456" s="284"/>
      <c r="AC456" s="262" t="str">
        <f>IF(AE456="","",COUNTIF($AE$1:AE456,AE456))</f>
        <v/>
      </c>
      <c r="AD456" s="261" t="str">
        <f>IF(J456='PLAN DE ESTUDIO'!$XFD$41,"",IF(AE456="","",AC456&amp;K456&amp;L456&amp;M456))</f>
        <v/>
      </c>
      <c r="AE456" s="261" t="str">
        <f>IF(J456='PLAN DE ESTUDIO'!$XFD$41,"",IF(AF456=1,K456&amp;L456&amp;M456,""))</f>
        <v/>
      </c>
      <c r="AF456" s="261">
        <f>COUNTIF($O$1:O456,$O456)</f>
        <v>0</v>
      </c>
      <c r="AG456" s="285" t="str">
        <f>IF(J456='PLAN DE ESTUDIO'!$XFD$41,"",IF(P456="TP","Teórico-Práctica",IF(P456="T","Teórico",IF(P456="P","Práctica",""))))</f>
        <v/>
      </c>
      <c r="AH456" s="234" t="str">
        <f t="shared" si="15"/>
        <v xml:space="preserve"> </v>
      </c>
    </row>
    <row r="457" spans="10:34" x14ac:dyDescent="0.3">
      <c r="J457" s="412"/>
      <c r="K457" s="232"/>
      <c r="L457" s="232"/>
      <c r="M457" s="232"/>
      <c r="N457" s="412"/>
      <c r="P457" s="231"/>
      <c r="Q457" s="412"/>
      <c r="R457" s="425"/>
      <c r="S457" s="442"/>
      <c r="T457" s="283" t="str" cm="1">
        <f t="array" ref="T457">IF($B$9="","",_xlfn.IFS($B$9="PRESENCIAL",_xlfn.XLOOKUP($S457,DATA!$B$4:$B$8,DATA!$D$4:$D$8,"",0,),$B$9="VIRTUAL",_xlfn.XLOOKUP($S457,DATA!$G$4:$G$8,DATA!$I$4:$I$8,"",0),$B$9="DISTANCIA",_xlfn.XLOOKUP($S457,DATA!$L$4:$L$8,DATA!$N$4:$N$8,"",0)))</f>
        <v/>
      </c>
      <c r="U457" s="283" t="str" cm="1">
        <f t="array" ref="U457">IF($B$9="","",_xlfn.IFS($B$9="PRESENCIAL",_xlfn.XLOOKUP($S457,DATA!$B$4:$B$8,DATA!$E$4:$E$8,"",0,),$B$9="VIRTUAL",_xlfn.XLOOKUP($S457,DATA!$G$4:$G$8,DATA!$J$4:$J$8,"",0),$B$9="DISTANCIA",_xlfn.XLOOKUP($S457,DATA!$L$4:$L$8,DATA!$O$4:$O$8,"",0)))</f>
        <v/>
      </c>
      <c r="V457" s="261" t="str">
        <f t="shared" si="14"/>
        <v/>
      </c>
      <c r="W457" s="282"/>
      <c r="X457" s="282"/>
      <c r="Y457" s="282"/>
      <c r="Z457" s="282"/>
      <c r="AA457" s="282"/>
      <c r="AB457" s="284"/>
      <c r="AC457" s="262" t="str">
        <f>IF(AE457="","",COUNTIF($AE$1:AE457,AE457))</f>
        <v/>
      </c>
      <c r="AD457" s="261" t="str">
        <f>IF(J457='PLAN DE ESTUDIO'!$XFD$41,"",IF(AE457="","",AC457&amp;K457&amp;L457&amp;M457))</f>
        <v/>
      </c>
      <c r="AE457" s="261" t="str">
        <f>IF(J457='PLAN DE ESTUDIO'!$XFD$41,"",IF(AF457=1,K457&amp;L457&amp;M457,""))</f>
        <v/>
      </c>
      <c r="AF457" s="261">
        <f>COUNTIF($O$1:O457,$O457)</f>
        <v>0</v>
      </c>
      <c r="AG457" s="285" t="str">
        <f>IF(J457='PLAN DE ESTUDIO'!$XFD$41,"",IF(P457="TP","Teórico-Práctica",IF(P457="T","Teórico",IF(P457="P","Práctica",""))))</f>
        <v/>
      </c>
      <c r="AH457" s="234" t="str">
        <f t="shared" si="15"/>
        <v xml:space="preserve"> </v>
      </c>
    </row>
    <row r="458" spans="10:34" x14ac:dyDescent="0.3">
      <c r="J458" s="412"/>
      <c r="K458" s="232"/>
      <c r="L458" s="232"/>
      <c r="M458" s="232"/>
      <c r="N458" s="412"/>
      <c r="P458" s="231"/>
      <c r="Q458" s="412"/>
      <c r="R458" s="425"/>
      <c r="S458" s="442"/>
      <c r="T458" s="283" t="str" cm="1">
        <f t="array" ref="T458">IF($B$9="","",_xlfn.IFS($B$9="PRESENCIAL",_xlfn.XLOOKUP($S458,DATA!$B$4:$B$8,DATA!$D$4:$D$8,"",0,),$B$9="VIRTUAL",_xlfn.XLOOKUP($S458,DATA!$G$4:$G$8,DATA!$I$4:$I$8,"",0),$B$9="DISTANCIA",_xlfn.XLOOKUP($S458,DATA!$L$4:$L$8,DATA!$N$4:$N$8,"",0)))</f>
        <v/>
      </c>
      <c r="U458" s="283" t="str" cm="1">
        <f t="array" ref="U458">IF($B$9="","",_xlfn.IFS($B$9="PRESENCIAL",_xlfn.XLOOKUP($S458,DATA!$B$4:$B$8,DATA!$E$4:$E$8,"",0,),$B$9="VIRTUAL",_xlfn.XLOOKUP($S458,DATA!$G$4:$G$8,DATA!$J$4:$J$8,"",0),$B$9="DISTANCIA",_xlfn.XLOOKUP($S458,DATA!$L$4:$L$8,DATA!$O$4:$O$8,"",0)))</f>
        <v/>
      </c>
      <c r="V458" s="261" t="str">
        <f t="shared" si="14"/>
        <v/>
      </c>
      <c r="W458" s="282"/>
      <c r="X458" s="282"/>
      <c r="Y458" s="282"/>
      <c r="Z458" s="282"/>
      <c r="AA458" s="282"/>
      <c r="AB458" s="284"/>
      <c r="AC458" s="262" t="str">
        <f>IF(AE458="","",COUNTIF($AE$1:AE458,AE458))</f>
        <v/>
      </c>
      <c r="AD458" s="261" t="str">
        <f>IF(J458='PLAN DE ESTUDIO'!$XFD$41,"",IF(AE458="","",AC458&amp;K458&amp;L458&amp;M458))</f>
        <v/>
      </c>
      <c r="AE458" s="261" t="str">
        <f>IF(J458='PLAN DE ESTUDIO'!$XFD$41,"",IF(AF458=1,K458&amp;L458&amp;M458,""))</f>
        <v/>
      </c>
      <c r="AF458" s="261">
        <f>COUNTIF($O$1:O458,$O458)</f>
        <v>0</v>
      </c>
      <c r="AG458" s="285" t="str">
        <f>IF(J458='PLAN DE ESTUDIO'!$XFD$41,"",IF(P458="TP","Teórico-Práctica",IF(P458="T","Teórico",IF(P458="P","Práctica",""))))</f>
        <v/>
      </c>
      <c r="AH458" s="234" t="str">
        <f t="shared" si="15"/>
        <v xml:space="preserve"> </v>
      </c>
    </row>
    <row r="459" spans="10:34" x14ac:dyDescent="0.3">
      <c r="J459" s="412"/>
      <c r="K459" s="232"/>
      <c r="L459" s="232"/>
      <c r="M459" s="232"/>
      <c r="N459" s="412"/>
      <c r="P459" s="231"/>
      <c r="Q459" s="412"/>
      <c r="R459" s="425"/>
      <c r="S459" s="442"/>
      <c r="T459" s="283" t="str" cm="1">
        <f t="array" ref="T459">IF($B$9="","",_xlfn.IFS($B$9="PRESENCIAL",_xlfn.XLOOKUP($S459,DATA!$B$4:$B$8,DATA!$D$4:$D$8,"",0,),$B$9="VIRTUAL",_xlfn.XLOOKUP($S459,DATA!$G$4:$G$8,DATA!$I$4:$I$8,"",0),$B$9="DISTANCIA",_xlfn.XLOOKUP($S459,DATA!$L$4:$L$8,DATA!$N$4:$N$8,"",0)))</f>
        <v/>
      </c>
      <c r="U459" s="283" t="str" cm="1">
        <f t="array" ref="U459">IF($B$9="","",_xlfn.IFS($B$9="PRESENCIAL",_xlfn.XLOOKUP($S459,DATA!$B$4:$B$8,DATA!$E$4:$E$8,"",0,),$B$9="VIRTUAL",_xlfn.XLOOKUP($S459,DATA!$G$4:$G$8,DATA!$J$4:$J$8,"",0),$B$9="DISTANCIA",_xlfn.XLOOKUP($S459,DATA!$L$4:$L$8,DATA!$O$4:$O$8,"",0)))</f>
        <v/>
      </c>
      <c r="V459" s="261" t="str">
        <f t="shared" si="14"/>
        <v/>
      </c>
      <c r="W459" s="282"/>
      <c r="X459" s="282"/>
      <c r="Y459" s="282"/>
      <c r="Z459" s="282"/>
      <c r="AA459" s="282"/>
      <c r="AB459" s="284"/>
      <c r="AC459" s="262" t="str">
        <f>IF(AE459="","",COUNTIF($AE$1:AE459,AE459))</f>
        <v/>
      </c>
      <c r="AD459" s="261" t="str">
        <f>IF(J459='PLAN DE ESTUDIO'!$XFD$41,"",IF(AE459="","",AC459&amp;K459&amp;L459&amp;M459))</f>
        <v/>
      </c>
      <c r="AE459" s="261" t="str">
        <f>IF(J459='PLAN DE ESTUDIO'!$XFD$41,"",IF(AF459=1,K459&amp;L459&amp;M459,""))</f>
        <v/>
      </c>
      <c r="AF459" s="261">
        <f>COUNTIF($O$1:O459,$O459)</f>
        <v>0</v>
      </c>
      <c r="AG459" s="285" t="str">
        <f>IF(J459='PLAN DE ESTUDIO'!$XFD$41,"",IF(P459="TP","Teórico-Práctica",IF(P459="T","Teórico",IF(P459="P","Práctica",""))))</f>
        <v/>
      </c>
      <c r="AH459" s="234" t="str">
        <f t="shared" si="15"/>
        <v xml:space="preserve"> </v>
      </c>
    </row>
    <row r="460" spans="10:34" x14ac:dyDescent="0.3">
      <c r="J460" s="412"/>
      <c r="K460" s="232"/>
      <c r="L460" s="232"/>
      <c r="M460" s="232"/>
      <c r="N460" s="412"/>
      <c r="P460" s="231"/>
      <c r="Q460" s="412"/>
      <c r="R460" s="425"/>
      <c r="S460" s="442"/>
      <c r="T460" s="283" t="str" cm="1">
        <f t="array" ref="T460">IF($B$9="","",_xlfn.IFS($B$9="PRESENCIAL",_xlfn.XLOOKUP($S460,DATA!$B$4:$B$8,DATA!$D$4:$D$8,"",0,),$B$9="VIRTUAL",_xlfn.XLOOKUP($S460,DATA!$G$4:$G$8,DATA!$I$4:$I$8,"",0),$B$9="DISTANCIA",_xlfn.XLOOKUP($S460,DATA!$L$4:$L$8,DATA!$N$4:$N$8,"",0)))</f>
        <v/>
      </c>
      <c r="U460" s="283" t="str" cm="1">
        <f t="array" ref="U460">IF($B$9="","",_xlfn.IFS($B$9="PRESENCIAL",_xlfn.XLOOKUP($S460,DATA!$B$4:$B$8,DATA!$E$4:$E$8,"",0,),$B$9="VIRTUAL",_xlfn.XLOOKUP($S460,DATA!$G$4:$G$8,DATA!$J$4:$J$8,"",0),$B$9="DISTANCIA",_xlfn.XLOOKUP($S460,DATA!$L$4:$L$8,DATA!$O$4:$O$8,"",0)))</f>
        <v/>
      </c>
      <c r="V460" s="261" t="str">
        <f t="shared" si="14"/>
        <v/>
      </c>
      <c r="W460" s="282"/>
      <c r="X460" s="282"/>
      <c r="Y460" s="282"/>
      <c r="Z460" s="282"/>
      <c r="AA460" s="282"/>
      <c r="AB460" s="284"/>
      <c r="AC460" s="262" t="str">
        <f>IF(AE460="","",COUNTIF($AE$1:AE460,AE460))</f>
        <v/>
      </c>
      <c r="AD460" s="261" t="str">
        <f>IF(J460='PLAN DE ESTUDIO'!$XFD$41,"",IF(AE460="","",AC460&amp;K460&amp;L460&amp;M460))</f>
        <v/>
      </c>
      <c r="AE460" s="261" t="str">
        <f>IF(J460='PLAN DE ESTUDIO'!$XFD$41,"",IF(AF460=1,K460&amp;L460&amp;M460,""))</f>
        <v/>
      </c>
      <c r="AF460" s="261">
        <f>COUNTIF($O$1:O460,$O460)</f>
        <v>0</v>
      </c>
      <c r="AG460" s="285" t="str">
        <f>IF(J460='PLAN DE ESTUDIO'!$XFD$41,"",IF(P460="TP","Teórico-Práctica",IF(P460="T","Teórico",IF(P460="P","Práctica",""))))</f>
        <v/>
      </c>
      <c r="AH460" s="234" t="str">
        <f t="shared" si="15"/>
        <v xml:space="preserve"> </v>
      </c>
    </row>
    <row r="461" spans="10:34" x14ac:dyDescent="0.3">
      <c r="J461" s="412"/>
      <c r="K461" s="232"/>
      <c r="L461" s="232"/>
      <c r="M461" s="232"/>
      <c r="N461" s="412"/>
      <c r="P461" s="231"/>
      <c r="Q461" s="412"/>
      <c r="R461" s="425"/>
      <c r="S461" s="442"/>
      <c r="T461" s="283" t="str" cm="1">
        <f t="array" ref="T461">IF($B$9="","",_xlfn.IFS($B$9="PRESENCIAL",_xlfn.XLOOKUP($S461,DATA!$B$4:$B$8,DATA!$D$4:$D$8,"",0,),$B$9="VIRTUAL",_xlfn.XLOOKUP($S461,DATA!$G$4:$G$8,DATA!$I$4:$I$8,"",0),$B$9="DISTANCIA",_xlfn.XLOOKUP($S461,DATA!$L$4:$L$8,DATA!$N$4:$N$8,"",0)))</f>
        <v/>
      </c>
      <c r="U461" s="283" t="str" cm="1">
        <f t="array" ref="U461">IF($B$9="","",_xlfn.IFS($B$9="PRESENCIAL",_xlfn.XLOOKUP($S461,DATA!$B$4:$B$8,DATA!$E$4:$E$8,"",0,),$B$9="VIRTUAL",_xlfn.XLOOKUP($S461,DATA!$G$4:$G$8,DATA!$J$4:$J$8,"",0),$B$9="DISTANCIA",_xlfn.XLOOKUP($S461,DATA!$L$4:$L$8,DATA!$O$4:$O$8,"",0)))</f>
        <v/>
      </c>
      <c r="V461" s="261" t="str">
        <f t="shared" si="14"/>
        <v/>
      </c>
      <c r="W461" s="282"/>
      <c r="X461" s="282"/>
      <c r="Y461" s="282"/>
      <c r="Z461" s="282"/>
      <c r="AA461" s="282"/>
      <c r="AB461" s="284"/>
      <c r="AC461" s="262" t="str">
        <f>IF(AE461="","",COUNTIF($AE$1:AE461,AE461))</f>
        <v/>
      </c>
      <c r="AD461" s="261" t="str">
        <f>IF(J461='PLAN DE ESTUDIO'!$XFD$41,"",IF(AE461="","",AC461&amp;K461&amp;L461&amp;M461))</f>
        <v/>
      </c>
      <c r="AE461" s="261" t="str">
        <f>IF(J461='PLAN DE ESTUDIO'!$XFD$41,"",IF(AF461=1,K461&amp;L461&amp;M461,""))</f>
        <v/>
      </c>
      <c r="AF461" s="261">
        <f>COUNTIF($O$1:O461,$O461)</f>
        <v>0</v>
      </c>
      <c r="AG461" s="285" t="str">
        <f>IF(J461='PLAN DE ESTUDIO'!$XFD$41,"",IF(P461="TP","Teórico-Práctica",IF(P461="T","Teórico",IF(P461="P","Práctica",""))))</f>
        <v/>
      </c>
      <c r="AH461" s="234" t="str">
        <f t="shared" si="15"/>
        <v xml:space="preserve"> </v>
      </c>
    </row>
    <row r="462" spans="10:34" x14ac:dyDescent="0.3">
      <c r="J462" s="412"/>
      <c r="K462" s="232"/>
      <c r="L462" s="232"/>
      <c r="M462" s="232"/>
      <c r="N462" s="412"/>
      <c r="P462" s="231"/>
      <c r="Q462" s="412"/>
      <c r="R462" s="425"/>
      <c r="S462" s="442"/>
      <c r="T462" s="283" t="str" cm="1">
        <f t="array" ref="T462">IF($B$9="","",_xlfn.IFS($B$9="PRESENCIAL",_xlfn.XLOOKUP($S462,DATA!$B$4:$B$8,DATA!$D$4:$D$8,"",0,),$B$9="VIRTUAL",_xlfn.XLOOKUP($S462,DATA!$G$4:$G$8,DATA!$I$4:$I$8,"",0),$B$9="DISTANCIA",_xlfn.XLOOKUP($S462,DATA!$L$4:$L$8,DATA!$N$4:$N$8,"",0)))</f>
        <v/>
      </c>
      <c r="U462" s="283" t="str" cm="1">
        <f t="array" ref="U462">IF($B$9="","",_xlfn.IFS($B$9="PRESENCIAL",_xlfn.XLOOKUP($S462,DATA!$B$4:$B$8,DATA!$E$4:$E$8,"",0,),$B$9="VIRTUAL",_xlfn.XLOOKUP($S462,DATA!$G$4:$G$8,DATA!$J$4:$J$8,"",0),$B$9="DISTANCIA",_xlfn.XLOOKUP($S462,DATA!$L$4:$L$8,DATA!$O$4:$O$8,"",0)))</f>
        <v/>
      </c>
      <c r="V462" s="261" t="str">
        <f t="shared" si="14"/>
        <v/>
      </c>
      <c r="W462" s="282"/>
      <c r="X462" s="282"/>
      <c r="Y462" s="282"/>
      <c r="Z462" s="282"/>
      <c r="AA462" s="282"/>
      <c r="AB462" s="284"/>
      <c r="AC462" s="262" t="str">
        <f>IF(AE462="","",COUNTIF($AE$1:AE462,AE462))</f>
        <v/>
      </c>
      <c r="AD462" s="261" t="str">
        <f>IF(J462='PLAN DE ESTUDIO'!$XFD$41,"",IF(AE462="","",AC462&amp;K462&amp;L462&amp;M462))</f>
        <v/>
      </c>
      <c r="AE462" s="261" t="str">
        <f>IF(J462='PLAN DE ESTUDIO'!$XFD$41,"",IF(AF462=1,K462&amp;L462&amp;M462,""))</f>
        <v/>
      </c>
      <c r="AF462" s="261">
        <f>COUNTIF($O$1:O462,$O462)</f>
        <v>0</v>
      </c>
      <c r="AG462" s="285" t="str">
        <f>IF(J462='PLAN DE ESTUDIO'!$XFD$41,"",IF(P462="TP","Teórico-Práctica",IF(P462="T","Teórico",IF(P462="P","Práctica",""))))</f>
        <v/>
      </c>
      <c r="AH462" s="234" t="str">
        <f t="shared" si="15"/>
        <v xml:space="preserve"> </v>
      </c>
    </row>
    <row r="463" spans="10:34" x14ac:dyDescent="0.3">
      <c r="J463" s="412"/>
      <c r="K463" s="232"/>
      <c r="L463" s="232"/>
      <c r="M463" s="232"/>
      <c r="N463" s="412"/>
      <c r="P463" s="231"/>
      <c r="Q463" s="412"/>
      <c r="R463" s="425"/>
      <c r="S463" s="442"/>
      <c r="T463" s="283" t="str" cm="1">
        <f t="array" ref="T463">IF($B$9="","",_xlfn.IFS($B$9="PRESENCIAL",_xlfn.XLOOKUP($S463,DATA!$B$4:$B$8,DATA!$D$4:$D$8,"",0,),$B$9="VIRTUAL",_xlfn.XLOOKUP($S463,DATA!$G$4:$G$8,DATA!$I$4:$I$8,"",0),$B$9="DISTANCIA",_xlfn.XLOOKUP($S463,DATA!$L$4:$L$8,DATA!$N$4:$N$8,"",0)))</f>
        <v/>
      </c>
      <c r="U463" s="283" t="str" cm="1">
        <f t="array" ref="U463">IF($B$9="","",_xlfn.IFS($B$9="PRESENCIAL",_xlfn.XLOOKUP($S463,DATA!$B$4:$B$8,DATA!$E$4:$E$8,"",0,),$B$9="VIRTUAL",_xlfn.XLOOKUP($S463,DATA!$G$4:$G$8,DATA!$J$4:$J$8,"",0),$B$9="DISTANCIA",_xlfn.XLOOKUP($S463,DATA!$L$4:$L$8,DATA!$O$4:$O$8,"",0)))</f>
        <v/>
      </c>
      <c r="V463" s="261" t="str">
        <f t="shared" si="14"/>
        <v/>
      </c>
      <c r="W463" s="282"/>
      <c r="X463" s="282"/>
      <c r="Y463" s="282"/>
      <c r="Z463" s="282"/>
      <c r="AA463" s="282"/>
      <c r="AB463" s="284"/>
      <c r="AC463" s="262" t="str">
        <f>IF(AE463="","",COUNTIF($AE$1:AE463,AE463))</f>
        <v/>
      </c>
      <c r="AD463" s="261" t="str">
        <f>IF(J463='PLAN DE ESTUDIO'!$XFD$41,"",IF(AE463="","",AC463&amp;K463&amp;L463&amp;M463))</f>
        <v/>
      </c>
      <c r="AE463" s="261" t="str">
        <f>IF(J463='PLAN DE ESTUDIO'!$XFD$41,"",IF(AF463=1,K463&amp;L463&amp;M463,""))</f>
        <v/>
      </c>
      <c r="AF463" s="261">
        <f>COUNTIF($O$1:O463,$O463)</f>
        <v>0</v>
      </c>
      <c r="AG463" s="285" t="str">
        <f>IF(J463='PLAN DE ESTUDIO'!$XFD$41,"",IF(P463="TP","Teórico-Práctica",IF(P463="T","Teórico",IF(P463="P","Práctica",""))))</f>
        <v/>
      </c>
      <c r="AH463" s="234" t="str">
        <f t="shared" si="15"/>
        <v xml:space="preserve"> </v>
      </c>
    </row>
    <row r="464" spans="10:34" x14ac:dyDescent="0.3">
      <c r="J464" s="412"/>
      <c r="K464" s="232"/>
      <c r="L464" s="232"/>
      <c r="M464" s="232"/>
      <c r="N464" s="412"/>
      <c r="P464" s="231"/>
      <c r="Q464" s="412"/>
      <c r="R464" s="425"/>
      <c r="S464" s="442"/>
      <c r="T464" s="283" t="str" cm="1">
        <f t="array" ref="T464">IF($B$9="","",_xlfn.IFS($B$9="PRESENCIAL",_xlfn.XLOOKUP($S464,DATA!$B$4:$B$8,DATA!$D$4:$D$8,"",0,),$B$9="VIRTUAL",_xlfn.XLOOKUP($S464,DATA!$G$4:$G$8,DATA!$I$4:$I$8,"",0),$B$9="DISTANCIA",_xlfn.XLOOKUP($S464,DATA!$L$4:$L$8,DATA!$N$4:$N$8,"",0)))</f>
        <v/>
      </c>
      <c r="U464" s="283" t="str" cm="1">
        <f t="array" ref="U464">IF($B$9="","",_xlfn.IFS($B$9="PRESENCIAL",_xlfn.XLOOKUP($S464,DATA!$B$4:$B$8,DATA!$E$4:$E$8,"",0,),$B$9="VIRTUAL",_xlfn.XLOOKUP($S464,DATA!$G$4:$G$8,DATA!$J$4:$J$8,"",0),$B$9="DISTANCIA",_xlfn.XLOOKUP($S464,DATA!$L$4:$L$8,DATA!$O$4:$O$8,"",0)))</f>
        <v/>
      </c>
      <c r="V464" s="261" t="str">
        <f t="shared" si="14"/>
        <v/>
      </c>
      <c r="W464" s="282"/>
      <c r="X464" s="282"/>
      <c r="Y464" s="282"/>
      <c r="Z464" s="282"/>
      <c r="AA464" s="282"/>
      <c r="AB464" s="284"/>
      <c r="AC464" s="262" t="str">
        <f>IF(AE464="","",COUNTIF($AE$1:AE464,AE464))</f>
        <v/>
      </c>
      <c r="AD464" s="261" t="str">
        <f>IF(J464='PLAN DE ESTUDIO'!$XFD$41,"",IF(AE464="","",AC464&amp;K464&amp;L464&amp;M464))</f>
        <v/>
      </c>
      <c r="AE464" s="261" t="str">
        <f>IF(J464='PLAN DE ESTUDIO'!$XFD$41,"",IF(AF464=1,K464&amp;L464&amp;M464,""))</f>
        <v/>
      </c>
      <c r="AF464" s="261">
        <f>COUNTIF($O$1:O464,$O464)</f>
        <v>0</v>
      </c>
      <c r="AG464" s="285" t="str">
        <f>IF(J464='PLAN DE ESTUDIO'!$XFD$41,"",IF(P464="TP","Teórico-Práctica",IF(P464="T","Teórico",IF(P464="P","Práctica",""))))</f>
        <v/>
      </c>
      <c r="AH464" s="234" t="str">
        <f t="shared" si="15"/>
        <v xml:space="preserve"> </v>
      </c>
    </row>
    <row r="465" spans="10:34" x14ac:dyDescent="0.3">
      <c r="J465" s="412"/>
      <c r="K465" s="232"/>
      <c r="L465" s="232"/>
      <c r="M465" s="232"/>
      <c r="N465" s="412"/>
      <c r="P465" s="231"/>
      <c r="Q465" s="412"/>
      <c r="R465" s="425"/>
      <c r="S465" s="442"/>
      <c r="T465" s="283" t="str" cm="1">
        <f t="array" ref="T465">IF($B$9="","",_xlfn.IFS($B$9="PRESENCIAL",_xlfn.XLOOKUP($S465,DATA!$B$4:$B$8,DATA!$D$4:$D$8,"",0,),$B$9="VIRTUAL",_xlfn.XLOOKUP($S465,DATA!$G$4:$G$8,DATA!$I$4:$I$8,"",0),$B$9="DISTANCIA",_xlfn.XLOOKUP($S465,DATA!$L$4:$L$8,DATA!$N$4:$N$8,"",0)))</f>
        <v/>
      </c>
      <c r="U465" s="283" t="str" cm="1">
        <f t="array" ref="U465">IF($B$9="","",_xlfn.IFS($B$9="PRESENCIAL",_xlfn.XLOOKUP($S465,DATA!$B$4:$B$8,DATA!$E$4:$E$8,"",0,),$B$9="VIRTUAL",_xlfn.XLOOKUP($S465,DATA!$G$4:$G$8,DATA!$J$4:$J$8,"",0),$B$9="DISTANCIA",_xlfn.XLOOKUP($S465,DATA!$L$4:$L$8,DATA!$O$4:$O$8,"",0)))</f>
        <v/>
      </c>
      <c r="V465" s="261" t="str">
        <f t="shared" si="14"/>
        <v/>
      </c>
      <c r="W465" s="282"/>
      <c r="X465" s="282"/>
      <c r="Y465" s="282"/>
      <c r="Z465" s="282"/>
      <c r="AA465" s="282"/>
      <c r="AB465" s="284"/>
      <c r="AC465" s="262" t="str">
        <f>IF(AE465="","",COUNTIF($AE$1:AE465,AE465))</f>
        <v/>
      </c>
      <c r="AD465" s="261" t="str">
        <f>IF(J465='PLAN DE ESTUDIO'!$XFD$41,"",IF(AE465="","",AC465&amp;K465&amp;L465&amp;M465))</f>
        <v/>
      </c>
      <c r="AE465" s="261" t="str">
        <f>IF(J465='PLAN DE ESTUDIO'!$XFD$41,"",IF(AF465=1,K465&amp;L465&amp;M465,""))</f>
        <v/>
      </c>
      <c r="AF465" s="261">
        <f>COUNTIF($O$1:O465,$O465)</f>
        <v>0</v>
      </c>
      <c r="AG465" s="285" t="str">
        <f>IF(J465='PLAN DE ESTUDIO'!$XFD$41,"",IF(P465="TP","Teórico-Práctica",IF(P465="T","Teórico",IF(P465="P","Práctica",""))))</f>
        <v/>
      </c>
      <c r="AH465" s="234" t="str">
        <f t="shared" si="15"/>
        <v xml:space="preserve"> </v>
      </c>
    </row>
    <row r="466" spans="10:34" x14ac:dyDescent="0.3">
      <c r="J466" s="412"/>
      <c r="K466" s="232"/>
      <c r="L466" s="232"/>
      <c r="M466" s="232"/>
      <c r="N466" s="412"/>
      <c r="P466" s="231"/>
      <c r="Q466" s="412"/>
      <c r="R466" s="425"/>
      <c r="S466" s="442"/>
      <c r="T466" s="283" t="str" cm="1">
        <f t="array" ref="T466">IF($B$9="","",_xlfn.IFS($B$9="PRESENCIAL",_xlfn.XLOOKUP($S466,DATA!$B$4:$B$8,DATA!$D$4:$D$8,"",0,),$B$9="VIRTUAL",_xlfn.XLOOKUP($S466,DATA!$G$4:$G$8,DATA!$I$4:$I$8,"",0),$B$9="DISTANCIA",_xlfn.XLOOKUP($S466,DATA!$L$4:$L$8,DATA!$N$4:$N$8,"",0)))</f>
        <v/>
      </c>
      <c r="U466" s="283" t="str" cm="1">
        <f t="array" ref="U466">IF($B$9="","",_xlfn.IFS($B$9="PRESENCIAL",_xlfn.XLOOKUP($S466,DATA!$B$4:$B$8,DATA!$E$4:$E$8,"",0,),$B$9="VIRTUAL",_xlfn.XLOOKUP($S466,DATA!$G$4:$G$8,DATA!$J$4:$J$8,"",0),$B$9="DISTANCIA",_xlfn.XLOOKUP($S466,DATA!$L$4:$L$8,DATA!$O$4:$O$8,"",0)))</f>
        <v/>
      </c>
      <c r="V466" s="261" t="str">
        <f t="shared" si="14"/>
        <v/>
      </c>
      <c r="W466" s="282"/>
      <c r="X466" s="282"/>
      <c r="Y466" s="282"/>
      <c r="Z466" s="282"/>
      <c r="AA466" s="282"/>
      <c r="AB466" s="284"/>
      <c r="AC466" s="262" t="str">
        <f>IF(AE466="","",COUNTIF($AE$1:AE466,AE466))</f>
        <v/>
      </c>
      <c r="AD466" s="261" t="str">
        <f>IF(J466='PLAN DE ESTUDIO'!$XFD$41,"",IF(AE466="","",AC466&amp;K466&amp;L466&amp;M466))</f>
        <v/>
      </c>
      <c r="AE466" s="261" t="str">
        <f>IF(J466='PLAN DE ESTUDIO'!$XFD$41,"",IF(AF466=1,K466&amp;L466&amp;M466,""))</f>
        <v/>
      </c>
      <c r="AF466" s="261">
        <f>COUNTIF($O$1:O466,$O466)</f>
        <v>0</v>
      </c>
      <c r="AG466" s="285" t="str">
        <f>IF(J466='PLAN DE ESTUDIO'!$XFD$41,"",IF(P466="TP","Teórico-Práctica",IF(P466="T","Teórico",IF(P466="P","Práctica",""))))</f>
        <v/>
      </c>
      <c r="AH466" s="234" t="str">
        <f t="shared" si="15"/>
        <v xml:space="preserve"> </v>
      </c>
    </row>
    <row r="467" spans="10:34" x14ac:dyDescent="0.3">
      <c r="J467" s="412"/>
      <c r="K467" s="232"/>
      <c r="L467" s="232"/>
      <c r="M467" s="232"/>
      <c r="N467" s="412"/>
      <c r="P467" s="231"/>
      <c r="Q467" s="412"/>
      <c r="R467" s="425"/>
      <c r="S467" s="442"/>
      <c r="T467" s="283" t="str" cm="1">
        <f t="array" ref="T467">IF($B$9="","",_xlfn.IFS($B$9="PRESENCIAL",_xlfn.XLOOKUP($S467,DATA!$B$4:$B$8,DATA!$D$4:$D$8,"",0,),$B$9="VIRTUAL",_xlfn.XLOOKUP($S467,DATA!$G$4:$G$8,DATA!$I$4:$I$8,"",0),$B$9="DISTANCIA",_xlfn.XLOOKUP($S467,DATA!$L$4:$L$8,DATA!$N$4:$N$8,"",0)))</f>
        <v/>
      </c>
      <c r="U467" s="283" t="str" cm="1">
        <f t="array" ref="U467">IF($B$9="","",_xlfn.IFS($B$9="PRESENCIAL",_xlfn.XLOOKUP($S467,DATA!$B$4:$B$8,DATA!$E$4:$E$8,"",0,),$B$9="VIRTUAL",_xlfn.XLOOKUP($S467,DATA!$G$4:$G$8,DATA!$J$4:$J$8,"",0),$B$9="DISTANCIA",_xlfn.XLOOKUP($S467,DATA!$L$4:$L$8,DATA!$O$4:$O$8,"",0)))</f>
        <v/>
      </c>
      <c r="V467" s="261" t="str">
        <f t="shared" si="14"/>
        <v/>
      </c>
      <c r="W467" s="282"/>
      <c r="X467" s="282"/>
      <c r="Y467" s="282"/>
      <c r="Z467" s="282"/>
      <c r="AA467" s="282"/>
      <c r="AB467" s="284"/>
      <c r="AC467" s="262" t="str">
        <f>IF(AE467="","",COUNTIF($AE$1:AE467,AE467))</f>
        <v/>
      </c>
      <c r="AD467" s="261" t="str">
        <f>IF(J467='PLAN DE ESTUDIO'!$XFD$41,"",IF(AE467="","",AC467&amp;K467&amp;L467&amp;M467))</f>
        <v/>
      </c>
      <c r="AE467" s="261" t="str">
        <f>IF(J467='PLAN DE ESTUDIO'!$XFD$41,"",IF(AF467=1,K467&amp;L467&amp;M467,""))</f>
        <v/>
      </c>
      <c r="AF467" s="261">
        <f>COUNTIF($O$1:O467,$O467)</f>
        <v>0</v>
      </c>
      <c r="AG467" s="285" t="str">
        <f>IF(J467='PLAN DE ESTUDIO'!$XFD$41,"",IF(P467="TP","Teórico-Práctica",IF(P467="T","Teórico",IF(P467="P","Práctica",""))))</f>
        <v/>
      </c>
      <c r="AH467" s="234" t="str">
        <f t="shared" si="15"/>
        <v xml:space="preserve"> </v>
      </c>
    </row>
    <row r="468" spans="10:34" x14ac:dyDescent="0.3">
      <c r="J468" s="412"/>
      <c r="K468" s="232"/>
      <c r="L468" s="232"/>
      <c r="M468" s="232"/>
      <c r="N468" s="412"/>
      <c r="P468" s="231"/>
      <c r="Q468" s="412"/>
      <c r="R468" s="425"/>
      <c r="S468" s="442"/>
      <c r="T468" s="283" t="str" cm="1">
        <f t="array" ref="T468">IF($B$9="","",_xlfn.IFS($B$9="PRESENCIAL",_xlfn.XLOOKUP($S468,DATA!$B$4:$B$8,DATA!$D$4:$D$8,"",0,),$B$9="VIRTUAL",_xlfn.XLOOKUP($S468,DATA!$G$4:$G$8,DATA!$I$4:$I$8,"",0),$B$9="DISTANCIA",_xlfn.XLOOKUP($S468,DATA!$L$4:$L$8,DATA!$N$4:$N$8,"",0)))</f>
        <v/>
      </c>
      <c r="U468" s="283" t="str" cm="1">
        <f t="array" ref="U468">IF($B$9="","",_xlfn.IFS($B$9="PRESENCIAL",_xlfn.XLOOKUP($S468,DATA!$B$4:$B$8,DATA!$E$4:$E$8,"",0,),$B$9="VIRTUAL",_xlfn.XLOOKUP($S468,DATA!$G$4:$G$8,DATA!$J$4:$J$8,"",0),$B$9="DISTANCIA",_xlfn.XLOOKUP($S468,DATA!$L$4:$L$8,DATA!$O$4:$O$8,"",0)))</f>
        <v/>
      </c>
      <c r="V468" s="261" t="str">
        <f t="shared" si="14"/>
        <v/>
      </c>
      <c r="W468" s="282"/>
      <c r="X468" s="282"/>
      <c r="Y468" s="282"/>
      <c r="Z468" s="282"/>
      <c r="AA468" s="282"/>
      <c r="AB468" s="284"/>
      <c r="AC468" s="262" t="str">
        <f>IF(AE468="","",COUNTIF($AE$1:AE468,AE468))</f>
        <v/>
      </c>
      <c r="AD468" s="261" t="str">
        <f>IF(J468='PLAN DE ESTUDIO'!$XFD$41,"",IF(AE468="","",AC468&amp;K468&amp;L468&amp;M468))</f>
        <v/>
      </c>
      <c r="AE468" s="261" t="str">
        <f>IF(J468='PLAN DE ESTUDIO'!$XFD$41,"",IF(AF468=1,K468&amp;L468&amp;M468,""))</f>
        <v/>
      </c>
      <c r="AF468" s="261">
        <f>COUNTIF($O$1:O468,$O468)</f>
        <v>0</v>
      </c>
      <c r="AG468" s="285" t="str">
        <f>IF(J468='PLAN DE ESTUDIO'!$XFD$41,"",IF(P468="TP","Teórico-Práctica",IF(P468="T","Teórico",IF(P468="P","Práctica",""))))</f>
        <v/>
      </c>
      <c r="AH468" s="234" t="str">
        <f t="shared" si="15"/>
        <v xml:space="preserve"> </v>
      </c>
    </row>
    <row r="469" spans="10:34" x14ac:dyDescent="0.3">
      <c r="J469" s="412"/>
      <c r="K469" s="232"/>
      <c r="L469" s="232"/>
      <c r="M469" s="232"/>
      <c r="N469" s="412"/>
      <c r="P469" s="231"/>
      <c r="Q469" s="412"/>
      <c r="R469" s="425"/>
      <c r="S469" s="442"/>
      <c r="T469" s="283" t="str" cm="1">
        <f t="array" ref="T469">IF($B$9="","",_xlfn.IFS($B$9="PRESENCIAL",_xlfn.XLOOKUP($S469,DATA!$B$4:$B$8,DATA!$D$4:$D$8,"",0,),$B$9="VIRTUAL",_xlfn.XLOOKUP($S469,DATA!$G$4:$G$8,DATA!$I$4:$I$8,"",0),$B$9="DISTANCIA",_xlfn.XLOOKUP($S469,DATA!$L$4:$L$8,DATA!$N$4:$N$8,"",0)))</f>
        <v/>
      </c>
      <c r="U469" s="283" t="str" cm="1">
        <f t="array" ref="U469">IF($B$9="","",_xlfn.IFS($B$9="PRESENCIAL",_xlfn.XLOOKUP($S469,DATA!$B$4:$B$8,DATA!$E$4:$E$8,"",0,),$B$9="VIRTUAL",_xlfn.XLOOKUP($S469,DATA!$G$4:$G$8,DATA!$J$4:$J$8,"",0),$B$9="DISTANCIA",_xlfn.XLOOKUP($S469,DATA!$L$4:$L$8,DATA!$O$4:$O$8,"",0)))</f>
        <v/>
      </c>
      <c r="V469" s="261" t="str">
        <f t="shared" si="14"/>
        <v/>
      </c>
      <c r="W469" s="282"/>
      <c r="X469" s="282"/>
      <c r="Y469" s="282"/>
      <c r="Z469" s="282"/>
      <c r="AA469" s="282"/>
      <c r="AB469" s="284"/>
      <c r="AC469" s="262" t="str">
        <f>IF(AE469="","",COUNTIF($AE$1:AE469,AE469))</f>
        <v/>
      </c>
      <c r="AD469" s="261" t="str">
        <f>IF(J469='PLAN DE ESTUDIO'!$XFD$41,"",IF(AE469="","",AC469&amp;K469&amp;L469&amp;M469))</f>
        <v/>
      </c>
      <c r="AE469" s="261" t="str">
        <f>IF(J469='PLAN DE ESTUDIO'!$XFD$41,"",IF(AF469=1,K469&amp;L469&amp;M469,""))</f>
        <v/>
      </c>
      <c r="AF469" s="261">
        <f>COUNTIF($O$1:O469,$O469)</f>
        <v>0</v>
      </c>
      <c r="AG469" s="285" t="str">
        <f>IF(J469='PLAN DE ESTUDIO'!$XFD$41,"",IF(P469="TP","Teórico-Práctica",IF(P469="T","Teórico",IF(P469="P","Práctica",""))))</f>
        <v/>
      </c>
      <c r="AH469" s="234" t="str">
        <f t="shared" si="15"/>
        <v xml:space="preserve"> </v>
      </c>
    </row>
    <row r="470" spans="10:34" x14ac:dyDescent="0.3">
      <c r="J470" s="412"/>
      <c r="K470" s="232"/>
      <c r="L470" s="232"/>
      <c r="M470" s="232"/>
      <c r="N470" s="412"/>
      <c r="P470" s="231"/>
      <c r="Q470" s="412"/>
      <c r="R470" s="425"/>
      <c r="S470" s="442"/>
      <c r="T470" s="283" t="str" cm="1">
        <f t="array" ref="T470">IF($B$9="","",_xlfn.IFS($B$9="PRESENCIAL",_xlfn.XLOOKUP($S470,DATA!$B$4:$B$8,DATA!$D$4:$D$8,"",0,),$B$9="VIRTUAL",_xlfn.XLOOKUP($S470,DATA!$G$4:$G$8,DATA!$I$4:$I$8,"",0),$B$9="DISTANCIA",_xlfn.XLOOKUP($S470,DATA!$L$4:$L$8,DATA!$N$4:$N$8,"",0)))</f>
        <v/>
      </c>
      <c r="U470" s="283" t="str" cm="1">
        <f t="array" ref="U470">IF($B$9="","",_xlfn.IFS($B$9="PRESENCIAL",_xlfn.XLOOKUP($S470,DATA!$B$4:$B$8,DATA!$E$4:$E$8,"",0,),$B$9="VIRTUAL",_xlfn.XLOOKUP($S470,DATA!$G$4:$G$8,DATA!$J$4:$J$8,"",0),$B$9="DISTANCIA",_xlfn.XLOOKUP($S470,DATA!$L$4:$L$8,DATA!$O$4:$O$8,"",0)))</f>
        <v/>
      </c>
      <c r="V470" s="261" t="str">
        <f t="shared" si="14"/>
        <v/>
      </c>
      <c r="W470" s="282"/>
      <c r="X470" s="282"/>
      <c r="Y470" s="282"/>
      <c r="Z470" s="282"/>
      <c r="AA470" s="282"/>
      <c r="AB470" s="284"/>
      <c r="AC470" s="262" t="str">
        <f>IF(AE470="","",COUNTIF($AE$1:AE470,AE470))</f>
        <v/>
      </c>
      <c r="AD470" s="261" t="str">
        <f>IF(J470='PLAN DE ESTUDIO'!$XFD$41,"",IF(AE470="","",AC470&amp;K470&amp;L470&amp;M470))</f>
        <v/>
      </c>
      <c r="AE470" s="261" t="str">
        <f>IF(J470='PLAN DE ESTUDIO'!$XFD$41,"",IF(AF470=1,K470&amp;L470&amp;M470,""))</f>
        <v/>
      </c>
      <c r="AF470" s="261">
        <f>COUNTIF($O$1:O470,$O470)</f>
        <v>0</v>
      </c>
      <c r="AG470" s="285" t="str">
        <f>IF(J470='PLAN DE ESTUDIO'!$XFD$41,"",IF(P470="TP","Teórico-Práctica",IF(P470="T","Teórico",IF(P470="P","Práctica",""))))</f>
        <v/>
      </c>
      <c r="AH470" s="234" t="str">
        <f t="shared" si="15"/>
        <v xml:space="preserve"> </v>
      </c>
    </row>
    <row r="471" spans="10:34" x14ac:dyDescent="0.3">
      <c r="J471" s="412"/>
      <c r="K471" s="232"/>
      <c r="L471" s="232"/>
      <c r="M471" s="232"/>
      <c r="N471" s="412"/>
      <c r="P471" s="231"/>
      <c r="Q471" s="412"/>
      <c r="R471" s="425"/>
      <c r="S471" s="442"/>
      <c r="T471" s="283" t="str" cm="1">
        <f t="array" ref="T471">IF($B$9="","",_xlfn.IFS($B$9="PRESENCIAL",_xlfn.XLOOKUP($S471,DATA!$B$4:$B$8,DATA!$D$4:$D$8,"",0,),$B$9="VIRTUAL",_xlfn.XLOOKUP($S471,DATA!$G$4:$G$8,DATA!$I$4:$I$8,"",0),$B$9="DISTANCIA",_xlfn.XLOOKUP($S471,DATA!$L$4:$L$8,DATA!$N$4:$N$8,"",0)))</f>
        <v/>
      </c>
      <c r="U471" s="283" t="str" cm="1">
        <f t="array" ref="U471">IF($B$9="","",_xlfn.IFS($B$9="PRESENCIAL",_xlfn.XLOOKUP($S471,DATA!$B$4:$B$8,DATA!$E$4:$E$8,"",0,),$B$9="VIRTUAL",_xlfn.XLOOKUP($S471,DATA!$G$4:$G$8,DATA!$J$4:$J$8,"",0),$B$9="DISTANCIA",_xlfn.XLOOKUP($S471,DATA!$L$4:$L$8,DATA!$O$4:$O$8,"",0)))</f>
        <v/>
      </c>
      <c r="V471" s="261" t="str">
        <f t="shared" si="14"/>
        <v/>
      </c>
      <c r="W471" s="282"/>
      <c r="X471" s="282"/>
      <c r="Y471" s="282"/>
      <c r="Z471" s="282"/>
      <c r="AA471" s="282"/>
      <c r="AB471" s="284"/>
      <c r="AC471" s="262" t="str">
        <f>IF(AE471="","",COUNTIF($AE$1:AE471,AE471))</f>
        <v/>
      </c>
      <c r="AD471" s="261" t="str">
        <f>IF(J471='PLAN DE ESTUDIO'!$XFD$41,"",IF(AE471="","",AC471&amp;K471&amp;L471&amp;M471))</f>
        <v/>
      </c>
      <c r="AE471" s="261" t="str">
        <f>IF(J471='PLAN DE ESTUDIO'!$XFD$41,"",IF(AF471=1,K471&amp;L471&amp;M471,""))</f>
        <v/>
      </c>
      <c r="AF471" s="261">
        <f>COUNTIF($O$1:O471,$O471)</f>
        <v>0</v>
      </c>
      <c r="AG471" s="285" t="str">
        <f>IF(J471='PLAN DE ESTUDIO'!$XFD$41,"",IF(P471="TP","Teórico-Práctica",IF(P471="T","Teórico",IF(P471="P","Práctica",""))))</f>
        <v/>
      </c>
      <c r="AH471" s="234" t="str">
        <f t="shared" si="15"/>
        <v xml:space="preserve"> </v>
      </c>
    </row>
    <row r="472" spans="10:34" x14ac:dyDescent="0.3">
      <c r="J472" s="412"/>
      <c r="K472" s="232"/>
      <c r="L472" s="232"/>
      <c r="M472" s="232"/>
      <c r="N472" s="412"/>
      <c r="P472" s="231"/>
      <c r="Q472" s="412"/>
      <c r="R472" s="425"/>
      <c r="S472" s="442"/>
      <c r="T472" s="283" t="str" cm="1">
        <f t="array" ref="T472">IF($B$9="","",_xlfn.IFS($B$9="PRESENCIAL",_xlfn.XLOOKUP($S472,DATA!$B$4:$B$8,DATA!$D$4:$D$8,"",0,),$B$9="VIRTUAL",_xlfn.XLOOKUP($S472,DATA!$G$4:$G$8,DATA!$I$4:$I$8,"",0),$B$9="DISTANCIA",_xlfn.XLOOKUP($S472,DATA!$L$4:$L$8,DATA!$N$4:$N$8,"",0)))</f>
        <v/>
      </c>
      <c r="U472" s="283" t="str" cm="1">
        <f t="array" ref="U472">IF($B$9="","",_xlfn.IFS($B$9="PRESENCIAL",_xlfn.XLOOKUP($S472,DATA!$B$4:$B$8,DATA!$E$4:$E$8,"",0,),$B$9="VIRTUAL",_xlfn.XLOOKUP($S472,DATA!$G$4:$G$8,DATA!$J$4:$J$8,"",0),$B$9="DISTANCIA",_xlfn.XLOOKUP($S472,DATA!$L$4:$L$8,DATA!$O$4:$O$8,"",0)))</f>
        <v/>
      </c>
      <c r="V472" s="261" t="str">
        <f t="shared" si="14"/>
        <v/>
      </c>
      <c r="W472" s="282"/>
      <c r="X472" s="282"/>
      <c r="Y472" s="282"/>
      <c r="Z472" s="282"/>
      <c r="AA472" s="282"/>
      <c r="AB472" s="284"/>
      <c r="AC472" s="262" t="str">
        <f>IF(AE472="","",COUNTIF($AE$1:AE472,AE472))</f>
        <v/>
      </c>
      <c r="AD472" s="261" t="str">
        <f>IF(J472='PLAN DE ESTUDIO'!$XFD$41,"",IF(AE472="","",AC472&amp;K472&amp;L472&amp;M472))</f>
        <v/>
      </c>
      <c r="AE472" s="261" t="str">
        <f>IF(J472='PLAN DE ESTUDIO'!$XFD$41,"",IF(AF472=1,K472&amp;L472&amp;M472,""))</f>
        <v/>
      </c>
      <c r="AF472" s="261">
        <f>COUNTIF($O$1:O472,$O472)</f>
        <v>0</v>
      </c>
      <c r="AG472" s="285" t="str">
        <f>IF(J472='PLAN DE ESTUDIO'!$XFD$41,"",IF(P472="TP","Teórico-Práctica",IF(P472="T","Teórico",IF(P472="P","Práctica",""))))</f>
        <v/>
      </c>
      <c r="AH472" s="234" t="str">
        <f t="shared" si="15"/>
        <v xml:space="preserve"> </v>
      </c>
    </row>
    <row r="473" spans="10:34" x14ac:dyDescent="0.3">
      <c r="J473" s="412"/>
      <c r="K473" s="232"/>
      <c r="L473" s="232"/>
      <c r="M473" s="232"/>
      <c r="N473" s="412"/>
      <c r="P473" s="231"/>
      <c r="Q473" s="412"/>
      <c r="R473" s="425"/>
      <c r="S473" s="442"/>
      <c r="T473" s="283" t="str" cm="1">
        <f t="array" ref="T473">IF($B$9="","",_xlfn.IFS($B$9="PRESENCIAL",_xlfn.XLOOKUP($S473,DATA!$B$4:$B$8,DATA!$D$4:$D$8,"",0,),$B$9="VIRTUAL",_xlfn.XLOOKUP($S473,DATA!$G$4:$G$8,DATA!$I$4:$I$8,"",0),$B$9="DISTANCIA",_xlfn.XLOOKUP($S473,DATA!$L$4:$L$8,DATA!$N$4:$N$8,"",0)))</f>
        <v/>
      </c>
      <c r="U473" s="283" t="str" cm="1">
        <f t="array" ref="U473">IF($B$9="","",_xlfn.IFS($B$9="PRESENCIAL",_xlfn.XLOOKUP($S473,DATA!$B$4:$B$8,DATA!$E$4:$E$8,"",0,),$B$9="VIRTUAL",_xlfn.XLOOKUP($S473,DATA!$G$4:$G$8,DATA!$J$4:$J$8,"",0),$B$9="DISTANCIA",_xlfn.XLOOKUP($S473,DATA!$L$4:$L$8,DATA!$O$4:$O$8,"",0)))</f>
        <v/>
      </c>
      <c r="V473" s="261" t="str">
        <f t="shared" si="14"/>
        <v/>
      </c>
      <c r="W473" s="282"/>
      <c r="X473" s="282"/>
      <c r="Y473" s="282"/>
      <c r="Z473" s="282"/>
      <c r="AA473" s="282"/>
      <c r="AB473" s="284"/>
      <c r="AC473" s="262" t="str">
        <f>IF(AE473="","",COUNTIF($AE$1:AE473,AE473))</f>
        <v/>
      </c>
      <c r="AD473" s="261" t="str">
        <f>IF(J473='PLAN DE ESTUDIO'!$XFD$41,"",IF(AE473="","",AC473&amp;K473&amp;L473&amp;M473))</f>
        <v/>
      </c>
      <c r="AE473" s="261" t="str">
        <f>IF(J473='PLAN DE ESTUDIO'!$XFD$41,"",IF(AF473=1,K473&amp;L473&amp;M473,""))</f>
        <v/>
      </c>
      <c r="AF473" s="261">
        <f>COUNTIF($O$1:O473,$O473)</f>
        <v>0</v>
      </c>
      <c r="AG473" s="285" t="str">
        <f>IF(J473='PLAN DE ESTUDIO'!$XFD$41,"",IF(P473="TP","Teórico-Práctica",IF(P473="T","Teórico",IF(P473="P","Práctica",""))))</f>
        <v/>
      </c>
      <c r="AH473" s="234" t="str">
        <f t="shared" si="15"/>
        <v xml:space="preserve"> </v>
      </c>
    </row>
    <row r="474" spans="10:34" x14ac:dyDescent="0.3">
      <c r="J474" s="412"/>
      <c r="K474" s="232"/>
      <c r="L474" s="232"/>
      <c r="M474" s="232"/>
      <c r="N474" s="412"/>
      <c r="P474" s="231"/>
      <c r="Q474" s="412"/>
      <c r="R474" s="425"/>
      <c r="S474" s="442"/>
      <c r="T474" s="283" t="str" cm="1">
        <f t="array" ref="T474">IF($B$9="","",_xlfn.IFS($B$9="PRESENCIAL",_xlfn.XLOOKUP($S474,DATA!$B$4:$B$8,DATA!$D$4:$D$8,"",0,),$B$9="VIRTUAL",_xlfn.XLOOKUP($S474,DATA!$G$4:$G$8,DATA!$I$4:$I$8,"",0),$B$9="DISTANCIA",_xlfn.XLOOKUP($S474,DATA!$L$4:$L$8,DATA!$N$4:$N$8,"",0)))</f>
        <v/>
      </c>
      <c r="U474" s="283" t="str" cm="1">
        <f t="array" ref="U474">IF($B$9="","",_xlfn.IFS($B$9="PRESENCIAL",_xlfn.XLOOKUP($S474,DATA!$B$4:$B$8,DATA!$E$4:$E$8,"",0,),$B$9="VIRTUAL",_xlfn.XLOOKUP($S474,DATA!$G$4:$G$8,DATA!$J$4:$J$8,"",0),$B$9="DISTANCIA",_xlfn.XLOOKUP($S474,DATA!$L$4:$L$8,DATA!$O$4:$O$8,"",0)))</f>
        <v/>
      </c>
      <c r="V474" s="261" t="str">
        <f t="shared" si="14"/>
        <v/>
      </c>
      <c r="W474" s="282"/>
      <c r="X474" s="282"/>
      <c r="Y474" s="282"/>
      <c r="Z474" s="282"/>
      <c r="AA474" s="282"/>
      <c r="AB474" s="284"/>
      <c r="AC474" s="262" t="str">
        <f>IF(AE474="","",COUNTIF($AE$1:AE474,AE474))</f>
        <v/>
      </c>
      <c r="AD474" s="261" t="str">
        <f>IF(J474='PLAN DE ESTUDIO'!$XFD$41,"",IF(AE474="","",AC474&amp;K474&amp;L474&amp;M474))</f>
        <v/>
      </c>
      <c r="AE474" s="261" t="str">
        <f>IF(J474='PLAN DE ESTUDIO'!$XFD$41,"",IF(AF474=1,K474&amp;L474&amp;M474,""))</f>
        <v/>
      </c>
      <c r="AF474" s="261">
        <f>COUNTIF($O$1:O474,$O474)</f>
        <v>0</v>
      </c>
      <c r="AG474" s="285" t="str">
        <f>IF(J474='PLAN DE ESTUDIO'!$XFD$41,"",IF(P474="TP","Teórico-Práctica",IF(P474="T","Teórico",IF(P474="P","Práctica",""))))</f>
        <v/>
      </c>
      <c r="AH474" s="234" t="str">
        <f t="shared" si="15"/>
        <v xml:space="preserve"> </v>
      </c>
    </row>
    <row r="475" spans="10:34" x14ac:dyDescent="0.3">
      <c r="J475" s="412"/>
      <c r="K475" s="232"/>
      <c r="L475" s="232"/>
      <c r="M475" s="232"/>
      <c r="N475" s="412"/>
      <c r="P475" s="231"/>
      <c r="Q475" s="412"/>
      <c r="R475" s="425"/>
      <c r="S475" s="442"/>
      <c r="T475" s="283" t="str" cm="1">
        <f t="array" ref="T475">IF($B$9="","",_xlfn.IFS($B$9="PRESENCIAL",_xlfn.XLOOKUP($S475,DATA!$B$4:$B$8,DATA!$D$4:$D$8,"",0,),$B$9="VIRTUAL",_xlfn.XLOOKUP($S475,DATA!$G$4:$G$8,DATA!$I$4:$I$8,"",0),$B$9="DISTANCIA",_xlfn.XLOOKUP($S475,DATA!$L$4:$L$8,DATA!$N$4:$N$8,"",0)))</f>
        <v/>
      </c>
      <c r="U475" s="283" t="str" cm="1">
        <f t="array" ref="U475">IF($B$9="","",_xlfn.IFS($B$9="PRESENCIAL",_xlfn.XLOOKUP($S475,DATA!$B$4:$B$8,DATA!$E$4:$E$8,"",0,),$B$9="VIRTUAL",_xlfn.XLOOKUP($S475,DATA!$G$4:$G$8,DATA!$J$4:$J$8,"",0),$B$9="DISTANCIA",_xlfn.XLOOKUP($S475,DATA!$L$4:$L$8,DATA!$O$4:$O$8,"",0)))</f>
        <v/>
      </c>
      <c r="V475" s="261" t="str">
        <f t="shared" si="14"/>
        <v/>
      </c>
      <c r="W475" s="282"/>
      <c r="X475" s="282"/>
      <c r="Y475" s="282"/>
      <c r="Z475" s="282"/>
      <c r="AA475" s="282"/>
      <c r="AB475" s="284"/>
      <c r="AC475" s="262" t="str">
        <f>IF(AE475="","",COUNTIF($AE$1:AE475,AE475))</f>
        <v/>
      </c>
      <c r="AD475" s="261" t="str">
        <f>IF(J475='PLAN DE ESTUDIO'!$XFD$41,"",IF(AE475="","",AC475&amp;K475&amp;L475&amp;M475))</f>
        <v/>
      </c>
      <c r="AE475" s="261" t="str">
        <f>IF(J475='PLAN DE ESTUDIO'!$XFD$41,"",IF(AF475=1,K475&amp;L475&amp;M475,""))</f>
        <v/>
      </c>
      <c r="AF475" s="261">
        <f>COUNTIF($O$1:O475,$O475)</f>
        <v>0</v>
      </c>
      <c r="AG475" s="285" t="str">
        <f>IF(J475='PLAN DE ESTUDIO'!$XFD$41,"",IF(P475="TP","Teórico-Práctica",IF(P475="T","Teórico",IF(P475="P","Práctica",""))))</f>
        <v/>
      </c>
      <c r="AH475" s="234" t="str">
        <f t="shared" si="15"/>
        <v xml:space="preserve"> </v>
      </c>
    </row>
    <row r="476" spans="10:34" x14ac:dyDescent="0.3">
      <c r="J476" s="412"/>
      <c r="K476" s="232"/>
      <c r="L476" s="232"/>
      <c r="M476" s="232"/>
      <c r="N476" s="412"/>
      <c r="P476" s="231"/>
      <c r="Q476" s="412"/>
      <c r="R476" s="425"/>
      <c r="S476" s="442"/>
      <c r="T476" s="283" t="str" cm="1">
        <f t="array" ref="T476">IF($B$9="","",_xlfn.IFS($B$9="PRESENCIAL",_xlfn.XLOOKUP($S476,DATA!$B$4:$B$8,DATA!$D$4:$D$8,"",0,),$B$9="VIRTUAL",_xlfn.XLOOKUP($S476,DATA!$G$4:$G$8,DATA!$I$4:$I$8,"",0),$B$9="DISTANCIA",_xlfn.XLOOKUP($S476,DATA!$L$4:$L$8,DATA!$N$4:$N$8,"",0)))</f>
        <v/>
      </c>
      <c r="U476" s="283" t="str" cm="1">
        <f t="array" ref="U476">IF($B$9="","",_xlfn.IFS($B$9="PRESENCIAL",_xlfn.XLOOKUP($S476,DATA!$B$4:$B$8,DATA!$E$4:$E$8,"",0,),$B$9="VIRTUAL",_xlfn.XLOOKUP($S476,DATA!$G$4:$G$8,DATA!$J$4:$J$8,"",0),$B$9="DISTANCIA",_xlfn.XLOOKUP($S476,DATA!$L$4:$L$8,DATA!$O$4:$O$8,"",0)))</f>
        <v/>
      </c>
      <c r="V476" s="261" t="str">
        <f t="shared" si="14"/>
        <v/>
      </c>
      <c r="W476" s="282"/>
      <c r="X476" s="282"/>
      <c r="Y476" s="282"/>
      <c r="Z476" s="282"/>
      <c r="AA476" s="282"/>
      <c r="AB476" s="284"/>
      <c r="AC476" s="262" t="str">
        <f>IF(AE476="","",COUNTIF($AE$1:AE476,AE476))</f>
        <v/>
      </c>
      <c r="AD476" s="261" t="str">
        <f>IF(J476='PLAN DE ESTUDIO'!$XFD$41,"",IF(AE476="","",AC476&amp;K476&amp;L476&amp;M476))</f>
        <v/>
      </c>
      <c r="AE476" s="261" t="str">
        <f>IF(J476='PLAN DE ESTUDIO'!$XFD$41,"",IF(AF476=1,K476&amp;L476&amp;M476,""))</f>
        <v/>
      </c>
      <c r="AF476" s="261">
        <f>COUNTIF($O$1:O476,$O476)</f>
        <v>0</v>
      </c>
      <c r="AG476" s="285" t="str">
        <f>IF(J476='PLAN DE ESTUDIO'!$XFD$41,"",IF(P476="TP","Teórico-Práctica",IF(P476="T","Teórico",IF(P476="P","Práctica",""))))</f>
        <v/>
      </c>
      <c r="AH476" s="234" t="str">
        <f t="shared" si="15"/>
        <v xml:space="preserve"> </v>
      </c>
    </row>
    <row r="477" spans="10:34" x14ac:dyDescent="0.3">
      <c r="J477" s="412"/>
      <c r="K477" s="232"/>
      <c r="L477" s="232"/>
      <c r="M477" s="232"/>
      <c r="N477" s="412"/>
      <c r="P477" s="231"/>
      <c r="Q477" s="412"/>
      <c r="R477" s="425"/>
      <c r="S477" s="442"/>
      <c r="T477" s="283" t="str" cm="1">
        <f t="array" ref="T477">IF($B$9="","",_xlfn.IFS($B$9="PRESENCIAL",_xlfn.XLOOKUP($S477,DATA!$B$4:$B$8,DATA!$D$4:$D$8,"",0,),$B$9="VIRTUAL",_xlfn.XLOOKUP($S477,DATA!$G$4:$G$8,DATA!$I$4:$I$8,"",0),$B$9="DISTANCIA",_xlfn.XLOOKUP($S477,DATA!$L$4:$L$8,DATA!$N$4:$N$8,"",0)))</f>
        <v/>
      </c>
      <c r="U477" s="283" t="str" cm="1">
        <f t="array" ref="U477">IF($B$9="","",_xlfn.IFS($B$9="PRESENCIAL",_xlfn.XLOOKUP($S477,DATA!$B$4:$B$8,DATA!$E$4:$E$8,"",0,),$B$9="VIRTUAL",_xlfn.XLOOKUP($S477,DATA!$G$4:$G$8,DATA!$J$4:$J$8,"",0),$B$9="DISTANCIA",_xlfn.XLOOKUP($S477,DATA!$L$4:$L$8,DATA!$O$4:$O$8,"",0)))</f>
        <v/>
      </c>
      <c r="V477" s="261" t="str">
        <f t="shared" si="14"/>
        <v/>
      </c>
      <c r="W477" s="282"/>
      <c r="X477" s="282"/>
      <c r="Y477" s="282"/>
      <c r="Z477" s="282"/>
      <c r="AA477" s="282"/>
      <c r="AB477" s="284"/>
      <c r="AC477" s="262" t="str">
        <f>IF(AE477="","",COUNTIF($AE$1:AE477,AE477))</f>
        <v/>
      </c>
      <c r="AD477" s="261" t="str">
        <f>IF(J477='PLAN DE ESTUDIO'!$XFD$41,"",IF(AE477="","",AC477&amp;K477&amp;L477&amp;M477))</f>
        <v/>
      </c>
      <c r="AE477" s="261" t="str">
        <f>IF(J477='PLAN DE ESTUDIO'!$XFD$41,"",IF(AF477=1,K477&amp;L477&amp;M477,""))</f>
        <v/>
      </c>
      <c r="AF477" s="261">
        <f>COUNTIF($O$1:O477,$O477)</f>
        <v>0</v>
      </c>
      <c r="AG477" s="285" t="str">
        <f>IF(J477='PLAN DE ESTUDIO'!$XFD$41,"",IF(P477="TP","Teórico-Práctica",IF(P477="T","Teórico",IF(P477="P","Práctica",""))))</f>
        <v/>
      </c>
      <c r="AH477" s="234" t="str">
        <f t="shared" si="15"/>
        <v xml:space="preserve"> </v>
      </c>
    </row>
    <row r="478" spans="10:34" x14ac:dyDescent="0.3">
      <c r="J478" s="412"/>
      <c r="K478" s="232"/>
      <c r="L478" s="232"/>
      <c r="M478" s="232"/>
      <c r="N478" s="412"/>
      <c r="P478" s="231"/>
      <c r="Q478" s="412"/>
      <c r="R478" s="425"/>
      <c r="S478" s="442"/>
      <c r="T478" s="283" t="str" cm="1">
        <f t="array" ref="T478">IF($B$9="","",_xlfn.IFS($B$9="PRESENCIAL",_xlfn.XLOOKUP($S478,DATA!$B$4:$B$8,DATA!$D$4:$D$8,"",0,),$B$9="VIRTUAL",_xlfn.XLOOKUP($S478,DATA!$G$4:$G$8,DATA!$I$4:$I$8,"",0),$B$9="DISTANCIA",_xlfn.XLOOKUP($S478,DATA!$L$4:$L$8,DATA!$N$4:$N$8,"",0)))</f>
        <v/>
      </c>
      <c r="U478" s="283" t="str" cm="1">
        <f t="array" ref="U478">IF($B$9="","",_xlfn.IFS($B$9="PRESENCIAL",_xlfn.XLOOKUP($S478,DATA!$B$4:$B$8,DATA!$E$4:$E$8,"",0,),$B$9="VIRTUAL",_xlfn.XLOOKUP($S478,DATA!$G$4:$G$8,DATA!$J$4:$J$8,"",0),$B$9="DISTANCIA",_xlfn.XLOOKUP($S478,DATA!$L$4:$L$8,DATA!$O$4:$O$8,"",0)))</f>
        <v/>
      </c>
      <c r="V478" s="261" t="str">
        <f t="shared" si="14"/>
        <v/>
      </c>
      <c r="W478" s="282"/>
      <c r="X478" s="282"/>
      <c r="Y478" s="282"/>
      <c r="Z478" s="282"/>
      <c r="AA478" s="282"/>
      <c r="AB478" s="284"/>
      <c r="AC478" s="262" t="str">
        <f>IF(AE478="","",COUNTIF($AE$1:AE478,AE478))</f>
        <v/>
      </c>
      <c r="AD478" s="261" t="str">
        <f>IF(J478='PLAN DE ESTUDIO'!$XFD$41,"",IF(AE478="","",AC478&amp;K478&amp;L478&amp;M478))</f>
        <v/>
      </c>
      <c r="AE478" s="261" t="str">
        <f>IF(J478='PLAN DE ESTUDIO'!$XFD$41,"",IF(AF478=1,K478&amp;L478&amp;M478,""))</f>
        <v/>
      </c>
      <c r="AF478" s="261">
        <f>COUNTIF($O$1:O478,$O478)</f>
        <v>0</v>
      </c>
      <c r="AG478" s="285" t="str">
        <f>IF(J478='PLAN DE ESTUDIO'!$XFD$41,"",IF(P478="TP","Teórico-Práctica",IF(P478="T","Teórico",IF(P478="P","Práctica",""))))</f>
        <v/>
      </c>
      <c r="AH478" s="234" t="str">
        <f t="shared" si="15"/>
        <v xml:space="preserve"> </v>
      </c>
    </row>
    <row r="479" spans="10:34" x14ac:dyDescent="0.3">
      <c r="J479" s="412"/>
      <c r="K479" s="232"/>
      <c r="L479" s="232"/>
      <c r="M479" s="232"/>
      <c r="N479" s="412"/>
      <c r="P479" s="231"/>
      <c r="Q479" s="412"/>
      <c r="R479" s="425"/>
      <c r="S479" s="442"/>
      <c r="T479" s="283" t="str" cm="1">
        <f t="array" ref="T479">IF($B$9="","",_xlfn.IFS($B$9="PRESENCIAL",_xlfn.XLOOKUP($S479,DATA!$B$4:$B$8,DATA!$D$4:$D$8,"",0,),$B$9="VIRTUAL",_xlfn.XLOOKUP($S479,DATA!$G$4:$G$8,DATA!$I$4:$I$8,"",0),$B$9="DISTANCIA",_xlfn.XLOOKUP($S479,DATA!$L$4:$L$8,DATA!$N$4:$N$8,"",0)))</f>
        <v/>
      </c>
      <c r="U479" s="283" t="str" cm="1">
        <f t="array" ref="U479">IF($B$9="","",_xlfn.IFS($B$9="PRESENCIAL",_xlfn.XLOOKUP($S479,DATA!$B$4:$B$8,DATA!$E$4:$E$8,"",0,),$B$9="VIRTUAL",_xlfn.XLOOKUP($S479,DATA!$G$4:$G$8,DATA!$J$4:$J$8,"",0),$B$9="DISTANCIA",_xlfn.XLOOKUP($S479,DATA!$L$4:$L$8,DATA!$O$4:$O$8,"",0)))</f>
        <v/>
      </c>
      <c r="V479" s="261" t="str">
        <f t="shared" si="14"/>
        <v/>
      </c>
      <c r="W479" s="282"/>
      <c r="X479" s="282"/>
      <c r="Y479" s="282"/>
      <c r="Z479" s="282"/>
      <c r="AA479" s="282"/>
      <c r="AB479" s="284"/>
      <c r="AC479" s="262" t="str">
        <f>IF(AE479="","",COUNTIF($AE$1:AE479,AE479))</f>
        <v/>
      </c>
      <c r="AD479" s="261" t="str">
        <f>IF(J479='PLAN DE ESTUDIO'!$XFD$41,"",IF(AE479="","",AC479&amp;K479&amp;L479&amp;M479))</f>
        <v/>
      </c>
      <c r="AE479" s="261" t="str">
        <f>IF(J479='PLAN DE ESTUDIO'!$XFD$41,"",IF(AF479=1,K479&amp;L479&amp;M479,""))</f>
        <v/>
      </c>
      <c r="AF479" s="261">
        <f>COUNTIF($O$1:O479,$O479)</f>
        <v>0</v>
      </c>
      <c r="AG479" s="285" t="str">
        <f>IF(J479='PLAN DE ESTUDIO'!$XFD$41,"",IF(P479="TP","Teórico-Práctica",IF(P479="T","Teórico",IF(P479="P","Práctica",""))))</f>
        <v/>
      </c>
      <c r="AH479" s="234" t="str">
        <f t="shared" si="15"/>
        <v xml:space="preserve"> </v>
      </c>
    </row>
    <row r="480" spans="10:34" x14ac:dyDescent="0.3">
      <c r="J480" s="412"/>
      <c r="K480" s="232"/>
      <c r="L480" s="232"/>
      <c r="M480" s="232"/>
      <c r="N480" s="412"/>
      <c r="P480" s="231"/>
      <c r="Q480" s="412"/>
      <c r="R480" s="425"/>
      <c r="S480" s="442"/>
      <c r="T480" s="283" t="str" cm="1">
        <f t="array" ref="T480">IF($B$9="","",_xlfn.IFS($B$9="PRESENCIAL",_xlfn.XLOOKUP($S480,DATA!$B$4:$B$8,DATA!$D$4:$D$8,"",0,),$B$9="VIRTUAL",_xlfn.XLOOKUP($S480,DATA!$G$4:$G$8,DATA!$I$4:$I$8,"",0),$B$9="DISTANCIA",_xlfn.XLOOKUP($S480,DATA!$L$4:$L$8,DATA!$N$4:$N$8,"",0)))</f>
        <v/>
      </c>
      <c r="U480" s="283" t="str" cm="1">
        <f t="array" ref="U480">IF($B$9="","",_xlfn.IFS($B$9="PRESENCIAL",_xlfn.XLOOKUP($S480,DATA!$B$4:$B$8,DATA!$E$4:$E$8,"",0,),$B$9="VIRTUAL",_xlfn.XLOOKUP($S480,DATA!$G$4:$G$8,DATA!$J$4:$J$8,"",0),$B$9="DISTANCIA",_xlfn.XLOOKUP($S480,DATA!$L$4:$L$8,DATA!$O$4:$O$8,"",0)))</f>
        <v/>
      </c>
      <c r="V480" s="261" t="str">
        <f t="shared" si="14"/>
        <v/>
      </c>
      <c r="W480" s="282"/>
      <c r="X480" s="282"/>
      <c r="Y480" s="282"/>
      <c r="Z480" s="282"/>
      <c r="AA480" s="282"/>
      <c r="AB480" s="284"/>
      <c r="AC480" s="262" t="str">
        <f>IF(AE480="","",COUNTIF($AE$1:AE480,AE480))</f>
        <v/>
      </c>
      <c r="AD480" s="261" t="str">
        <f>IF(J480='PLAN DE ESTUDIO'!$XFD$41,"",IF(AE480="","",AC480&amp;K480&amp;L480&amp;M480))</f>
        <v/>
      </c>
      <c r="AE480" s="261" t="str">
        <f>IF(J480='PLAN DE ESTUDIO'!$XFD$41,"",IF(AF480=1,K480&amp;L480&amp;M480,""))</f>
        <v/>
      </c>
      <c r="AF480" s="261">
        <f>COUNTIF($O$1:O480,$O480)</f>
        <v>0</v>
      </c>
      <c r="AG480" s="285" t="str">
        <f>IF(J480='PLAN DE ESTUDIO'!$XFD$41,"",IF(P480="TP","Teórico-Práctica",IF(P480="T","Teórico",IF(P480="P","Práctica",""))))</f>
        <v/>
      </c>
      <c r="AH480" s="234" t="str">
        <f t="shared" si="15"/>
        <v xml:space="preserve"> </v>
      </c>
    </row>
    <row r="481" spans="10:34" x14ac:dyDescent="0.3">
      <c r="J481" s="412"/>
      <c r="K481" s="232"/>
      <c r="L481" s="232"/>
      <c r="M481" s="232"/>
      <c r="N481" s="412"/>
      <c r="P481" s="231"/>
      <c r="Q481" s="412"/>
      <c r="R481" s="425"/>
      <c r="S481" s="442"/>
      <c r="T481" s="283" t="str" cm="1">
        <f t="array" ref="T481">IF($B$9="","",_xlfn.IFS($B$9="PRESENCIAL",_xlfn.XLOOKUP($S481,DATA!$B$4:$B$8,DATA!$D$4:$D$8,"",0,),$B$9="VIRTUAL",_xlfn.XLOOKUP($S481,DATA!$G$4:$G$8,DATA!$I$4:$I$8,"",0),$B$9="DISTANCIA",_xlfn.XLOOKUP($S481,DATA!$L$4:$L$8,DATA!$N$4:$N$8,"",0)))</f>
        <v/>
      </c>
      <c r="U481" s="283" t="str" cm="1">
        <f t="array" ref="U481">IF($B$9="","",_xlfn.IFS($B$9="PRESENCIAL",_xlfn.XLOOKUP($S481,DATA!$B$4:$B$8,DATA!$E$4:$E$8,"",0,),$B$9="VIRTUAL",_xlfn.XLOOKUP($S481,DATA!$G$4:$G$8,DATA!$J$4:$J$8,"",0),$B$9="DISTANCIA",_xlfn.XLOOKUP($S481,DATA!$L$4:$L$8,DATA!$O$4:$O$8,"",0)))</f>
        <v/>
      </c>
      <c r="V481" s="261" t="str">
        <f t="shared" si="14"/>
        <v/>
      </c>
      <c r="W481" s="282"/>
      <c r="X481" s="282"/>
      <c r="Y481" s="282"/>
      <c r="Z481" s="282"/>
      <c r="AA481" s="282"/>
      <c r="AB481" s="284"/>
      <c r="AC481" s="262" t="str">
        <f>IF(AE481="","",COUNTIF($AE$1:AE481,AE481))</f>
        <v/>
      </c>
      <c r="AD481" s="261" t="str">
        <f>IF(J481='PLAN DE ESTUDIO'!$XFD$41,"",IF(AE481="","",AC481&amp;K481&amp;L481&amp;M481))</f>
        <v/>
      </c>
      <c r="AE481" s="261" t="str">
        <f>IF(J481='PLAN DE ESTUDIO'!$XFD$41,"",IF(AF481=1,K481&amp;L481&amp;M481,""))</f>
        <v/>
      </c>
      <c r="AF481" s="261">
        <f>COUNTIF($O$1:O481,$O481)</f>
        <v>0</v>
      </c>
      <c r="AG481" s="285" t="str">
        <f>IF(J481='PLAN DE ESTUDIO'!$XFD$41,"",IF(P481="TP","Teórico-Práctica",IF(P481="T","Teórico",IF(P481="P","Práctica",""))))</f>
        <v/>
      </c>
      <c r="AH481" s="234" t="str">
        <f t="shared" si="15"/>
        <v xml:space="preserve"> </v>
      </c>
    </row>
    <row r="482" spans="10:34" x14ac:dyDescent="0.3">
      <c r="J482" s="412"/>
      <c r="K482" s="232"/>
      <c r="L482" s="232"/>
      <c r="M482" s="232"/>
      <c r="N482" s="412"/>
      <c r="P482" s="231"/>
      <c r="Q482" s="412"/>
      <c r="R482" s="425"/>
      <c r="S482" s="442"/>
      <c r="T482" s="283" t="str" cm="1">
        <f t="array" ref="T482">IF($B$9="","",_xlfn.IFS($B$9="PRESENCIAL",_xlfn.XLOOKUP($S482,DATA!$B$4:$B$8,DATA!$D$4:$D$8,"",0,),$B$9="VIRTUAL",_xlfn.XLOOKUP($S482,DATA!$G$4:$G$8,DATA!$I$4:$I$8,"",0),$B$9="DISTANCIA",_xlfn.XLOOKUP($S482,DATA!$L$4:$L$8,DATA!$N$4:$N$8,"",0)))</f>
        <v/>
      </c>
      <c r="U482" s="283" t="str" cm="1">
        <f t="array" ref="U482">IF($B$9="","",_xlfn.IFS($B$9="PRESENCIAL",_xlfn.XLOOKUP($S482,DATA!$B$4:$B$8,DATA!$E$4:$E$8,"",0,),$B$9="VIRTUAL",_xlfn.XLOOKUP($S482,DATA!$G$4:$G$8,DATA!$J$4:$J$8,"",0),$B$9="DISTANCIA",_xlfn.XLOOKUP($S482,DATA!$L$4:$L$8,DATA!$O$4:$O$8,"",0)))</f>
        <v/>
      </c>
      <c r="V482" s="261" t="str">
        <f t="shared" si="14"/>
        <v/>
      </c>
      <c r="W482" s="282"/>
      <c r="X482" s="282"/>
      <c r="Y482" s="282"/>
      <c r="Z482" s="282"/>
      <c r="AA482" s="282"/>
      <c r="AB482" s="284"/>
      <c r="AC482" s="262" t="str">
        <f>IF(AE482="","",COUNTIF($AE$1:AE482,AE482))</f>
        <v/>
      </c>
      <c r="AD482" s="261" t="str">
        <f>IF(J482='PLAN DE ESTUDIO'!$XFD$41,"",IF(AE482="","",AC482&amp;K482&amp;L482&amp;M482))</f>
        <v/>
      </c>
      <c r="AE482" s="261" t="str">
        <f>IF(J482='PLAN DE ESTUDIO'!$XFD$41,"",IF(AF482=1,K482&amp;L482&amp;M482,""))</f>
        <v/>
      </c>
      <c r="AF482" s="261">
        <f>COUNTIF($O$1:O482,$O482)</f>
        <v>0</v>
      </c>
      <c r="AG482" s="285" t="str">
        <f>IF(J482='PLAN DE ESTUDIO'!$XFD$41,"",IF(P482="TP","Teórico-Práctica",IF(P482="T","Teórico",IF(P482="P","Práctica",""))))</f>
        <v/>
      </c>
      <c r="AH482" s="234" t="str">
        <f t="shared" si="15"/>
        <v xml:space="preserve"> </v>
      </c>
    </row>
    <row r="483" spans="10:34" x14ac:dyDescent="0.3">
      <c r="J483" s="412"/>
      <c r="K483" s="232"/>
      <c r="L483" s="232"/>
      <c r="M483" s="232"/>
      <c r="N483" s="412"/>
      <c r="P483" s="231"/>
      <c r="Q483" s="412"/>
      <c r="R483" s="425"/>
      <c r="S483" s="442"/>
      <c r="T483" s="283" t="str" cm="1">
        <f t="array" ref="T483">IF($B$9="","",_xlfn.IFS($B$9="PRESENCIAL",_xlfn.XLOOKUP($S483,DATA!$B$4:$B$8,DATA!$D$4:$D$8,"",0,),$B$9="VIRTUAL",_xlfn.XLOOKUP($S483,DATA!$G$4:$G$8,DATA!$I$4:$I$8,"",0),$B$9="DISTANCIA",_xlfn.XLOOKUP($S483,DATA!$L$4:$L$8,DATA!$N$4:$N$8,"",0)))</f>
        <v/>
      </c>
      <c r="U483" s="283" t="str" cm="1">
        <f t="array" ref="U483">IF($B$9="","",_xlfn.IFS($B$9="PRESENCIAL",_xlfn.XLOOKUP($S483,DATA!$B$4:$B$8,DATA!$E$4:$E$8,"",0,),$B$9="VIRTUAL",_xlfn.XLOOKUP($S483,DATA!$G$4:$G$8,DATA!$J$4:$J$8,"",0),$B$9="DISTANCIA",_xlfn.XLOOKUP($S483,DATA!$L$4:$L$8,DATA!$O$4:$O$8,"",0)))</f>
        <v/>
      </c>
      <c r="V483" s="261" t="str">
        <f t="shared" si="14"/>
        <v/>
      </c>
      <c r="W483" s="282"/>
      <c r="X483" s="282"/>
      <c r="Y483" s="282"/>
      <c r="Z483" s="282"/>
      <c r="AA483" s="282"/>
      <c r="AB483" s="284"/>
      <c r="AC483" s="262" t="str">
        <f>IF(AE483="","",COUNTIF($AE$1:AE483,AE483))</f>
        <v/>
      </c>
      <c r="AD483" s="261" t="str">
        <f>IF(J483='PLAN DE ESTUDIO'!$XFD$41,"",IF(AE483="","",AC483&amp;K483&amp;L483&amp;M483))</f>
        <v/>
      </c>
      <c r="AE483" s="261" t="str">
        <f>IF(J483='PLAN DE ESTUDIO'!$XFD$41,"",IF(AF483=1,K483&amp;L483&amp;M483,""))</f>
        <v/>
      </c>
      <c r="AF483" s="261">
        <f>COUNTIF($O$1:O483,$O483)</f>
        <v>0</v>
      </c>
      <c r="AG483" s="285" t="str">
        <f>IF(J483='PLAN DE ESTUDIO'!$XFD$41,"",IF(P483="TP","Teórico-Práctica",IF(P483="T","Teórico",IF(P483="P","Práctica",""))))</f>
        <v/>
      </c>
      <c r="AH483" s="234" t="str">
        <f t="shared" si="15"/>
        <v xml:space="preserve"> </v>
      </c>
    </row>
    <row r="484" spans="10:34" x14ac:dyDescent="0.3">
      <c r="J484" s="412"/>
      <c r="K484" s="232"/>
      <c r="L484" s="232"/>
      <c r="M484" s="232"/>
      <c r="N484" s="412"/>
      <c r="P484" s="231"/>
      <c r="Q484" s="412"/>
      <c r="R484" s="425"/>
      <c r="S484" s="442"/>
      <c r="T484" s="283" t="str" cm="1">
        <f t="array" ref="T484">IF($B$9="","",_xlfn.IFS($B$9="PRESENCIAL",_xlfn.XLOOKUP($S484,DATA!$B$4:$B$8,DATA!$D$4:$D$8,"",0,),$B$9="VIRTUAL",_xlfn.XLOOKUP($S484,DATA!$G$4:$G$8,DATA!$I$4:$I$8,"",0),$B$9="DISTANCIA",_xlfn.XLOOKUP($S484,DATA!$L$4:$L$8,DATA!$N$4:$N$8,"",0)))</f>
        <v/>
      </c>
      <c r="U484" s="283" t="str" cm="1">
        <f t="array" ref="U484">IF($B$9="","",_xlfn.IFS($B$9="PRESENCIAL",_xlfn.XLOOKUP($S484,DATA!$B$4:$B$8,DATA!$E$4:$E$8,"",0,),$B$9="VIRTUAL",_xlfn.XLOOKUP($S484,DATA!$G$4:$G$8,DATA!$J$4:$J$8,"",0),$B$9="DISTANCIA",_xlfn.XLOOKUP($S484,DATA!$L$4:$L$8,DATA!$O$4:$O$8,"",0)))</f>
        <v/>
      </c>
      <c r="V484" s="261" t="str">
        <f t="shared" si="14"/>
        <v/>
      </c>
      <c r="W484" s="282"/>
      <c r="X484" s="282"/>
      <c r="Y484" s="282"/>
      <c r="Z484" s="282"/>
      <c r="AA484" s="282"/>
      <c r="AB484" s="284"/>
      <c r="AC484" s="262" t="str">
        <f>IF(AE484="","",COUNTIF($AE$1:AE484,AE484))</f>
        <v/>
      </c>
      <c r="AD484" s="261" t="str">
        <f>IF(J484='PLAN DE ESTUDIO'!$XFD$41,"",IF(AE484="","",AC484&amp;K484&amp;L484&amp;M484))</f>
        <v/>
      </c>
      <c r="AE484" s="261" t="str">
        <f>IF(J484='PLAN DE ESTUDIO'!$XFD$41,"",IF(AF484=1,K484&amp;L484&amp;M484,""))</f>
        <v/>
      </c>
      <c r="AF484" s="261">
        <f>COUNTIF($O$1:O484,$O484)</f>
        <v>0</v>
      </c>
      <c r="AG484" s="285" t="str">
        <f>IF(J484='PLAN DE ESTUDIO'!$XFD$41,"",IF(P484="TP","Teórico-Práctica",IF(P484="T","Teórico",IF(P484="P","Práctica",""))))</f>
        <v/>
      </c>
      <c r="AH484" s="234" t="str">
        <f t="shared" si="15"/>
        <v xml:space="preserve"> </v>
      </c>
    </row>
    <row r="485" spans="10:34" x14ac:dyDescent="0.3">
      <c r="J485" s="412"/>
      <c r="K485" s="232"/>
      <c r="L485" s="232"/>
      <c r="M485" s="232"/>
      <c r="N485" s="412"/>
      <c r="P485" s="231"/>
      <c r="Q485" s="412"/>
      <c r="R485" s="425"/>
      <c r="S485" s="442"/>
      <c r="T485" s="283" t="str" cm="1">
        <f t="array" ref="T485">IF($B$9="","",_xlfn.IFS($B$9="PRESENCIAL",_xlfn.XLOOKUP($S485,DATA!$B$4:$B$8,DATA!$D$4:$D$8,"",0,),$B$9="VIRTUAL",_xlfn.XLOOKUP($S485,DATA!$G$4:$G$8,DATA!$I$4:$I$8,"",0),$B$9="DISTANCIA",_xlfn.XLOOKUP($S485,DATA!$L$4:$L$8,DATA!$N$4:$N$8,"",0)))</f>
        <v/>
      </c>
      <c r="U485" s="283" t="str" cm="1">
        <f t="array" ref="U485">IF($B$9="","",_xlfn.IFS($B$9="PRESENCIAL",_xlfn.XLOOKUP($S485,DATA!$B$4:$B$8,DATA!$E$4:$E$8,"",0,),$B$9="VIRTUAL",_xlfn.XLOOKUP($S485,DATA!$G$4:$G$8,DATA!$J$4:$J$8,"",0),$B$9="DISTANCIA",_xlfn.XLOOKUP($S485,DATA!$L$4:$L$8,DATA!$O$4:$O$8,"",0)))</f>
        <v/>
      </c>
      <c r="V485" s="261" t="str">
        <f t="shared" si="14"/>
        <v/>
      </c>
      <c r="W485" s="282"/>
      <c r="X485" s="282"/>
      <c r="Y485" s="282"/>
      <c r="Z485" s="282"/>
      <c r="AA485" s="282"/>
      <c r="AB485" s="284"/>
      <c r="AC485" s="262" t="str">
        <f>IF(AE485="","",COUNTIF($AE$1:AE485,AE485))</f>
        <v/>
      </c>
      <c r="AD485" s="261" t="str">
        <f>IF(J485='PLAN DE ESTUDIO'!$XFD$41,"",IF(AE485="","",AC485&amp;K485&amp;L485&amp;M485))</f>
        <v/>
      </c>
      <c r="AE485" s="261" t="str">
        <f>IF(J485='PLAN DE ESTUDIO'!$XFD$41,"",IF(AF485=1,K485&amp;L485&amp;M485,""))</f>
        <v/>
      </c>
      <c r="AF485" s="261">
        <f>COUNTIF($O$1:O485,$O485)</f>
        <v>0</v>
      </c>
      <c r="AG485" s="285" t="str">
        <f>IF(J485='PLAN DE ESTUDIO'!$XFD$41,"",IF(P485="TP","Teórico-Práctica",IF(P485="T","Teórico",IF(P485="P","Práctica",""))))</f>
        <v/>
      </c>
      <c r="AH485" s="234" t="str">
        <f t="shared" si="15"/>
        <v xml:space="preserve"> </v>
      </c>
    </row>
    <row r="486" spans="10:34" x14ac:dyDescent="0.3">
      <c r="J486" s="412"/>
      <c r="K486" s="232"/>
      <c r="L486" s="232"/>
      <c r="M486" s="232"/>
      <c r="N486" s="412"/>
      <c r="P486" s="231"/>
      <c r="Q486" s="412"/>
      <c r="R486" s="425"/>
      <c r="S486" s="442"/>
      <c r="T486" s="283" t="str" cm="1">
        <f t="array" ref="T486">IF($B$9="","",_xlfn.IFS($B$9="PRESENCIAL",_xlfn.XLOOKUP($S486,DATA!$B$4:$B$8,DATA!$D$4:$D$8,"",0,),$B$9="VIRTUAL",_xlfn.XLOOKUP($S486,DATA!$G$4:$G$8,DATA!$I$4:$I$8,"",0),$B$9="DISTANCIA",_xlfn.XLOOKUP($S486,DATA!$L$4:$L$8,DATA!$N$4:$N$8,"",0)))</f>
        <v/>
      </c>
      <c r="U486" s="283" t="str" cm="1">
        <f t="array" ref="U486">IF($B$9="","",_xlfn.IFS($B$9="PRESENCIAL",_xlfn.XLOOKUP($S486,DATA!$B$4:$B$8,DATA!$E$4:$E$8,"",0,),$B$9="VIRTUAL",_xlfn.XLOOKUP($S486,DATA!$G$4:$G$8,DATA!$J$4:$J$8,"",0),$B$9="DISTANCIA",_xlfn.XLOOKUP($S486,DATA!$L$4:$L$8,DATA!$O$4:$O$8,"",0)))</f>
        <v/>
      </c>
      <c r="V486" s="261" t="str">
        <f t="shared" si="14"/>
        <v/>
      </c>
      <c r="W486" s="282"/>
      <c r="X486" s="282"/>
      <c r="Y486" s="282"/>
      <c r="Z486" s="282"/>
      <c r="AA486" s="282"/>
      <c r="AB486" s="284"/>
      <c r="AC486" s="262" t="str">
        <f>IF(AE486="","",COUNTIF($AE$1:AE486,AE486))</f>
        <v/>
      </c>
      <c r="AD486" s="261" t="str">
        <f>IF(J486='PLAN DE ESTUDIO'!$XFD$41,"",IF(AE486="","",AC486&amp;K486&amp;L486&amp;M486))</f>
        <v/>
      </c>
      <c r="AE486" s="261" t="str">
        <f>IF(J486='PLAN DE ESTUDIO'!$XFD$41,"",IF(AF486=1,K486&amp;L486&amp;M486,""))</f>
        <v/>
      </c>
      <c r="AF486" s="261">
        <f>COUNTIF($O$1:O486,$O486)</f>
        <v>0</v>
      </c>
      <c r="AG486" s="285" t="str">
        <f>IF(J486='PLAN DE ESTUDIO'!$XFD$41,"",IF(P486="TP","Teórico-Práctica",IF(P486="T","Teórico",IF(P486="P","Práctica",""))))</f>
        <v/>
      </c>
      <c r="AH486" s="234" t="str">
        <f t="shared" si="15"/>
        <v xml:space="preserve"> </v>
      </c>
    </row>
    <row r="487" spans="10:34" x14ac:dyDescent="0.3">
      <c r="J487" s="412"/>
      <c r="K487" s="232"/>
      <c r="L487" s="232"/>
      <c r="M487" s="232"/>
      <c r="N487" s="412"/>
      <c r="P487" s="231"/>
      <c r="Q487" s="412"/>
      <c r="R487" s="425"/>
      <c r="S487" s="442"/>
      <c r="T487" s="283" t="str" cm="1">
        <f t="array" ref="T487">IF($B$9="","",_xlfn.IFS($B$9="PRESENCIAL",_xlfn.XLOOKUP($S487,DATA!$B$4:$B$8,DATA!$D$4:$D$8,"",0,),$B$9="VIRTUAL",_xlfn.XLOOKUP($S487,DATA!$G$4:$G$8,DATA!$I$4:$I$8,"",0),$B$9="DISTANCIA",_xlfn.XLOOKUP($S487,DATA!$L$4:$L$8,DATA!$N$4:$N$8,"",0)))</f>
        <v/>
      </c>
      <c r="U487" s="283" t="str" cm="1">
        <f t="array" ref="U487">IF($B$9="","",_xlfn.IFS($B$9="PRESENCIAL",_xlfn.XLOOKUP($S487,DATA!$B$4:$B$8,DATA!$E$4:$E$8,"",0,),$B$9="VIRTUAL",_xlfn.XLOOKUP($S487,DATA!$G$4:$G$8,DATA!$J$4:$J$8,"",0),$B$9="DISTANCIA",_xlfn.XLOOKUP($S487,DATA!$L$4:$L$8,DATA!$O$4:$O$8,"",0)))</f>
        <v/>
      </c>
      <c r="V487" s="261" t="str">
        <f t="shared" si="14"/>
        <v/>
      </c>
      <c r="W487" s="282"/>
      <c r="X487" s="282"/>
      <c r="Y487" s="282"/>
      <c r="Z487" s="282"/>
      <c r="AA487" s="282"/>
      <c r="AB487" s="284"/>
      <c r="AC487" s="262" t="str">
        <f>IF(AE487="","",COUNTIF($AE$1:AE487,AE487))</f>
        <v/>
      </c>
      <c r="AD487" s="261" t="str">
        <f>IF(J487='PLAN DE ESTUDIO'!$XFD$41,"",IF(AE487="","",AC487&amp;K487&amp;L487&amp;M487))</f>
        <v/>
      </c>
      <c r="AE487" s="261" t="str">
        <f>IF(J487='PLAN DE ESTUDIO'!$XFD$41,"",IF(AF487=1,K487&amp;L487&amp;M487,""))</f>
        <v/>
      </c>
      <c r="AF487" s="261">
        <f>COUNTIF($O$1:O487,$O487)</f>
        <v>0</v>
      </c>
      <c r="AG487" s="285" t="str">
        <f>IF(J487='PLAN DE ESTUDIO'!$XFD$41,"",IF(P487="TP","Teórico-Práctica",IF(P487="T","Teórico",IF(P487="P","Práctica",""))))</f>
        <v/>
      </c>
      <c r="AH487" s="234" t="str">
        <f t="shared" si="15"/>
        <v xml:space="preserve"> </v>
      </c>
    </row>
    <row r="488" spans="10:34" x14ac:dyDescent="0.3">
      <c r="J488" s="412"/>
      <c r="K488" s="232"/>
      <c r="L488" s="232"/>
      <c r="M488" s="232"/>
      <c r="N488" s="412"/>
      <c r="P488" s="231"/>
      <c r="Q488" s="412"/>
      <c r="R488" s="425"/>
      <c r="S488" s="442"/>
      <c r="T488" s="283" t="str" cm="1">
        <f t="array" ref="T488">IF($B$9="","",_xlfn.IFS($B$9="PRESENCIAL",_xlfn.XLOOKUP($S488,DATA!$B$4:$B$8,DATA!$D$4:$D$8,"",0,),$B$9="VIRTUAL",_xlfn.XLOOKUP($S488,DATA!$G$4:$G$8,DATA!$I$4:$I$8,"",0),$B$9="DISTANCIA",_xlfn.XLOOKUP($S488,DATA!$L$4:$L$8,DATA!$N$4:$N$8,"",0)))</f>
        <v/>
      </c>
      <c r="U488" s="283" t="str" cm="1">
        <f t="array" ref="U488">IF($B$9="","",_xlfn.IFS($B$9="PRESENCIAL",_xlfn.XLOOKUP($S488,DATA!$B$4:$B$8,DATA!$E$4:$E$8,"",0,),$B$9="VIRTUAL",_xlfn.XLOOKUP($S488,DATA!$G$4:$G$8,DATA!$J$4:$J$8,"",0),$B$9="DISTANCIA",_xlfn.XLOOKUP($S488,DATA!$L$4:$L$8,DATA!$O$4:$O$8,"",0)))</f>
        <v/>
      </c>
      <c r="V488" s="261" t="str">
        <f t="shared" ref="V488:V500" si="16">IF($U488="","",T488+U488)</f>
        <v/>
      </c>
      <c r="W488" s="282"/>
      <c r="X488" s="282"/>
      <c r="Y488" s="282"/>
      <c r="Z488" s="282"/>
      <c r="AA488" s="282"/>
      <c r="AB488" s="284"/>
      <c r="AC488" s="262" t="str">
        <f>IF(AE488="","",COUNTIF($AE$1:AE488,AE488))</f>
        <v/>
      </c>
      <c r="AD488" s="261" t="str">
        <f>IF(J488='PLAN DE ESTUDIO'!$XFD$41,"",IF(AE488="","",AC488&amp;K488&amp;L488&amp;M488))</f>
        <v/>
      </c>
      <c r="AE488" s="261" t="str">
        <f>IF(J488='PLAN DE ESTUDIO'!$XFD$41,"",IF(AF488=1,K488&amp;L488&amp;M488,""))</f>
        <v/>
      </c>
      <c r="AF488" s="261">
        <f>COUNTIF($O$1:O488,$O488)</f>
        <v>0</v>
      </c>
      <c r="AG488" s="285" t="str">
        <f>IF(J488='PLAN DE ESTUDIO'!$XFD$41,"",IF(P488="TP","Teórico-Práctica",IF(P488="T","Teórico",IF(P488="P","Práctica",""))))</f>
        <v/>
      </c>
      <c r="AH488" s="234" t="str">
        <f t="shared" ref="AH488:AH500" si="17">IF(AC488&lt;&gt;1," ",S488)</f>
        <v xml:space="preserve"> </v>
      </c>
    </row>
    <row r="489" spans="10:34" x14ac:dyDescent="0.3">
      <c r="J489" s="412"/>
      <c r="K489" s="232"/>
      <c r="L489" s="232"/>
      <c r="M489" s="232"/>
      <c r="N489" s="412"/>
      <c r="P489" s="231"/>
      <c r="Q489" s="412"/>
      <c r="R489" s="425"/>
      <c r="S489" s="442"/>
      <c r="T489" s="283" t="str" cm="1">
        <f t="array" ref="T489">IF($B$9="","",_xlfn.IFS($B$9="PRESENCIAL",_xlfn.XLOOKUP($S489,DATA!$B$4:$B$8,DATA!$D$4:$D$8,"",0,),$B$9="VIRTUAL",_xlfn.XLOOKUP($S489,DATA!$G$4:$G$8,DATA!$I$4:$I$8,"",0),$B$9="DISTANCIA",_xlfn.XLOOKUP($S489,DATA!$L$4:$L$8,DATA!$N$4:$N$8,"",0)))</f>
        <v/>
      </c>
      <c r="U489" s="283" t="str" cm="1">
        <f t="array" ref="U489">IF($B$9="","",_xlfn.IFS($B$9="PRESENCIAL",_xlfn.XLOOKUP($S489,DATA!$B$4:$B$8,DATA!$E$4:$E$8,"",0,),$B$9="VIRTUAL",_xlfn.XLOOKUP($S489,DATA!$G$4:$G$8,DATA!$J$4:$J$8,"",0),$B$9="DISTANCIA",_xlfn.XLOOKUP($S489,DATA!$L$4:$L$8,DATA!$O$4:$O$8,"",0)))</f>
        <v/>
      </c>
      <c r="V489" s="261" t="str">
        <f t="shared" si="16"/>
        <v/>
      </c>
      <c r="W489" s="282"/>
      <c r="X489" s="282"/>
      <c r="Y489" s="282"/>
      <c r="Z489" s="282"/>
      <c r="AA489" s="282"/>
      <c r="AB489" s="284"/>
      <c r="AC489" s="262" t="str">
        <f>IF(AE489="","",COUNTIF($AE$1:AE489,AE489))</f>
        <v/>
      </c>
      <c r="AD489" s="261" t="str">
        <f>IF(J489='PLAN DE ESTUDIO'!$XFD$41,"",IF(AE489="","",AC489&amp;K489&amp;L489&amp;M489))</f>
        <v/>
      </c>
      <c r="AE489" s="261" t="str">
        <f>IF(J489='PLAN DE ESTUDIO'!$XFD$41,"",IF(AF489=1,K489&amp;L489&amp;M489,""))</f>
        <v/>
      </c>
      <c r="AF489" s="261">
        <f>COUNTIF($O$1:O489,$O489)</f>
        <v>0</v>
      </c>
      <c r="AG489" s="285" t="str">
        <f>IF(J489='PLAN DE ESTUDIO'!$XFD$41,"",IF(P489="TP","Teórico-Práctica",IF(P489="T","Teórico",IF(P489="P","Práctica",""))))</f>
        <v/>
      </c>
      <c r="AH489" s="234" t="str">
        <f t="shared" si="17"/>
        <v xml:space="preserve"> </v>
      </c>
    </row>
    <row r="490" spans="10:34" x14ac:dyDescent="0.3">
      <c r="J490" s="412"/>
      <c r="K490" s="232"/>
      <c r="L490" s="232"/>
      <c r="M490" s="232"/>
      <c r="N490" s="412"/>
      <c r="P490" s="231"/>
      <c r="Q490" s="412"/>
      <c r="R490" s="425"/>
      <c r="S490" s="442"/>
      <c r="T490" s="283" t="str" cm="1">
        <f t="array" ref="T490">IF($B$9="","",_xlfn.IFS($B$9="PRESENCIAL",_xlfn.XLOOKUP($S490,DATA!$B$4:$B$8,DATA!$D$4:$D$8,"",0,),$B$9="VIRTUAL",_xlfn.XLOOKUP($S490,DATA!$G$4:$G$8,DATA!$I$4:$I$8,"",0),$B$9="DISTANCIA",_xlfn.XLOOKUP($S490,DATA!$L$4:$L$8,DATA!$N$4:$N$8,"",0)))</f>
        <v/>
      </c>
      <c r="U490" s="283" t="str" cm="1">
        <f t="array" ref="U490">IF($B$9="","",_xlfn.IFS($B$9="PRESENCIAL",_xlfn.XLOOKUP($S490,DATA!$B$4:$B$8,DATA!$E$4:$E$8,"",0,),$B$9="VIRTUAL",_xlfn.XLOOKUP($S490,DATA!$G$4:$G$8,DATA!$J$4:$J$8,"",0),$B$9="DISTANCIA",_xlfn.XLOOKUP($S490,DATA!$L$4:$L$8,DATA!$O$4:$O$8,"",0)))</f>
        <v/>
      </c>
      <c r="V490" s="261" t="str">
        <f t="shared" si="16"/>
        <v/>
      </c>
      <c r="W490" s="282"/>
      <c r="X490" s="282"/>
      <c r="Y490" s="282"/>
      <c r="Z490" s="282"/>
      <c r="AA490" s="282"/>
      <c r="AB490" s="284"/>
      <c r="AC490" s="262" t="str">
        <f>IF(AE490="","",COUNTIF($AE$1:AE490,AE490))</f>
        <v/>
      </c>
      <c r="AD490" s="261" t="str">
        <f>IF(J490='PLAN DE ESTUDIO'!$XFD$41,"",IF(AE490="","",AC490&amp;K490&amp;L490&amp;M490))</f>
        <v/>
      </c>
      <c r="AE490" s="261" t="str">
        <f>IF(J490='PLAN DE ESTUDIO'!$XFD$41,"",IF(AF490=1,K490&amp;L490&amp;M490,""))</f>
        <v/>
      </c>
      <c r="AF490" s="261">
        <f>COUNTIF($O$1:O490,$O490)</f>
        <v>0</v>
      </c>
      <c r="AG490" s="285" t="str">
        <f>IF(J490='PLAN DE ESTUDIO'!$XFD$41,"",IF(P490="TP","Teórico-Práctica",IF(P490="T","Teórico",IF(P490="P","Práctica",""))))</f>
        <v/>
      </c>
      <c r="AH490" s="234" t="str">
        <f t="shared" si="17"/>
        <v xml:space="preserve"> </v>
      </c>
    </row>
    <row r="491" spans="10:34" x14ac:dyDescent="0.3">
      <c r="J491" s="412"/>
      <c r="K491" s="232"/>
      <c r="L491" s="232"/>
      <c r="M491" s="232"/>
      <c r="N491" s="412"/>
      <c r="P491" s="231"/>
      <c r="Q491" s="412"/>
      <c r="R491" s="425"/>
      <c r="S491" s="442"/>
      <c r="T491" s="283" t="str" cm="1">
        <f t="array" ref="T491">IF($B$9="","",_xlfn.IFS($B$9="PRESENCIAL",_xlfn.XLOOKUP($S491,DATA!$B$4:$B$8,DATA!$D$4:$D$8,"",0,),$B$9="VIRTUAL",_xlfn.XLOOKUP($S491,DATA!$G$4:$G$8,DATA!$I$4:$I$8,"",0),$B$9="DISTANCIA",_xlfn.XLOOKUP($S491,DATA!$L$4:$L$8,DATA!$N$4:$N$8,"",0)))</f>
        <v/>
      </c>
      <c r="U491" s="283" t="str" cm="1">
        <f t="array" ref="U491">IF($B$9="","",_xlfn.IFS($B$9="PRESENCIAL",_xlfn.XLOOKUP($S491,DATA!$B$4:$B$8,DATA!$E$4:$E$8,"",0,),$B$9="VIRTUAL",_xlfn.XLOOKUP($S491,DATA!$G$4:$G$8,DATA!$J$4:$J$8,"",0),$B$9="DISTANCIA",_xlfn.XLOOKUP($S491,DATA!$L$4:$L$8,DATA!$O$4:$O$8,"",0)))</f>
        <v/>
      </c>
      <c r="V491" s="261" t="str">
        <f t="shared" si="16"/>
        <v/>
      </c>
      <c r="W491" s="282"/>
      <c r="X491" s="282"/>
      <c r="Y491" s="282"/>
      <c r="Z491" s="282"/>
      <c r="AA491" s="282"/>
      <c r="AB491" s="284"/>
      <c r="AC491" s="262" t="str">
        <f>IF(AE491="","",COUNTIF($AE$1:AE491,AE491))</f>
        <v/>
      </c>
      <c r="AD491" s="261" t="str">
        <f>IF(J491='PLAN DE ESTUDIO'!$XFD$41,"",IF(AE491="","",AC491&amp;K491&amp;L491&amp;M491))</f>
        <v/>
      </c>
      <c r="AE491" s="261" t="str">
        <f>IF(J491='PLAN DE ESTUDIO'!$XFD$41,"",IF(AF491=1,K491&amp;L491&amp;M491,""))</f>
        <v/>
      </c>
      <c r="AF491" s="261">
        <f>COUNTIF($O$1:O491,$O491)</f>
        <v>0</v>
      </c>
      <c r="AG491" s="285" t="str">
        <f>IF(J491='PLAN DE ESTUDIO'!$XFD$41,"",IF(P491="TP","Teórico-Práctica",IF(P491="T","Teórico",IF(P491="P","Práctica",""))))</f>
        <v/>
      </c>
      <c r="AH491" s="234" t="str">
        <f t="shared" si="17"/>
        <v xml:space="preserve"> </v>
      </c>
    </row>
    <row r="492" spans="10:34" x14ac:dyDescent="0.3">
      <c r="J492" s="412"/>
      <c r="K492" s="232"/>
      <c r="L492" s="232"/>
      <c r="M492" s="232"/>
      <c r="N492" s="412"/>
      <c r="P492" s="231"/>
      <c r="Q492" s="412"/>
      <c r="R492" s="425"/>
      <c r="S492" s="442"/>
      <c r="T492" s="283" t="str" cm="1">
        <f t="array" ref="T492">IF($B$9="","",_xlfn.IFS($B$9="PRESENCIAL",_xlfn.XLOOKUP($S492,DATA!$B$4:$B$8,DATA!$D$4:$D$8,"",0,),$B$9="VIRTUAL",_xlfn.XLOOKUP($S492,DATA!$G$4:$G$8,DATA!$I$4:$I$8,"",0),$B$9="DISTANCIA",_xlfn.XLOOKUP($S492,DATA!$L$4:$L$8,DATA!$N$4:$N$8,"",0)))</f>
        <v/>
      </c>
      <c r="U492" s="283" t="str" cm="1">
        <f t="array" ref="U492">IF($B$9="","",_xlfn.IFS($B$9="PRESENCIAL",_xlfn.XLOOKUP($S492,DATA!$B$4:$B$8,DATA!$E$4:$E$8,"",0,),$B$9="VIRTUAL",_xlfn.XLOOKUP($S492,DATA!$G$4:$G$8,DATA!$J$4:$J$8,"",0),$B$9="DISTANCIA",_xlfn.XLOOKUP($S492,DATA!$L$4:$L$8,DATA!$O$4:$O$8,"",0)))</f>
        <v/>
      </c>
      <c r="V492" s="261" t="str">
        <f t="shared" si="16"/>
        <v/>
      </c>
      <c r="W492" s="282"/>
      <c r="X492" s="282"/>
      <c r="Y492" s="282"/>
      <c r="Z492" s="282"/>
      <c r="AA492" s="282"/>
      <c r="AB492" s="284"/>
      <c r="AC492" s="262" t="str">
        <f>IF(AE492="","",COUNTIF($AE$1:AE492,AE492))</f>
        <v/>
      </c>
      <c r="AD492" s="261" t="str">
        <f>IF(J492='PLAN DE ESTUDIO'!$XFD$41,"",IF(AE492="","",AC492&amp;K492&amp;L492&amp;M492))</f>
        <v/>
      </c>
      <c r="AE492" s="261" t="str">
        <f>IF(J492='PLAN DE ESTUDIO'!$XFD$41,"",IF(AF492=1,K492&amp;L492&amp;M492,""))</f>
        <v/>
      </c>
      <c r="AF492" s="261">
        <f>COUNTIF($O$1:O492,$O492)</f>
        <v>0</v>
      </c>
      <c r="AG492" s="285" t="str">
        <f>IF(J492='PLAN DE ESTUDIO'!$XFD$41,"",IF(P492="TP","Teórico-Práctica",IF(P492="T","Teórico",IF(P492="P","Práctica",""))))</f>
        <v/>
      </c>
      <c r="AH492" s="234" t="str">
        <f t="shared" si="17"/>
        <v xml:space="preserve"> </v>
      </c>
    </row>
    <row r="493" spans="10:34" x14ac:dyDescent="0.3">
      <c r="J493" s="412"/>
      <c r="K493" s="232"/>
      <c r="L493" s="232"/>
      <c r="M493" s="232"/>
      <c r="N493" s="412"/>
      <c r="P493" s="231"/>
      <c r="Q493" s="412"/>
      <c r="R493" s="425"/>
      <c r="S493" s="442"/>
      <c r="T493" s="283" t="str" cm="1">
        <f t="array" ref="T493">IF($B$9="","",_xlfn.IFS($B$9="PRESENCIAL",_xlfn.XLOOKUP($S493,DATA!$B$4:$B$8,DATA!$D$4:$D$8,"",0,),$B$9="VIRTUAL",_xlfn.XLOOKUP($S493,DATA!$G$4:$G$8,DATA!$I$4:$I$8,"",0),$B$9="DISTANCIA",_xlfn.XLOOKUP($S493,DATA!$L$4:$L$8,DATA!$N$4:$N$8,"",0)))</f>
        <v/>
      </c>
      <c r="U493" s="283" t="str" cm="1">
        <f t="array" ref="U493">IF($B$9="","",_xlfn.IFS($B$9="PRESENCIAL",_xlfn.XLOOKUP($S493,DATA!$B$4:$B$8,DATA!$E$4:$E$8,"",0,),$B$9="VIRTUAL",_xlfn.XLOOKUP($S493,DATA!$G$4:$G$8,DATA!$J$4:$J$8,"",0),$B$9="DISTANCIA",_xlfn.XLOOKUP($S493,DATA!$L$4:$L$8,DATA!$O$4:$O$8,"",0)))</f>
        <v/>
      </c>
      <c r="V493" s="261" t="str">
        <f t="shared" si="16"/>
        <v/>
      </c>
      <c r="W493" s="282"/>
      <c r="X493" s="282"/>
      <c r="Y493" s="282"/>
      <c r="Z493" s="282"/>
      <c r="AA493" s="282"/>
      <c r="AB493" s="284"/>
      <c r="AC493" s="262" t="str">
        <f>IF(AE493="","",COUNTIF($AE$1:AE493,AE493))</f>
        <v/>
      </c>
      <c r="AD493" s="261" t="str">
        <f>IF(J493='PLAN DE ESTUDIO'!$XFD$41,"",IF(AE493="","",AC493&amp;K493&amp;L493&amp;M493))</f>
        <v/>
      </c>
      <c r="AE493" s="261" t="str">
        <f>IF(J493='PLAN DE ESTUDIO'!$XFD$41,"",IF(AF493=1,K493&amp;L493&amp;M493,""))</f>
        <v/>
      </c>
      <c r="AF493" s="261">
        <f>COUNTIF($O$1:O493,$O493)</f>
        <v>0</v>
      </c>
      <c r="AG493" s="285" t="str">
        <f>IF(J493='PLAN DE ESTUDIO'!$XFD$41,"",IF(P493="TP","Teórico-Práctica",IF(P493="T","Teórico",IF(P493="P","Práctica",""))))</f>
        <v/>
      </c>
      <c r="AH493" s="234" t="str">
        <f t="shared" si="17"/>
        <v xml:space="preserve"> </v>
      </c>
    </row>
    <row r="494" spans="10:34" x14ac:dyDescent="0.3">
      <c r="J494" s="412"/>
      <c r="K494" s="232"/>
      <c r="L494" s="232"/>
      <c r="M494" s="232"/>
      <c r="N494" s="412"/>
      <c r="P494" s="231"/>
      <c r="Q494" s="412"/>
      <c r="R494" s="425"/>
      <c r="S494" s="442"/>
      <c r="T494" s="283" t="str" cm="1">
        <f t="array" ref="T494">IF($B$9="","",_xlfn.IFS($B$9="PRESENCIAL",_xlfn.XLOOKUP($S494,DATA!$B$4:$B$8,DATA!$D$4:$D$8,"",0,),$B$9="VIRTUAL",_xlfn.XLOOKUP($S494,DATA!$G$4:$G$8,DATA!$I$4:$I$8,"",0),$B$9="DISTANCIA",_xlfn.XLOOKUP($S494,DATA!$L$4:$L$8,DATA!$N$4:$N$8,"",0)))</f>
        <v/>
      </c>
      <c r="U494" s="283" t="str" cm="1">
        <f t="array" ref="U494">IF($B$9="","",_xlfn.IFS($B$9="PRESENCIAL",_xlfn.XLOOKUP($S494,DATA!$B$4:$B$8,DATA!$E$4:$E$8,"",0,),$B$9="VIRTUAL",_xlfn.XLOOKUP($S494,DATA!$G$4:$G$8,DATA!$J$4:$J$8,"",0),$B$9="DISTANCIA",_xlfn.XLOOKUP($S494,DATA!$L$4:$L$8,DATA!$O$4:$O$8,"",0)))</f>
        <v/>
      </c>
      <c r="V494" s="261" t="str">
        <f t="shared" si="16"/>
        <v/>
      </c>
      <c r="W494" s="282"/>
      <c r="X494" s="282"/>
      <c r="Y494" s="282"/>
      <c r="Z494" s="282"/>
      <c r="AA494" s="282"/>
      <c r="AB494" s="284"/>
      <c r="AC494" s="262" t="str">
        <f>IF(AE494="","",COUNTIF($AE$1:AE494,AE494))</f>
        <v/>
      </c>
      <c r="AD494" s="261" t="str">
        <f>IF(J494='PLAN DE ESTUDIO'!$XFD$41,"",IF(AE494="","",AC494&amp;K494&amp;L494&amp;M494))</f>
        <v/>
      </c>
      <c r="AE494" s="261" t="str">
        <f>IF(J494='PLAN DE ESTUDIO'!$XFD$41,"",IF(AF494=1,K494&amp;L494&amp;M494,""))</f>
        <v/>
      </c>
      <c r="AF494" s="261">
        <f>COUNTIF($O$1:O494,$O494)</f>
        <v>0</v>
      </c>
      <c r="AG494" s="285" t="str">
        <f>IF(J494='PLAN DE ESTUDIO'!$XFD$41,"",IF(P494="TP","Teórico-Práctica",IF(P494="T","Teórico",IF(P494="P","Práctica",""))))</f>
        <v/>
      </c>
      <c r="AH494" s="234" t="str">
        <f t="shared" si="17"/>
        <v xml:space="preserve"> </v>
      </c>
    </row>
    <row r="495" spans="10:34" x14ac:dyDescent="0.3">
      <c r="J495" s="412"/>
      <c r="K495" s="232"/>
      <c r="L495" s="232"/>
      <c r="M495" s="232"/>
      <c r="N495" s="412"/>
      <c r="P495" s="231"/>
      <c r="Q495" s="412"/>
      <c r="R495" s="425"/>
      <c r="S495" s="442"/>
      <c r="T495" s="283" t="str" cm="1">
        <f t="array" ref="T495">IF($B$9="","",_xlfn.IFS($B$9="PRESENCIAL",_xlfn.XLOOKUP($S495,DATA!$B$4:$B$8,DATA!$D$4:$D$8,"",0,),$B$9="VIRTUAL",_xlfn.XLOOKUP($S495,DATA!$G$4:$G$8,DATA!$I$4:$I$8,"",0),$B$9="DISTANCIA",_xlfn.XLOOKUP($S495,DATA!$L$4:$L$8,DATA!$N$4:$N$8,"",0)))</f>
        <v/>
      </c>
      <c r="U495" s="283" t="str" cm="1">
        <f t="array" ref="U495">IF($B$9="","",_xlfn.IFS($B$9="PRESENCIAL",_xlfn.XLOOKUP($S495,DATA!$B$4:$B$8,DATA!$E$4:$E$8,"",0,),$B$9="VIRTUAL",_xlfn.XLOOKUP($S495,DATA!$G$4:$G$8,DATA!$J$4:$J$8,"",0),$B$9="DISTANCIA",_xlfn.XLOOKUP($S495,DATA!$L$4:$L$8,DATA!$O$4:$O$8,"",0)))</f>
        <v/>
      </c>
      <c r="V495" s="261" t="str">
        <f t="shared" si="16"/>
        <v/>
      </c>
      <c r="W495" s="282"/>
      <c r="X495" s="282"/>
      <c r="Y495" s="282"/>
      <c r="Z495" s="282"/>
      <c r="AA495" s="282"/>
      <c r="AB495" s="284"/>
      <c r="AC495" s="262" t="str">
        <f>IF(AE495="","",COUNTIF($AE$1:AE495,AE495))</f>
        <v/>
      </c>
      <c r="AD495" s="261" t="str">
        <f>IF(J495='PLAN DE ESTUDIO'!$XFD$41,"",IF(AE495="","",AC495&amp;K495&amp;L495&amp;M495))</f>
        <v/>
      </c>
      <c r="AE495" s="261" t="str">
        <f>IF(J495='PLAN DE ESTUDIO'!$XFD$41,"",IF(AF495=1,K495&amp;L495&amp;M495,""))</f>
        <v/>
      </c>
      <c r="AF495" s="261">
        <f>COUNTIF($O$1:O495,$O495)</f>
        <v>0</v>
      </c>
      <c r="AG495" s="285" t="str">
        <f>IF(J495='PLAN DE ESTUDIO'!$XFD$41,"",IF(P495="TP","Teórico-Práctica",IF(P495="T","Teórico",IF(P495="P","Práctica",""))))</f>
        <v/>
      </c>
      <c r="AH495" s="234" t="str">
        <f t="shared" si="17"/>
        <v xml:space="preserve"> </v>
      </c>
    </row>
    <row r="496" spans="10:34" x14ac:dyDescent="0.3">
      <c r="J496" s="412"/>
      <c r="K496" s="232"/>
      <c r="L496" s="232"/>
      <c r="M496" s="232"/>
      <c r="N496" s="412"/>
      <c r="P496" s="231"/>
      <c r="Q496" s="412"/>
      <c r="R496" s="425"/>
      <c r="S496" s="442"/>
      <c r="T496" s="283" t="str" cm="1">
        <f t="array" ref="T496">IF($B$9="","",_xlfn.IFS($B$9="PRESENCIAL",_xlfn.XLOOKUP($S496,DATA!$B$4:$B$8,DATA!$D$4:$D$8,"",0,),$B$9="VIRTUAL",_xlfn.XLOOKUP($S496,DATA!$G$4:$G$8,DATA!$I$4:$I$8,"",0),$B$9="DISTANCIA",_xlfn.XLOOKUP($S496,DATA!$L$4:$L$8,DATA!$N$4:$N$8,"",0)))</f>
        <v/>
      </c>
      <c r="U496" s="283" t="str" cm="1">
        <f t="array" ref="U496">IF($B$9="","",_xlfn.IFS($B$9="PRESENCIAL",_xlfn.XLOOKUP($S496,DATA!$B$4:$B$8,DATA!$E$4:$E$8,"",0,),$B$9="VIRTUAL",_xlfn.XLOOKUP($S496,DATA!$G$4:$G$8,DATA!$J$4:$J$8,"",0),$B$9="DISTANCIA",_xlfn.XLOOKUP($S496,DATA!$L$4:$L$8,DATA!$O$4:$O$8,"",0)))</f>
        <v/>
      </c>
      <c r="V496" s="261" t="str">
        <f t="shared" si="16"/>
        <v/>
      </c>
      <c r="W496" s="282"/>
      <c r="X496" s="282"/>
      <c r="Y496" s="282"/>
      <c r="Z496" s="282"/>
      <c r="AA496" s="282"/>
      <c r="AB496" s="284"/>
      <c r="AC496" s="262" t="str">
        <f>IF(AE496="","",COUNTIF($AE$1:AE496,AE496))</f>
        <v/>
      </c>
      <c r="AD496" s="261" t="str">
        <f>IF(J496='PLAN DE ESTUDIO'!$XFD$41,"",IF(AE496="","",AC496&amp;K496&amp;L496&amp;M496))</f>
        <v/>
      </c>
      <c r="AE496" s="261" t="str">
        <f>IF(J496='PLAN DE ESTUDIO'!$XFD$41,"",IF(AF496=1,K496&amp;L496&amp;M496,""))</f>
        <v/>
      </c>
      <c r="AF496" s="261">
        <f>COUNTIF($O$1:O496,$O496)</f>
        <v>0</v>
      </c>
      <c r="AG496" s="285" t="str">
        <f>IF(J496='PLAN DE ESTUDIO'!$XFD$41,"",IF(P496="TP","Teórico-Práctica",IF(P496="T","Teórico",IF(P496="P","Práctica",""))))</f>
        <v/>
      </c>
      <c r="AH496" s="234" t="str">
        <f t="shared" si="17"/>
        <v xml:space="preserve"> </v>
      </c>
    </row>
    <row r="497" spans="10:34" x14ac:dyDescent="0.3">
      <c r="J497" s="412"/>
      <c r="K497" s="232"/>
      <c r="L497" s="232"/>
      <c r="M497" s="232"/>
      <c r="N497" s="412"/>
      <c r="P497" s="231"/>
      <c r="Q497" s="412"/>
      <c r="R497" s="425"/>
      <c r="S497" s="442"/>
      <c r="T497" s="283" t="str" cm="1">
        <f t="array" ref="T497">IF($B$9="","",_xlfn.IFS($B$9="PRESENCIAL",_xlfn.XLOOKUP($S497,DATA!$B$4:$B$8,DATA!$D$4:$D$8,"",0,),$B$9="VIRTUAL",_xlfn.XLOOKUP($S497,DATA!$G$4:$G$8,DATA!$I$4:$I$8,"",0),$B$9="DISTANCIA",_xlfn.XLOOKUP($S497,DATA!$L$4:$L$8,DATA!$N$4:$N$8,"",0)))</f>
        <v/>
      </c>
      <c r="U497" s="283" t="str" cm="1">
        <f t="array" ref="U497">IF($B$9="","",_xlfn.IFS($B$9="PRESENCIAL",_xlfn.XLOOKUP($S497,DATA!$B$4:$B$8,DATA!$E$4:$E$8,"",0,),$B$9="VIRTUAL",_xlfn.XLOOKUP($S497,DATA!$G$4:$G$8,DATA!$J$4:$J$8,"",0),$B$9="DISTANCIA",_xlfn.XLOOKUP($S497,DATA!$L$4:$L$8,DATA!$O$4:$O$8,"",0)))</f>
        <v/>
      </c>
      <c r="V497" s="261" t="str">
        <f t="shared" si="16"/>
        <v/>
      </c>
      <c r="W497" s="282"/>
      <c r="X497" s="282"/>
      <c r="Y497" s="282"/>
      <c r="Z497" s="282"/>
      <c r="AA497" s="282"/>
      <c r="AB497" s="284"/>
      <c r="AC497" s="262" t="str">
        <f>IF(AE497="","",COUNTIF($AE$1:AE497,AE497))</f>
        <v/>
      </c>
      <c r="AD497" s="261" t="str">
        <f>IF(J497='PLAN DE ESTUDIO'!$XFD$41,"",IF(AE497="","",AC497&amp;K497&amp;L497&amp;M497))</f>
        <v/>
      </c>
      <c r="AE497" s="261" t="str">
        <f>IF(J497='PLAN DE ESTUDIO'!$XFD$41,"",IF(AF497=1,K497&amp;L497&amp;M497,""))</f>
        <v/>
      </c>
      <c r="AF497" s="261">
        <f>COUNTIF($O$1:O497,$O497)</f>
        <v>0</v>
      </c>
      <c r="AG497" s="285" t="str">
        <f>IF(J497='PLAN DE ESTUDIO'!$XFD$41,"",IF(P497="TP","Teórico-Práctica",IF(P497="T","Teórico",IF(P497="P","Práctica",""))))</f>
        <v/>
      </c>
      <c r="AH497" s="234" t="str">
        <f t="shared" si="17"/>
        <v xml:space="preserve"> </v>
      </c>
    </row>
    <row r="498" spans="10:34" x14ac:dyDescent="0.3">
      <c r="J498" s="412"/>
      <c r="K498" s="232"/>
      <c r="L498" s="232"/>
      <c r="M498" s="232"/>
      <c r="N498" s="412"/>
      <c r="P498" s="231"/>
      <c r="Q498" s="412"/>
      <c r="R498" s="425"/>
      <c r="S498" s="442"/>
      <c r="T498" s="283" t="str" cm="1">
        <f t="array" ref="T498">IF($B$9="","",_xlfn.IFS($B$9="PRESENCIAL",_xlfn.XLOOKUP($S498,DATA!$B$4:$B$8,DATA!$D$4:$D$8,"",0,),$B$9="VIRTUAL",_xlfn.XLOOKUP($S498,DATA!$G$4:$G$8,DATA!$I$4:$I$8,"",0),$B$9="DISTANCIA",_xlfn.XLOOKUP($S498,DATA!$L$4:$L$8,DATA!$N$4:$N$8,"",0)))</f>
        <v/>
      </c>
      <c r="U498" s="283" t="str" cm="1">
        <f t="array" ref="U498">IF($B$9="","",_xlfn.IFS($B$9="PRESENCIAL",_xlfn.XLOOKUP($S498,DATA!$B$4:$B$8,DATA!$E$4:$E$8,"",0,),$B$9="VIRTUAL",_xlfn.XLOOKUP($S498,DATA!$G$4:$G$8,DATA!$J$4:$J$8,"",0),$B$9="DISTANCIA",_xlfn.XLOOKUP($S498,DATA!$L$4:$L$8,DATA!$O$4:$O$8,"",0)))</f>
        <v/>
      </c>
      <c r="V498" s="261" t="str">
        <f t="shared" si="16"/>
        <v/>
      </c>
      <c r="W498" s="282"/>
      <c r="X498" s="282"/>
      <c r="Y498" s="282"/>
      <c r="Z498" s="282"/>
      <c r="AA498" s="282"/>
      <c r="AB498" s="284"/>
      <c r="AC498" s="262" t="str">
        <f>IF(AE498="","",COUNTIF($AE$1:AE498,AE498))</f>
        <v/>
      </c>
      <c r="AD498" s="261" t="str">
        <f>IF(J498='PLAN DE ESTUDIO'!$XFD$41,"",IF(AE498="","",AC498&amp;K498&amp;L498&amp;M498))</f>
        <v/>
      </c>
      <c r="AE498" s="261" t="str">
        <f>IF(J498='PLAN DE ESTUDIO'!$XFD$41,"",IF(AF498=1,K498&amp;L498&amp;M498,""))</f>
        <v/>
      </c>
      <c r="AF498" s="261">
        <f>COUNTIF($O$1:O498,$O498)</f>
        <v>0</v>
      </c>
      <c r="AG498" s="285" t="str">
        <f>IF(J498='PLAN DE ESTUDIO'!$XFD$41,"",IF(P498="TP","Teórico-Práctica",IF(P498="T","Teórico",IF(P498="P","Práctica",""))))</f>
        <v/>
      </c>
      <c r="AH498" s="234" t="str">
        <f t="shared" si="17"/>
        <v xml:space="preserve"> </v>
      </c>
    </row>
    <row r="499" spans="10:34" x14ac:dyDescent="0.3">
      <c r="J499" s="412"/>
      <c r="K499" s="232"/>
      <c r="L499" s="232"/>
      <c r="M499" s="232"/>
      <c r="N499" s="412"/>
      <c r="P499" s="231"/>
      <c r="Q499" s="412"/>
      <c r="R499" s="425"/>
      <c r="S499" s="442"/>
      <c r="T499" s="283" t="str" cm="1">
        <f t="array" ref="T499">IF($B$9="","",_xlfn.IFS($B$9="PRESENCIAL",_xlfn.XLOOKUP($S499,DATA!$B$4:$B$8,DATA!$D$4:$D$8,"",0,),$B$9="VIRTUAL",_xlfn.XLOOKUP($S499,DATA!$G$4:$G$8,DATA!$I$4:$I$8,"",0),$B$9="DISTANCIA",_xlfn.XLOOKUP($S499,DATA!$L$4:$L$8,DATA!$N$4:$N$8,"",0)))</f>
        <v/>
      </c>
      <c r="U499" s="283" t="str" cm="1">
        <f t="array" ref="U499">IF($B$9="","",_xlfn.IFS($B$9="PRESENCIAL",_xlfn.XLOOKUP($S499,DATA!$B$4:$B$8,DATA!$E$4:$E$8,"",0,),$B$9="VIRTUAL",_xlfn.XLOOKUP($S499,DATA!$G$4:$G$8,DATA!$J$4:$J$8,"",0),$B$9="DISTANCIA",_xlfn.XLOOKUP($S499,DATA!$L$4:$L$8,DATA!$O$4:$O$8,"",0)))</f>
        <v/>
      </c>
      <c r="V499" s="261" t="str">
        <f t="shared" si="16"/>
        <v/>
      </c>
      <c r="W499" s="282"/>
      <c r="X499" s="282"/>
      <c r="Y499" s="282"/>
      <c r="Z499" s="282"/>
      <c r="AA499" s="282"/>
      <c r="AB499" s="284"/>
      <c r="AC499" s="262" t="str">
        <f>IF(AE499="","",COUNTIF($AE$1:AE499,AE499))</f>
        <v/>
      </c>
      <c r="AD499" s="261" t="str">
        <f>IF(J499='PLAN DE ESTUDIO'!$XFD$41,"",IF(AE499="","",AC499&amp;K499&amp;L499&amp;M499))</f>
        <v/>
      </c>
      <c r="AE499" s="261" t="str">
        <f>IF(J499='PLAN DE ESTUDIO'!$XFD$41,"",IF(AF499=1,K499&amp;L499&amp;M499,""))</f>
        <v/>
      </c>
      <c r="AF499" s="261">
        <f>COUNTIF($O$1:O499,$O499)</f>
        <v>0</v>
      </c>
      <c r="AG499" s="285" t="str">
        <f>IF(J499='PLAN DE ESTUDIO'!$XFD$41,"",IF(P499="TP","Teórico-Práctica",IF(P499="T","Teórico",IF(P499="P","Práctica",""))))</f>
        <v/>
      </c>
      <c r="AH499" s="234" t="str">
        <f t="shared" si="17"/>
        <v xml:space="preserve"> </v>
      </c>
    </row>
    <row r="500" spans="10:34" x14ac:dyDescent="0.3">
      <c r="J500" s="412"/>
      <c r="K500" s="232"/>
      <c r="L500" s="232"/>
      <c r="M500" s="232"/>
      <c r="N500" s="412"/>
      <c r="P500" s="231"/>
      <c r="Q500" s="412"/>
      <c r="R500" s="425"/>
      <c r="S500" s="442"/>
      <c r="T500" s="283" t="str" cm="1">
        <f t="array" ref="T500">IF($B$9="","",_xlfn.IFS($B$9="PRESENCIAL",_xlfn.XLOOKUP($S500,DATA!$B$4:$B$8,DATA!$D$4:$D$8,"",0,),$B$9="VIRTUAL",_xlfn.XLOOKUP($S500,DATA!$G$4:$G$8,DATA!$I$4:$I$8,"",0),$B$9="DISTANCIA",_xlfn.XLOOKUP($S500,DATA!$L$4:$L$8,DATA!$N$4:$N$8,"",0)))</f>
        <v/>
      </c>
      <c r="U500" s="283" t="str" cm="1">
        <f t="array" ref="U500">IF($B$9="","",_xlfn.IFS($B$9="PRESENCIAL",_xlfn.XLOOKUP($S500,DATA!$B$4:$B$8,DATA!$E$4:$E$8,"",0,),$B$9="VIRTUAL",_xlfn.XLOOKUP($S500,DATA!$G$4:$G$8,DATA!$J$4:$J$8,"",0),$B$9="DISTANCIA",_xlfn.XLOOKUP($S500,DATA!$L$4:$L$8,DATA!$O$4:$O$8,"",0)))</f>
        <v/>
      </c>
      <c r="V500" s="261" t="str">
        <f t="shared" si="16"/>
        <v/>
      </c>
      <c r="W500" s="282"/>
      <c r="X500" s="282"/>
      <c r="Y500" s="282"/>
      <c r="Z500" s="282"/>
      <c r="AA500" s="282"/>
      <c r="AB500" s="284"/>
      <c r="AC500" s="262" t="str">
        <f>IF(AE500="","",COUNTIF($AE$1:AE500,AE500))</f>
        <v/>
      </c>
      <c r="AD500" s="261" t="str">
        <f>IF(J500='PLAN DE ESTUDIO'!$XFD$41,"",IF(AE500="","",AC500&amp;K500&amp;L500&amp;M500))</f>
        <v/>
      </c>
      <c r="AE500" s="261" t="str">
        <f>IF(J500='PLAN DE ESTUDIO'!$XFD$41,"",IF(AF500=1,K500&amp;L500&amp;M500,""))</f>
        <v/>
      </c>
      <c r="AF500" s="261">
        <f>COUNTIF($O$1:O500,$O500)</f>
        <v>0</v>
      </c>
      <c r="AG500" s="285" t="str">
        <f>IF(J500='PLAN DE ESTUDIO'!$XFD$41,"",IF(P500="TP","Teórico-Práctica",IF(P500="T","Teórico",IF(P500="P","Práctica",""))))</f>
        <v/>
      </c>
      <c r="AH500" s="234" t="str">
        <f t="shared" si="17"/>
        <v xml:space="preserve"> </v>
      </c>
    </row>
  </sheetData>
  <sheetProtection algorithmName="SHA-512" hashValue="tYfKLE9BnwabTiUw/tjTsrSmrLGuKhHulh1ZubT4tSAlf0/0CmiqAtflpuAJAKPkKGuY+AXnNhQnNgVbXHaFiw==" saltValue="ET4g6HiUKwkmEmGKLRSk6w==" spinCount="100000" sheet="1" objects="1" scenarios="1"/>
  <mergeCells count="12">
    <mergeCell ref="A33:C33"/>
    <mergeCell ref="E1:G1"/>
    <mergeCell ref="B2:C2"/>
    <mergeCell ref="B9:C9"/>
    <mergeCell ref="A1:C1"/>
    <mergeCell ref="A11:C11"/>
    <mergeCell ref="B8:C8"/>
    <mergeCell ref="B3:C3"/>
    <mergeCell ref="B4:C4"/>
    <mergeCell ref="B5:C5"/>
    <mergeCell ref="B6:C6"/>
    <mergeCell ref="B7:C7"/>
  </mergeCells>
  <phoneticPr fontId="76" type="noConversion"/>
  <conditionalFormatting sqref="F7:F9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G7:G8">
    <cfRule type="cellIs" dxfId="47" priority="17" operator="greaterThanOrEqual">
      <formula>16</formula>
    </cfRule>
  </conditionalFormatting>
  <conditionalFormatting sqref="G9">
    <cfRule type="cellIs" dxfId="46" priority="15" operator="greaterThanOrEqual">
      <formula>28</formula>
    </cfRule>
  </conditionalFormatting>
  <conditionalFormatting sqref="G6">
    <cfRule type="cellIs" dxfId="45" priority="5" operator="greaterThan">
      <formula>157</formula>
    </cfRule>
  </conditionalFormatting>
  <conditionalFormatting sqref="G3">
    <cfRule type="cellIs" dxfId="44" priority="11" operator="greaterThanOrEqual">
      <formula>68</formula>
    </cfRule>
  </conditionalFormatting>
  <conditionalFormatting sqref="G4">
    <cfRule type="cellIs" dxfId="43" priority="9" operator="greaterThanOrEqual">
      <formula>35</formula>
    </cfRule>
  </conditionalFormatting>
  <conditionalFormatting sqref="G5">
    <cfRule type="cellIs" dxfId="42" priority="7" operator="greaterThanOrEqual">
      <formula>57</formula>
    </cfRule>
  </conditionalFormatting>
  <conditionalFormatting sqref="O2:O500">
    <cfRule type="duplicateValues" dxfId="41" priority="21"/>
  </conditionalFormatting>
  <dataValidations count="1">
    <dataValidation type="whole" operator="greaterThan" allowBlank="1" showInputMessage="1" showErrorMessage="1" sqref="Q2:Q500 N2:N500 J2:J500" xr:uid="{CEE79449-C2E8-4C0E-A5E8-D78791C36E73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24F92C12-CAB5-4839-84A0-8D3F516D79B4}">
            <x14:iconSet iconSet="3Symbols" custom="1">
              <x14:cfvo type="percent">
                <xm:f>0</xm:f>
              </x14:cfvo>
              <x14:cfvo type="num">
                <xm:f>16</xm:f>
              </x14:cfvo>
              <x14:cfvo type="num">
                <xm:f>16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G7 G8</xm:sqref>
        </x14:conditionalFormatting>
        <x14:conditionalFormatting xmlns:xm="http://schemas.microsoft.com/office/excel/2006/main">
          <x14:cfRule type="iconSet" priority="16" id="{A0E525DD-C4F2-43F3-A7DF-DE71FFE8CC90}">
            <x14:iconSet iconSet="3Symbols" custom="1">
              <x14:cfvo type="percent">
                <xm:f>0</xm:f>
              </x14:cfvo>
              <x14:cfvo type="num">
                <xm:f>28</xm:f>
              </x14:cfvo>
              <x14:cfvo type="num">
                <xm:f>28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G9</xm:sqref>
        </x14:conditionalFormatting>
        <x14:conditionalFormatting xmlns:xm="http://schemas.microsoft.com/office/excel/2006/main">
          <x14:cfRule type="iconSet" priority="6" id="{0D9A333D-C3BC-4314-8451-B04248F14CCD}">
            <x14:iconSet iconSet="3Symbols" custom="1">
              <x14:cfvo type="percent">
                <xm:f>0</xm:f>
              </x14:cfvo>
              <x14:cfvo type="num">
                <xm:f>157</xm:f>
              </x14:cfvo>
              <x14:cfvo type="num">
                <xm:f>157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G6</xm:sqref>
        </x14:conditionalFormatting>
        <x14:conditionalFormatting xmlns:xm="http://schemas.microsoft.com/office/excel/2006/main">
          <x14:cfRule type="iconSet" priority="13" id="{2E153D23-4F91-4367-BA76-0F7F882219B6}">
            <x14:iconSet iconSet="3Symbols" custom="1">
              <x14:cfvo type="percent">
                <xm:f>0</xm:f>
              </x14:cfvo>
              <x14:cfvo type="num">
                <xm:f>68</xm:f>
              </x14:cfvo>
              <x14:cfvo type="num">
                <xm:f>68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G3</xm:sqref>
        </x14:conditionalFormatting>
        <x14:conditionalFormatting xmlns:xm="http://schemas.microsoft.com/office/excel/2006/main">
          <x14:cfRule type="iconSet" priority="10" id="{960A3920-CBF0-4478-BC52-75A4FF045C50}">
            <x14:iconSet iconSet="3Symbols" custom="1">
              <x14:cfvo type="percent">
                <xm:f>0</xm:f>
              </x14:cfvo>
              <x14:cfvo type="num">
                <xm:f>35</xm:f>
              </x14:cfvo>
              <x14:cfvo type="num">
                <xm:f>35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G4</xm:sqref>
        </x14:conditionalFormatting>
        <x14:conditionalFormatting xmlns:xm="http://schemas.microsoft.com/office/excel/2006/main">
          <x14:cfRule type="iconSet" priority="8" id="{7D254F87-D618-42E0-B284-235907E5967D}">
            <x14:iconSet iconSet="3Symbols" custom="1">
              <x14:cfvo type="percent">
                <xm:f>0</xm:f>
              </x14:cfvo>
              <x14:cfvo type="num">
                <xm:f>57</xm:f>
              </x14:cfvo>
              <x14:cfvo type="num">
                <xm:f>57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43F1891-23B4-4465-A7E6-41CB695B9F7C}">
          <x14:formula1>
            <xm:f>DATA!$J$13:$J$15</xm:f>
          </x14:formula1>
          <xm:sqref>B9</xm:sqref>
        </x14:dataValidation>
        <x14:dataValidation type="list" allowBlank="1" showInputMessage="1" showErrorMessage="1" xr:uid="{8C890695-D374-4795-BB06-FB57F3363E97}">
          <x14:formula1>
            <xm:f>DATA!$B$4:$B$8</xm:f>
          </x14:formula1>
          <xm:sqref>S167:S500</xm:sqref>
        </x14:dataValidation>
        <x14:dataValidation type="list" allowBlank="1" showInputMessage="1" showErrorMessage="1" xr:uid="{68DA5C4B-7C32-4F2D-8A7A-21B099562F7F}">
          <x14:formula1>
            <xm:f>DATA!$F$13:$F$15</xm:f>
          </x14:formula1>
          <xm:sqref>P167:P500</xm:sqref>
        </x14:dataValidation>
        <x14:dataValidation type="list" allowBlank="1" showInputMessage="1" showErrorMessage="1" xr:uid="{038868F1-0731-4073-B23E-5043DBE4E5DF}">
          <x14:formula1>
            <xm:f>DATA!$H$13:$H$14</xm:f>
          </x14:formula1>
          <xm:sqref>B3</xm:sqref>
        </x14:dataValidation>
        <x14:dataValidation type="list" allowBlank="1" showInputMessage="1" showErrorMessage="1" error="ERROR" xr:uid="{BF177105-7599-4F61-B077-AB19B836D8E6}">
          <x14:formula1>
            <xm:f>DATA!$D$13:$D$16</xm:f>
          </x14:formula1>
          <xm:sqref>K167:K500</xm:sqref>
        </x14:dataValidation>
        <x14:dataValidation type="list" allowBlank="1" showInputMessage="1" showErrorMessage="1" xr:uid="{CB46D028-F934-44C6-893A-B30793D98326}">
          <x14:formula1>
            <xm:f>DATA!$B$13:$B$21</xm:f>
          </x14:formula1>
          <xm:sqref>M167:M500 M26:M30</xm:sqref>
        </x14:dataValidation>
        <x14:dataValidation type="list" allowBlank="1" showInputMessage="1" showErrorMessage="1" xr:uid="{873FC1FB-E6D4-485A-AA0D-364C61206AAD}">
          <x14:formula1>
            <xm:f>DATA!$L$13:$L$40</xm:f>
          </x14:formula1>
          <xm:sqref>L167:L500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4A9FF-4042-4B6F-9670-01CF162D492D}">
  <sheetPr codeName="Hoja4">
    <tabColor theme="1" tint="0.14999847407452621"/>
    <outlinePr summaryBelow="0" summaryRight="0"/>
  </sheetPr>
  <dimension ref="A1:BR125"/>
  <sheetViews>
    <sheetView zoomScale="24" zoomScaleNormal="130" workbookViewId="0">
      <selection activeCell="BR116" sqref="BR116"/>
    </sheetView>
  </sheetViews>
  <sheetFormatPr baseColWidth="10" defaultColWidth="15.6640625" defaultRowHeight="15" customHeight="1" x14ac:dyDescent="0.3"/>
  <cols>
    <col min="1" max="2" width="15.6640625" style="5"/>
    <col min="3" max="3" width="45.109375" style="5" bestFit="1" customWidth="1"/>
    <col min="4" max="4" width="15.6640625" style="5" customWidth="1"/>
    <col min="5" max="5" width="56.88671875" style="5" bestFit="1" customWidth="1"/>
    <col min="6" max="7" width="15.6640625" style="5"/>
    <col min="8" max="10" width="22.33203125" style="5" bestFit="1" customWidth="1"/>
    <col min="11" max="11" width="15.6640625" style="5"/>
    <col min="12" max="14" width="22.33203125" style="5" bestFit="1" customWidth="1"/>
    <col min="15" max="15" width="15.6640625" style="5"/>
    <col min="16" max="18" width="22.33203125" style="5" bestFit="1" customWidth="1"/>
    <col min="19" max="19" width="15.6640625" style="5"/>
    <col min="20" max="22" width="22.33203125" style="5" bestFit="1" customWidth="1"/>
    <col min="23" max="23" width="15.6640625" style="5"/>
    <col min="24" max="24" width="34.6640625" style="5" customWidth="1"/>
    <col min="25" max="25" width="16.33203125" style="5" customWidth="1"/>
    <col min="26" max="26" width="35" style="5" customWidth="1"/>
    <col min="27" max="27" width="16.33203125" style="5" customWidth="1"/>
    <col min="28" max="28" width="38.109375" style="5" customWidth="1"/>
    <col min="29" max="31" width="15.6640625" style="5"/>
    <col min="32" max="34" width="22.33203125" style="5" bestFit="1" customWidth="1"/>
    <col min="35" max="35" width="15.6640625" style="5"/>
    <col min="36" max="38" width="22.33203125" style="5" bestFit="1" customWidth="1"/>
    <col min="39" max="39" width="15.6640625" style="5"/>
    <col min="40" max="42" width="0" style="5" hidden="1" customWidth="1"/>
    <col min="43" max="43" width="15.6640625" style="5"/>
    <col min="44" max="44" width="37.33203125" style="5" customWidth="1"/>
    <col min="45" max="45" width="15.6640625" style="5"/>
    <col min="46" max="46" width="36.6640625" style="5" customWidth="1"/>
    <col min="47" max="47" width="15.6640625" style="5"/>
    <col min="48" max="48" width="38.33203125" style="5" customWidth="1"/>
    <col min="49" max="50" width="15.6640625" style="5"/>
    <col min="51" max="51" width="15.6640625" style="5" bestFit="1" customWidth="1"/>
    <col min="52" max="54" width="22.33203125" style="5" bestFit="1" customWidth="1"/>
    <col min="55" max="55" width="15.6640625" style="5"/>
    <col min="56" max="58" width="22.33203125" style="5" bestFit="1" customWidth="1"/>
    <col min="59" max="59" width="15.6640625" style="5"/>
    <col min="60" max="61" width="22.33203125" style="5" bestFit="1" customWidth="1"/>
    <col min="62" max="62" width="15.6640625" style="5" customWidth="1"/>
    <col min="63" max="63" width="15.6640625" style="5"/>
    <col min="64" max="64" width="36.6640625" style="5" customWidth="1"/>
    <col min="65" max="65" width="15.6640625" style="5"/>
    <col min="66" max="66" width="35.6640625" style="5" customWidth="1"/>
    <col min="67" max="67" width="15.6640625" style="5"/>
    <col min="68" max="68" width="40.6640625" style="5" customWidth="1"/>
    <col min="69" max="16384" width="15.6640625" style="5"/>
  </cols>
  <sheetData>
    <row r="1" spans="1:70" ht="14.4" x14ac:dyDescent="0.3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4"/>
      <c r="BQ1" s="2"/>
      <c r="BR1" s="2"/>
    </row>
    <row r="2" spans="1:70" ht="45" customHeight="1" x14ac:dyDescent="0.3">
      <c r="A2" s="2"/>
      <c r="B2" s="592"/>
      <c r="C2" s="593"/>
      <c r="D2" s="593"/>
      <c r="E2" s="593"/>
      <c r="F2" s="607" t="s">
        <v>66</v>
      </c>
      <c r="G2" s="607"/>
      <c r="H2" s="607"/>
      <c r="I2" s="607"/>
      <c r="J2" s="607"/>
      <c r="K2" s="607"/>
      <c r="L2" s="607"/>
      <c r="M2" s="607"/>
      <c r="N2" s="607"/>
      <c r="O2" s="607"/>
      <c r="P2" s="607"/>
      <c r="Q2" s="607"/>
      <c r="R2" s="607"/>
      <c r="S2" s="607"/>
      <c r="T2" s="607"/>
      <c r="U2" s="607"/>
      <c r="V2" s="607"/>
      <c r="W2" s="607"/>
      <c r="X2" s="607"/>
      <c r="Y2" s="607"/>
      <c r="Z2" s="607"/>
      <c r="AA2" s="607"/>
      <c r="AB2" s="607"/>
      <c r="AC2" s="607"/>
      <c r="AD2" s="607"/>
      <c r="AE2" s="607"/>
      <c r="AF2" s="607"/>
      <c r="AG2" s="607"/>
      <c r="AH2" s="607"/>
      <c r="AI2" s="607"/>
      <c r="AJ2" s="607"/>
      <c r="AK2" s="607"/>
      <c r="AL2" s="607"/>
      <c r="AM2" s="607"/>
      <c r="AN2" s="607"/>
      <c r="AO2" s="607"/>
      <c r="AP2" s="607"/>
      <c r="AQ2" s="607"/>
      <c r="AR2" s="607"/>
      <c r="AS2" s="607"/>
      <c r="AT2" s="607"/>
      <c r="AU2" s="607"/>
      <c r="AV2" s="607"/>
      <c r="AW2" s="607"/>
      <c r="AX2" s="607"/>
      <c r="AY2" s="607"/>
      <c r="AZ2" s="607"/>
      <c r="BA2" s="607"/>
      <c r="BB2" s="607"/>
      <c r="BC2" s="607"/>
      <c r="BD2" s="607"/>
      <c r="BE2" s="607"/>
      <c r="BF2" s="607"/>
      <c r="BG2" s="607"/>
      <c r="BH2" s="607"/>
      <c r="BI2" s="607"/>
      <c r="BJ2" s="607" t="s">
        <v>67</v>
      </c>
      <c r="BK2" s="608"/>
      <c r="BL2" s="608"/>
      <c r="BM2" s="608"/>
      <c r="BN2" s="608"/>
      <c r="BO2" s="608"/>
      <c r="BP2" s="608"/>
      <c r="BQ2" s="609"/>
      <c r="BR2" s="2"/>
    </row>
    <row r="3" spans="1:70" ht="45" customHeight="1" x14ac:dyDescent="0.3">
      <c r="A3" s="2"/>
      <c r="B3" s="593"/>
      <c r="C3" s="593"/>
      <c r="D3" s="593"/>
      <c r="E3" s="593"/>
      <c r="F3" s="607"/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607"/>
      <c r="S3" s="607"/>
      <c r="T3" s="607"/>
      <c r="U3" s="607"/>
      <c r="V3" s="607"/>
      <c r="W3" s="607"/>
      <c r="X3" s="607"/>
      <c r="Y3" s="607"/>
      <c r="Z3" s="607"/>
      <c r="AA3" s="607"/>
      <c r="AB3" s="607"/>
      <c r="AC3" s="607"/>
      <c r="AD3" s="607"/>
      <c r="AE3" s="607"/>
      <c r="AF3" s="607"/>
      <c r="AG3" s="607"/>
      <c r="AH3" s="607"/>
      <c r="AI3" s="607"/>
      <c r="AJ3" s="607"/>
      <c r="AK3" s="607"/>
      <c r="AL3" s="607"/>
      <c r="AM3" s="607"/>
      <c r="AN3" s="607"/>
      <c r="AO3" s="607"/>
      <c r="AP3" s="607"/>
      <c r="AQ3" s="607"/>
      <c r="AR3" s="607"/>
      <c r="AS3" s="607"/>
      <c r="AT3" s="607"/>
      <c r="AU3" s="607"/>
      <c r="AV3" s="607"/>
      <c r="AW3" s="607"/>
      <c r="AX3" s="607"/>
      <c r="AY3" s="607"/>
      <c r="AZ3" s="607"/>
      <c r="BA3" s="607"/>
      <c r="BB3" s="607"/>
      <c r="BC3" s="607"/>
      <c r="BD3" s="607"/>
      <c r="BE3" s="607"/>
      <c r="BF3" s="607"/>
      <c r="BG3" s="607"/>
      <c r="BH3" s="607"/>
      <c r="BI3" s="607"/>
      <c r="BJ3" s="607" t="s">
        <v>68</v>
      </c>
      <c r="BK3" s="608"/>
      <c r="BL3" s="608"/>
      <c r="BM3" s="608"/>
      <c r="BN3" s="608"/>
      <c r="BO3" s="608"/>
      <c r="BP3" s="608"/>
      <c r="BQ3" s="609"/>
      <c r="BR3" s="2"/>
    </row>
    <row r="4" spans="1:70" ht="65.25" customHeight="1" x14ac:dyDescent="0.3">
      <c r="A4" s="2"/>
      <c r="B4" s="594"/>
      <c r="C4" s="594"/>
      <c r="D4" s="594"/>
      <c r="E4" s="594"/>
      <c r="F4" s="607"/>
      <c r="G4" s="607"/>
      <c r="H4" s="607"/>
      <c r="I4" s="607"/>
      <c r="J4" s="607"/>
      <c r="K4" s="607"/>
      <c r="L4" s="607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 t="s">
        <v>69</v>
      </c>
      <c r="BK4" s="608"/>
      <c r="BL4" s="608"/>
      <c r="BM4" s="608"/>
      <c r="BN4" s="608"/>
      <c r="BO4" s="608"/>
      <c r="BP4" s="608"/>
      <c r="BQ4" s="609"/>
      <c r="BR4" s="2"/>
    </row>
    <row r="5" spans="1:70" ht="60" x14ac:dyDescent="0.95">
      <c r="A5" s="2"/>
      <c r="B5" s="2"/>
      <c r="C5" s="2"/>
      <c r="D5" s="2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10"/>
      <c r="Y5" s="2"/>
      <c r="Z5" s="11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10"/>
      <c r="AS5" s="11"/>
      <c r="AT5" s="9"/>
      <c r="AU5" s="11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51" customHeight="1" x14ac:dyDescent="0.95">
      <c r="A6" s="12"/>
      <c r="B6" s="595">
        <f>'ASIGNACIÓN ASIGNATURAS'!$B$4</f>
        <v>0</v>
      </c>
      <c r="C6" s="596"/>
      <c r="D6" s="596"/>
      <c r="E6" s="596"/>
      <c r="F6" s="596"/>
      <c r="G6" s="596"/>
      <c r="H6" s="596"/>
      <c r="I6" s="596"/>
      <c r="J6" s="596"/>
      <c r="K6" s="596"/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96"/>
      <c r="AH6" s="596"/>
      <c r="AI6" s="596"/>
      <c r="AJ6" s="596"/>
      <c r="AK6" s="596"/>
      <c r="AL6" s="596"/>
      <c r="AM6" s="596"/>
      <c r="AN6" s="596"/>
      <c r="AO6" s="596"/>
      <c r="AP6" s="596"/>
      <c r="AQ6" s="596"/>
      <c r="AR6" s="596"/>
      <c r="AS6" s="596"/>
      <c r="AT6" s="596"/>
      <c r="AU6" s="596"/>
      <c r="AV6" s="596"/>
      <c r="AW6" s="596"/>
      <c r="AX6" s="596"/>
      <c r="AY6" s="596"/>
      <c r="AZ6" s="596"/>
      <c r="BA6" s="596"/>
      <c r="BB6" s="596"/>
      <c r="BC6" s="596"/>
      <c r="BD6" s="596"/>
      <c r="BE6" s="596"/>
      <c r="BF6" s="596"/>
      <c r="BG6" s="596"/>
      <c r="BH6" s="596"/>
      <c r="BI6" s="596"/>
      <c r="BJ6" s="596"/>
      <c r="BK6" s="596"/>
      <c r="BL6" s="596"/>
      <c r="BM6" s="596"/>
      <c r="BN6" s="596"/>
      <c r="BO6" s="596"/>
      <c r="BP6" s="596"/>
      <c r="BQ6" s="597"/>
      <c r="BR6" s="13"/>
    </row>
    <row r="7" spans="1:70" ht="60.6" thickBot="1" x14ac:dyDescent="1">
      <c r="A7" s="12"/>
      <c r="B7" s="14"/>
      <c r="C7" s="15"/>
      <c r="D7" s="16"/>
      <c r="E7" s="17"/>
      <c r="F7" s="18"/>
      <c r="G7" s="13"/>
      <c r="H7" s="598"/>
      <c r="I7" s="544"/>
      <c r="J7" s="544"/>
      <c r="K7" s="544"/>
      <c r="L7" s="544"/>
      <c r="M7" s="544"/>
      <c r="N7" s="544"/>
      <c r="O7" s="544"/>
      <c r="P7" s="544"/>
      <c r="Q7" s="544"/>
      <c r="R7" s="599"/>
      <c r="S7" s="19"/>
      <c r="T7" s="16"/>
      <c r="U7" s="16"/>
      <c r="V7" s="16"/>
      <c r="W7" s="16"/>
      <c r="X7" s="20"/>
      <c r="Y7" s="21"/>
      <c r="Z7" s="21"/>
      <c r="AA7" s="22"/>
      <c r="AB7" s="23"/>
      <c r="AC7" s="12"/>
      <c r="AD7" s="24"/>
      <c r="AE7" s="13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25"/>
      <c r="AS7" s="23"/>
      <c r="AT7" s="26"/>
      <c r="AU7" s="23"/>
      <c r="AV7" s="23"/>
      <c r="AW7" s="12"/>
      <c r="AX7" s="24"/>
      <c r="AY7" s="16"/>
      <c r="AZ7" s="16"/>
      <c r="BA7" s="16"/>
      <c r="BB7" s="16"/>
      <c r="BC7" s="16"/>
      <c r="BD7" s="16"/>
      <c r="BE7" s="16"/>
      <c r="BF7" s="16"/>
      <c r="BG7" s="27"/>
      <c r="BH7" s="28"/>
      <c r="BI7" s="28"/>
      <c r="BJ7" s="28"/>
      <c r="BK7" s="29"/>
      <c r="BL7" s="20"/>
      <c r="BM7" s="16"/>
      <c r="BN7" s="21"/>
      <c r="BO7" s="16"/>
      <c r="BP7" s="16"/>
      <c r="BQ7" s="18"/>
      <c r="BR7" s="30"/>
    </row>
    <row r="8" spans="1:70" ht="45.6" thickBot="1" x14ac:dyDescent="0.8">
      <c r="A8" s="12"/>
      <c r="B8" s="14"/>
      <c r="C8" s="600" t="s">
        <v>70</v>
      </c>
      <c r="D8" s="601"/>
      <c r="E8" s="602"/>
      <c r="F8" s="18"/>
      <c r="G8" s="31"/>
      <c r="H8" s="600">
        <f>'ASIGNACIÓN ASIGNATURAS'!$B$5</f>
        <v>0</v>
      </c>
      <c r="I8" s="601"/>
      <c r="J8" s="601"/>
      <c r="K8" s="601"/>
      <c r="L8" s="601"/>
      <c r="M8" s="601"/>
      <c r="N8" s="601"/>
      <c r="O8" s="601"/>
      <c r="P8" s="601"/>
      <c r="Q8" s="601"/>
      <c r="R8" s="601"/>
      <c r="S8" s="601"/>
      <c r="T8" s="601"/>
      <c r="U8" s="601"/>
      <c r="V8" s="602"/>
      <c r="W8" s="51"/>
      <c r="X8" s="603" t="s">
        <v>71</v>
      </c>
      <c r="Y8" s="526"/>
      <c r="Z8" s="526"/>
      <c r="AA8" s="526"/>
      <c r="AB8" s="527"/>
      <c r="AC8" s="32"/>
      <c r="AD8" s="33"/>
      <c r="AE8" s="32"/>
      <c r="AF8" s="604">
        <f>'ASIGNACIÓN ASIGNATURAS'!$B$6</f>
        <v>0</v>
      </c>
      <c r="AG8" s="605"/>
      <c r="AH8" s="605"/>
      <c r="AI8" s="605"/>
      <c r="AJ8" s="605"/>
      <c r="AK8" s="605"/>
      <c r="AL8" s="606"/>
      <c r="AM8" s="41"/>
      <c r="AQ8" s="41"/>
      <c r="AR8" s="603" t="s">
        <v>71</v>
      </c>
      <c r="AS8" s="526"/>
      <c r="AT8" s="526"/>
      <c r="AU8" s="526"/>
      <c r="AV8" s="527"/>
      <c r="AW8" s="32"/>
      <c r="AX8" s="33"/>
      <c r="AY8" s="35"/>
      <c r="AZ8" s="600">
        <f>'ASIGNACIÓN ASIGNATURAS'!$B$6</f>
        <v>0</v>
      </c>
      <c r="BA8" s="601"/>
      <c r="BB8" s="601"/>
      <c r="BC8" s="601"/>
      <c r="BD8" s="601"/>
      <c r="BE8" s="601"/>
      <c r="BF8" s="601"/>
      <c r="BG8" s="601"/>
      <c r="BH8" s="601"/>
      <c r="BI8" s="601"/>
      <c r="BJ8" s="602"/>
      <c r="BK8" s="13"/>
      <c r="BL8" s="603" t="s">
        <v>71</v>
      </c>
      <c r="BM8" s="526"/>
      <c r="BN8" s="526"/>
      <c r="BO8" s="526"/>
      <c r="BP8" s="527"/>
      <c r="BQ8" s="36"/>
      <c r="BR8" s="30"/>
    </row>
    <row r="9" spans="1:70" ht="61.2" thickBot="1" x14ac:dyDescent="1.05">
      <c r="A9" s="12"/>
      <c r="B9" s="37"/>
      <c r="C9" s="17"/>
      <c r="D9" s="38"/>
      <c r="E9" s="38"/>
      <c r="F9" s="18"/>
      <c r="G9" s="13"/>
      <c r="H9" s="16"/>
      <c r="I9" s="16"/>
      <c r="J9" s="16"/>
      <c r="K9" s="13"/>
      <c r="L9" s="16"/>
      <c r="M9" s="16"/>
      <c r="N9" s="16"/>
      <c r="O9" s="13"/>
      <c r="P9" s="16"/>
      <c r="Q9" s="16"/>
      <c r="R9" s="16"/>
      <c r="S9" s="39"/>
      <c r="T9" s="16"/>
      <c r="U9" s="16"/>
      <c r="V9" s="16"/>
      <c r="W9" s="13"/>
      <c r="X9" s="20"/>
      <c r="Y9" s="40"/>
      <c r="Z9" s="21"/>
      <c r="AA9" s="13"/>
      <c r="AB9" s="16"/>
      <c r="AC9" s="30"/>
      <c r="AD9" s="24"/>
      <c r="AE9" s="13"/>
      <c r="AF9" s="16"/>
      <c r="AG9" s="16"/>
      <c r="AH9" s="16"/>
      <c r="AI9" s="13"/>
      <c r="AJ9" s="16"/>
      <c r="AK9" s="16"/>
      <c r="AL9" s="16"/>
      <c r="AM9" s="41"/>
      <c r="AN9" s="41"/>
      <c r="AO9" s="41"/>
      <c r="AP9" s="41"/>
      <c r="AQ9" s="30"/>
      <c r="AR9" s="446"/>
      <c r="AS9" s="43"/>
      <c r="AT9" s="26"/>
      <c r="AU9" s="29"/>
      <c r="AV9" s="16"/>
      <c r="AW9" s="30"/>
      <c r="AX9" s="24"/>
      <c r="AY9" s="44"/>
      <c r="AZ9" s="16"/>
      <c r="BA9" s="16"/>
      <c r="BB9" s="16"/>
      <c r="BC9" s="13"/>
      <c r="BD9" s="16"/>
      <c r="BE9" s="16"/>
      <c r="BF9" s="16"/>
      <c r="BG9" s="13"/>
      <c r="BH9" s="16"/>
      <c r="BI9" s="16"/>
      <c r="BJ9" s="16"/>
      <c r="BK9" s="13"/>
      <c r="BL9" s="20"/>
      <c r="BM9" s="13"/>
      <c r="BN9" s="21"/>
      <c r="BO9" s="13"/>
      <c r="BP9" s="16"/>
      <c r="BQ9" s="18"/>
      <c r="BR9" s="30"/>
    </row>
    <row r="10" spans="1:70" s="404" customFormat="1" ht="57" customHeight="1" x14ac:dyDescent="0.3">
      <c r="A10" s="394"/>
      <c r="B10" s="395"/>
      <c r="C10" s="610" t="s">
        <v>72</v>
      </c>
      <c r="D10" s="396"/>
      <c r="E10" s="613" t="s">
        <v>73</v>
      </c>
      <c r="F10" s="397"/>
      <c r="G10" s="398"/>
      <c r="H10" s="614" t="s">
        <v>74</v>
      </c>
      <c r="I10" s="614"/>
      <c r="J10" s="614"/>
      <c r="K10" s="447"/>
      <c r="L10" s="614" t="s">
        <v>75</v>
      </c>
      <c r="M10" s="615"/>
      <c r="N10" s="615"/>
      <c r="O10" s="447"/>
      <c r="P10" s="614" t="s">
        <v>76</v>
      </c>
      <c r="Q10" s="615"/>
      <c r="R10" s="615"/>
      <c r="S10" s="51"/>
      <c r="T10" s="614" t="s">
        <v>77</v>
      </c>
      <c r="U10" s="615"/>
      <c r="V10" s="615"/>
      <c r="W10" s="399"/>
      <c r="X10" s="579" t="s">
        <v>78</v>
      </c>
      <c r="Y10" s="448"/>
      <c r="Z10" s="579" t="s">
        <v>79</v>
      </c>
      <c r="AA10" s="449"/>
      <c r="AB10" s="579" t="s">
        <v>80</v>
      </c>
      <c r="AC10" s="398"/>
      <c r="AD10" s="400"/>
      <c r="AE10" s="398"/>
      <c r="AF10" s="581" t="s">
        <v>81</v>
      </c>
      <c r="AG10" s="580"/>
      <c r="AH10" s="580"/>
      <c r="AI10" s="450"/>
      <c r="AJ10" s="581" t="s">
        <v>82</v>
      </c>
      <c r="AK10" s="580"/>
      <c r="AL10" s="580"/>
      <c r="AM10" s="401"/>
      <c r="AN10" s="583" t="s">
        <v>83</v>
      </c>
      <c r="AO10" s="584"/>
      <c r="AP10" s="585"/>
      <c r="AQ10" s="402"/>
      <c r="AR10" s="579" t="s">
        <v>78</v>
      </c>
      <c r="AS10" s="448"/>
      <c r="AT10" s="579" t="s">
        <v>79</v>
      </c>
      <c r="AU10" s="449"/>
      <c r="AV10" s="579" t="s">
        <v>80</v>
      </c>
      <c r="AW10" s="398"/>
      <c r="AX10" s="400"/>
      <c r="AY10" s="451"/>
      <c r="AZ10" s="581" t="s">
        <v>83</v>
      </c>
      <c r="BA10" s="580"/>
      <c r="BB10" s="580"/>
      <c r="BC10" s="452"/>
      <c r="BD10" s="581" t="s">
        <v>84</v>
      </c>
      <c r="BE10" s="580"/>
      <c r="BF10" s="580"/>
      <c r="BG10" s="452"/>
      <c r="BH10" s="581" t="s">
        <v>85</v>
      </c>
      <c r="BI10" s="580"/>
      <c r="BJ10" s="580"/>
      <c r="BK10" s="453"/>
      <c r="BL10" s="579" t="s">
        <v>78</v>
      </c>
      <c r="BM10" s="448"/>
      <c r="BN10" s="579" t="s">
        <v>79</v>
      </c>
      <c r="BO10" s="449"/>
      <c r="BP10" s="579" t="s">
        <v>80</v>
      </c>
      <c r="BQ10" s="454"/>
      <c r="BR10" s="398"/>
    </row>
    <row r="11" spans="1:70" s="404" customFormat="1" ht="54" customHeight="1" x14ac:dyDescent="0.3">
      <c r="A11" s="394"/>
      <c r="B11" s="395"/>
      <c r="C11" s="611"/>
      <c r="D11" s="405"/>
      <c r="E11" s="611"/>
      <c r="F11" s="403"/>
      <c r="G11" s="398"/>
      <c r="H11" s="614"/>
      <c r="I11" s="614"/>
      <c r="J11" s="614"/>
      <c r="K11" s="455"/>
      <c r="L11" s="615"/>
      <c r="M11" s="616"/>
      <c r="N11" s="615"/>
      <c r="O11" s="455"/>
      <c r="P11" s="615"/>
      <c r="Q11" s="616"/>
      <c r="R11" s="615"/>
      <c r="S11" s="51"/>
      <c r="T11" s="615"/>
      <c r="U11" s="616"/>
      <c r="V11" s="615"/>
      <c r="W11" s="399"/>
      <c r="X11" s="580"/>
      <c r="Y11" s="448"/>
      <c r="Z11" s="580"/>
      <c r="AA11" s="449"/>
      <c r="AB11" s="580"/>
      <c r="AC11" s="398"/>
      <c r="AD11" s="400"/>
      <c r="AE11" s="398"/>
      <c r="AF11" s="580"/>
      <c r="AG11" s="582"/>
      <c r="AH11" s="580"/>
      <c r="AI11" s="456"/>
      <c r="AJ11" s="580"/>
      <c r="AK11" s="582"/>
      <c r="AL11" s="580"/>
      <c r="AM11" s="401"/>
      <c r="AN11" s="586"/>
      <c r="AO11" s="587"/>
      <c r="AP11" s="588"/>
      <c r="AQ11" s="402"/>
      <c r="AR11" s="580"/>
      <c r="AS11" s="448"/>
      <c r="AT11" s="580"/>
      <c r="AU11" s="449"/>
      <c r="AV11" s="580"/>
      <c r="AW11" s="398"/>
      <c r="AX11" s="400"/>
      <c r="AY11" s="451"/>
      <c r="AZ11" s="580"/>
      <c r="BA11" s="582"/>
      <c r="BB11" s="580"/>
      <c r="BC11" s="452"/>
      <c r="BD11" s="580"/>
      <c r="BE11" s="582"/>
      <c r="BF11" s="580"/>
      <c r="BG11" s="452"/>
      <c r="BH11" s="580"/>
      <c r="BI11" s="582"/>
      <c r="BJ11" s="580"/>
      <c r="BK11" s="453"/>
      <c r="BL11" s="580"/>
      <c r="BM11" s="448"/>
      <c r="BN11" s="580"/>
      <c r="BO11" s="449"/>
      <c r="BP11" s="580"/>
      <c r="BQ11" s="454"/>
      <c r="BR11" s="398"/>
    </row>
    <row r="12" spans="1:70" s="404" customFormat="1" ht="54.45" customHeight="1" thickBot="1" x14ac:dyDescent="0.35">
      <c r="A12" s="394"/>
      <c r="B12" s="395"/>
      <c r="C12" s="612"/>
      <c r="D12" s="405"/>
      <c r="E12" s="612"/>
      <c r="F12" s="403"/>
      <c r="G12" s="398"/>
      <c r="H12" s="614"/>
      <c r="I12" s="614"/>
      <c r="J12" s="614"/>
      <c r="K12" s="457"/>
      <c r="L12" s="615"/>
      <c r="M12" s="615"/>
      <c r="N12" s="615"/>
      <c r="O12" s="457"/>
      <c r="P12" s="615"/>
      <c r="Q12" s="615"/>
      <c r="R12" s="615"/>
      <c r="S12" s="51"/>
      <c r="T12" s="615"/>
      <c r="U12" s="615"/>
      <c r="V12" s="615"/>
      <c r="W12" s="399"/>
      <c r="X12" s="580"/>
      <c r="Y12" s="448"/>
      <c r="Z12" s="580"/>
      <c r="AA12" s="449"/>
      <c r="AB12" s="580"/>
      <c r="AC12" s="398"/>
      <c r="AD12" s="400"/>
      <c r="AE12" s="398"/>
      <c r="AF12" s="580"/>
      <c r="AG12" s="580"/>
      <c r="AH12" s="580"/>
      <c r="AI12" s="456"/>
      <c r="AJ12" s="580"/>
      <c r="AK12" s="580"/>
      <c r="AL12" s="580"/>
      <c r="AM12" s="401"/>
      <c r="AN12" s="589"/>
      <c r="AO12" s="590"/>
      <c r="AP12" s="591"/>
      <c r="AQ12" s="402"/>
      <c r="AR12" s="580"/>
      <c r="AS12" s="448"/>
      <c r="AT12" s="580"/>
      <c r="AU12" s="449"/>
      <c r="AV12" s="580"/>
      <c r="AW12" s="398"/>
      <c r="AX12" s="400"/>
      <c r="AY12" s="451"/>
      <c r="AZ12" s="580"/>
      <c r="BA12" s="580"/>
      <c r="BB12" s="580"/>
      <c r="BC12" s="452"/>
      <c r="BD12" s="580"/>
      <c r="BE12" s="580"/>
      <c r="BF12" s="580"/>
      <c r="BG12" s="452"/>
      <c r="BH12" s="580"/>
      <c r="BI12" s="580"/>
      <c r="BJ12" s="580"/>
      <c r="BK12" s="453"/>
      <c r="BL12" s="580"/>
      <c r="BM12" s="448"/>
      <c r="BN12" s="580"/>
      <c r="BO12" s="449"/>
      <c r="BP12" s="580"/>
      <c r="BQ12" s="454"/>
      <c r="BR12" s="398"/>
    </row>
    <row r="13" spans="1:70" ht="61.2" thickBot="1" x14ac:dyDescent="1.05">
      <c r="A13" s="12"/>
      <c r="B13" s="14"/>
      <c r="C13" s="66"/>
      <c r="D13" s="17"/>
      <c r="E13" s="67"/>
      <c r="F13" s="18"/>
      <c r="G13" s="30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21"/>
      <c r="AA13" s="13"/>
      <c r="AB13" s="16"/>
      <c r="AC13" s="30"/>
      <c r="AD13" s="24"/>
      <c r="AE13" s="51"/>
      <c r="AF13" s="51"/>
      <c r="AG13" s="51"/>
      <c r="AH13" s="51"/>
      <c r="AI13" s="51"/>
      <c r="AJ13" s="51"/>
      <c r="AK13" s="51"/>
      <c r="AL13" s="51"/>
      <c r="AM13" s="401"/>
      <c r="AN13" s="401"/>
      <c r="AO13" s="401"/>
      <c r="AP13" s="401"/>
      <c r="AQ13" s="401"/>
      <c r="AR13" s="458"/>
      <c r="AS13" s="73"/>
      <c r="AT13" s="26"/>
      <c r="AU13" s="29"/>
      <c r="AV13" s="16"/>
      <c r="AW13" s="30"/>
      <c r="AX13" s="24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20"/>
      <c r="BM13" s="13"/>
      <c r="BN13" s="21"/>
      <c r="BO13" s="13"/>
      <c r="BP13" s="16"/>
      <c r="BQ13" s="18"/>
      <c r="BR13" s="49"/>
    </row>
    <row r="14" spans="1:70" ht="89.25" customHeight="1" x14ac:dyDescent="0.75">
      <c r="A14" s="12"/>
      <c r="B14" s="14"/>
      <c r="C14" s="568" t="s">
        <v>52</v>
      </c>
      <c r="D14" s="10"/>
      <c r="E14" s="566" t="e">
        <f>'MAPEO MALLA'!E14</f>
        <v>#N/A</v>
      </c>
      <c r="F14" s="18"/>
      <c r="G14" s="30"/>
      <c r="H14" s="504" t="e">
        <f>_xlfn.XLOOKUP('MAPEO MALLA'!H14,'ASIGNACIÓN ASIGNATURAS'!$AD:$AD,'ASIGNACIÓN ASIGNATURAS'!$O:$O,"",0)</f>
        <v>#N/A</v>
      </c>
      <c r="I14" s="504"/>
      <c r="J14" s="504"/>
      <c r="K14" s="51"/>
      <c r="L14" s="504" t="e">
        <f>_xlfn.XLOOKUP('MAPEO MALLA'!L14,'ASIGNACIÓN ASIGNATURAS'!$AD:$AD,'ASIGNACIÓN ASIGNATURAS'!$O:$O,"",0)</f>
        <v>#N/A</v>
      </c>
      <c r="M14" s="504"/>
      <c r="N14" s="504"/>
      <c r="O14" s="51"/>
      <c r="P14" s="504" t="e">
        <f>_xlfn.XLOOKUP('MAPEO MALLA'!P14,'ASIGNACIÓN ASIGNATURAS'!$AD:$AD,'ASIGNACIÓN ASIGNATURAS'!$O:$O,"",0)</f>
        <v>#N/A</v>
      </c>
      <c r="Q14" s="504"/>
      <c r="R14" s="504"/>
      <c r="S14" s="51"/>
      <c r="T14" s="504" t="e">
        <f>_xlfn.XLOOKUP('MAPEO MALLA'!T14,'ASIGNACIÓN ASIGNATURAS'!$AD:$AD,'ASIGNACIÓN ASIGNATURAS'!$O:$O,"",0)</f>
        <v>#N/A</v>
      </c>
      <c r="U14" s="504"/>
      <c r="V14" s="504"/>
      <c r="W14" s="30"/>
      <c r="X14" s="566" t="e">
        <f ca="1">SUMIF('MAPEO MALLA'!$E$14:$E$58,'PLANTILLA MALLA PREGRADO'!$E14,'MAPEO MALLA'!$X$14:$X$57)</f>
        <v>#N/A</v>
      </c>
      <c r="Y14" s="306"/>
      <c r="Z14" s="569" t="e">
        <f>J17+N17+R17+V17+V22+R22+N22+J22+J27+N27+R27+V27+V32+R32+N32+J32+J37+N37+R37+V37+V42+R42+N42+J42+J47+N47+R47+V47+V52+R52+N52+J52+J57+N57+R57+V57+V67+R67+N67+J67+J62+N62+R62+V62</f>
        <v>#N/A</v>
      </c>
      <c r="AA14" s="307"/>
      <c r="AB14" s="572" t="e">
        <f>+Z14/X109</f>
        <v>#N/A</v>
      </c>
      <c r="AC14" s="30"/>
      <c r="AD14" s="24"/>
      <c r="AE14" s="51"/>
      <c r="AF14" s="504" t="e">
        <f>_xlfn.XLOOKUP('MAPEO MALLA'!AF14,'ASIGNACIÓN ASIGNATURAS'!$AD:$AD,'ASIGNACIÓN ASIGNATURAS'!$O:$O,"",0)</f>
        <v>#N/A</v>
      </c>
      <c r="AG14" s="504"/>
      <c r="AH14" s="504"/>
      <c r="AI14" s="51"/>
      <c r="AJ14" s="504" t="e">
        <f>_xlfn.XLOOKUP('MAPEO MALLA'!AJ14,'ASIGNACIÓN ASIGNATURAS'!$AD:$AD,'ASIGNACIÓN ASIGNATURAS'!$O:$O,"",0)</f>
        <v>#N/A</v>
      </c>
      <c r="AK14" s="504"/>
      <c r="AL14" s="504"/>
      <c r="AM14" s="401"/>
      <c r="AN14" s="401" t="e">
        <f>_xlfn.XLOOKUP('MAPEO MALLA'!AN14,'ASIGNACIÓN ASIGNATURAS'!$AD:$AD,'ASIGNACIÓN ASIGNATURAS'!$O:$O,"",0)</f>
        <v>#N/A</v>
      </c>
      <c r="AO14" s="401"/>
      <c r="AP14" s="401"/>
      <c r="AQ14" s="401"/>
      <c r="AR14" s="566" t="e">
        <f ca="1">SUMIF('MAPEO MALLA'!$E$14:$E$58,'PLANTILLA MALLA PREGRADO'!$E14,'MAPEO MALLA'!$AR$14:$AR$57)+X14</f>
        <v>#N/A</v>
      </c>
      <c r="AS14" s="308"/>
      <c r="AT14" s="576" t="e">
        <f>AD17+AH17+AL17+AP17+AP22+AL22+AH22+AD22+AD27+AH27+AL27+AP27+AP32+AL32+AH32+AD32+AD37+AH37+AL37+AP37+AP42+AL42+AH42+AD42+AD47+AH47+AL47+AP47+AP52+AL52+AH52+AD52+AD57+AH57+AL57+AP57+AP62+AL67+AH67+AD62+AH62+AL62+Z14</f>
        <v>#N/A</v>
      </c>
      <c r="AU14" s="307"/>
      <c r="AV14" s="572" t="e">
        <f>+AT14/AR109</f>
        <v>#N/A</v>
      </c>
      <c r="AW14" s="30"/>
      <c r="AX14" s="80"/>
      <c r="AY14" s="51"/>
      <c r="AZ14" s="504" t="e">
        <f>_xlfn.XLOOKUP('MAPEO MALLA'!AZ14,'ASIGNACIÓN ASIGNATURAS'!$AD:$AD,'ASIGNACIÓN ASIGNATURAS'!$O:$O,"",0)</f>
        <v>#N/A</v>
      </c>
      <c r="BA14" s="504"/>
      <c r="BB14" s="504"/>
      <c r="BC14" s="51"/>
      <c r="BD14" s="504" t="e">
        <f>_xlfn.XLOOKUP('MAPEO MALLA'!BD14,'ASIGNACIÓN ASIGNATURAS'!$AD:$AD,'ASIGNACIÓN ASIGNATURAS'!$O:$O,"",0)</f>
        <v>#N/A</v>
      </c>
      <c r="BE14" s="504"/>
      <c r="BF14" s="504"/>
      <c r="BG14" s="51"/>
      <c r="BH14" s="504" t="e">
        <f>_xlfn.XLOOKUP('MAPEO MALLA'!BH14,'ASIGNACIÓN ASIGNATURAS'!$AD:$AD,'ASIGNACIÓN ASIGNATURAS'!$O:$O,"",0)</f>
        <v>#N/A</v>
      </c>
      <c r="BI14" s="504"/>
      <c r="BJ14" s="504"/>
      <c r="BK14" s="30"/>
      <c r="BL14" s="566" t="e">
        <f ca="1">SUMIF('MAPEO MALLA'!$E$14:$E$58,'PLANTILLA MALLA PREGRADO'!$E14,'MAPEO MALLA'!$BL$14:$BL$57)+AR14</f>
        <v>#N/A</v>
      </c>
      <c r="BM14" s="309"/>
      <c r="BN14" s="576" t="e">
        <f>AX17+BB17+BF17+BJ17+BJ22+BF22+BB22+AX22+AX27+BB27+BF27+BJ27+BJ32+BF32+BB32+AX32+AX37+BB37+BF37+BJ37+BJ42+BF42+BB42+AX42+AX47+BB47+BF47+BJ47+BJ52+BF52+BB52+AX52+AX57+BB57+BF57+BJ57+BJ67+BF67+BB67+AX62+BB62+BF62+BJ62+AT14</f>
        <v>#N/A</v>
      </c>
      <c r="BO14" s="309"/>
      <c r="BP14" s="572" t="e">
        <f>BN14/BL109</f>
        <v>#N/A</v>
      </c>
      <c r="BQ14" s="18"/>
      <c r="BR14" s="49"/>
    </row>
    <row r="15" spans="1:70" ht="60.45" customHeight="1" x14ac:dyDescent="0.75">
      <c r="A15" s="12"/>
      <c r="B15" s="14"/>
      <c r="C15" s="568"/>
      <c r="D15" s="10"/>
      <c r="E15" s="566"/>
      <c r="F15" s="18"/>
      <c r="G15" s="30"/>
      <c r="H15" s="505" t="e">
        <f>_xlfn.XLOOKUP('MAPEO MALLA'!H14,'ASIGNACIÓN ASIGNATURAS'!$AD:$AD,'ASIGNACIÓN ASIGNATURAS'!$AG:$AG,"",0)</f>
        <v>#N/A</v>
      </c>
      <c r="I15" s="505"/>
      <c r="J15" s="505"/>
      <c r="K15" s="106"/>
      <c r="L15" s="505" t="e">
        <f>_xlfn.XLOOKUP('MAPEO MALLA'!L14,'ASIGNACIÓN ASIGNATURAS'!$AD:$AD,'ASIGNACIÓN ASIGNATURAS'!$AG:$AG,"",0)</f>
        <v>#N/A</v>
      </c>
      <c r="M15" s="505"/>
      <c r="N15" s="505"/>
      <c r="O15" s="106"/>
      <c r="P15" s="505" t="e">
        <f>_xlfn.XLOOKUP('MAPEO MALLA'!P14,'ASIGNACIÓN ASIGNATURAS'!$AD:$AD,'ASIGNACIÓN ASIGNATURAS'!$AG:$AG,"",0)</f>
        <v>#N/A</v>
      </c>
      <c r="Q15" s="505"/>
      <c r="R15" s="505"/>
      <c r="S15" s="106"/>
      <c r="T15" s="505" t="e">
        <f>_xlfn.XLOOKUP('MAPEO MALLA'!T14,'ASIGNACIÓN ASIGNATURAS'!$AD:$AD,'ASIGNACIÓN ASIGNATURAS'!$AG:$AG,"",0)</f>
        <v>#N/A</v>
      </c>
      <c r="U15" s="505"/>
      <c r="V15" s="505"/>
      <c r="W15" s="30"/>
      <c r="X15" s="566"/>
      <c r="Y15" s="306"/>
      <c r="Z15" s="570"/>
      <c r="AA15" s="307"/>
      <c r="AB15" s="573"/>
      <c r="AC15" s="30"/>
      <c r="AD15" s="24"/>
      <c r="AE15" s="106"/>
      <c r="AF15" s="505" t="e">
        <f>_xlfn.XLOOKUP('MAPEO MALLA'!AF14,'ASIGNACIÓN ASIGNATURAS'!$AD:$AD,'ASIGNACIÓN ASIGNATURAS'!$AG:$AG,"",0)</f>
        <v>#N/A</v>
      </c>
      <c r="AG15" s="505"/>
      <c r="AH15" s="505"/>
      <c r="AI15" s="106"/>
      <c r="AJ15" s="505" t="e">
        <f>_xlfn.XLOOKUP('MAPEO MALLA'!AJ14,'ASIGNACIÓN ASIGNATURAS'!$AD:$AD,'ASIGNACIÓN ASIGNATURAS'!$AG:$AG,"",0)</f>
        <v>#N/A</v>
      </c>
      <c r="AK15" s="505"/>
      <c r="AL15" s="505"/>
      <c r="AM15" s="401"/>
      <c r="AN15" s="401" t="e">
        <f>_xlfn.XLOOKUP('MAPEO MALLA'!AN14,'ASIGNACIÓN ASIGNATURAS'!$AD:$AD,'ASIGNACIÓN ASIGNATURAS'!$AG:$AG,"",0)</f>
        <v>#N/A</v>
      </c>
      <c r="AO15" s="401"/>
      <c r="AP15" s="401"/>
      <c r="AQ15" s="401"/>
      <c r="AR15" s="566"/>
      <c r="AS15" s="308"/>
      <c r="AT15" s="577"/>
      <c r="AU15" s="307"/>
      <c r="AV15" s="573"/>
      <c r="AW15" s="30"/>
      <c r="AX15" s="80"/>
      <c r="AY15" s="106"/>
      <c r="AZ15" s="505" t="e">
        <f>_xlfn.XLOOKUP('MAPEO MALLA'!AZ14,'ASIGNACIÓN ASIGNATURAS'!$AD:$AD,'ASIGNACIÓN ASIGNATURAS'!$AG:$AG,"",0)</f>
        <v>#N/A</v>
      </c>
      <c r="BA15" s="505"/>
      <c r="BB15" s="505"/>
      <c r="BC15" s="106"/>
      <c r="BD15" s="505" t="e">
        <f>_xlfn.XLOOKUP('MAPEO MALLA'!BD14,'ASIGNACIÓN ASIGNATURAS'!$AD:$AD,'ASIGNACIÓN ASIGNATURAS'!$AG:$AG,"",0)</f>
        <v>#N/A</v>
      </c>
      <c r="BE15" s="505"/>
      <c r="BF15" s="505"/>
      <c r="BG15" s="106"/>
      <c r="BH15" s="505" t="e">
        <f>_xlfn.XLOOKUP('MAPEO MALLA'!BH14,'ASIGNACIÓN ASIGNATURAS'!$AD:$AD,'ASIGNACIÓN ASIGNATURAS'!$AG:$AG,"",0)</f>
        <v>#N/A</v>
      </c>
      <c r="BI15" s="505"/>
      <c r="BJ15" s="505"/>
      <c r="BK15" s="30"/>
      <c r="BL15" s="566"/>
      <c r="BM15" s="309"/>
      <c r="BN15" s="577"/>
      <c r="BO15" s="309"/>
      <c r="BP15" s="573"/>
      <c r="BQ15" s="18"/>
      <c r="BR15" s="49"/>
    </row>
    <row r="16" spans="1:70" ht="60.6" x14ac:dyDescent="0.75">
      <c r="A16" s="12"/>
      <c r="B16" s="14"/>
      <c r="C16" s="568"/>
      <c r="D16" s="10"/>
      <c r="E16" s="566"/>
      <c r="F16" s="18"/>
      <c r="G16" s="30"/>
      <c r="H16" s="505"/>
      <c r="I16" s="505"/>
      <c r="J16" s="505"/>
      <c r="K16" s="51"/>
      <c r="L16" s="505"/>
      <c r="M16" s="505"/>
      <c r="N16" s="505"/>
      <c r="O16" s="51"/>
      <c r="P16" s="505"/>
      <c r="Q16" s="505"/>
      <c r="R16" s="505"/>
      <c r="S16" s="51"/>
      <c r="T16" s="505"/>
      <c r="U16" s="505"/>
      <c r="V16" s="505"/>
      <c r="W16" s="30"/>
      <c r="X16" s="566"/>
      <c r="Y16" s="306"/>
      <c r="Z16" s="570"/>
      <c r="AA16" s="307"/>
      <c r="AB16" s="573"/>
      <c r="AC16" s="30"/>
      <c r="AD16" s="24"/>
      <c r="AE16" s="51"/>
      <c r="AF16" s="505"/>
      <c r="AG16" s="505"/>
      <c r="AH16" s="505"/>
      <c r="AI16" s="51"/>
      <c r="AJ16" s="505"/>
      <c r="AK16" s="505"/>
      <c r="AL16" s="505"/>
      <c r="AM16" s="401"/>
      <c r="AN16" s="401"/>
      <c r="AO16" s="401"/>
      <c r="AP16" s="401"/>
      <c r="AQ16" s="401"/>
      <c r="AR16" s="566"/>
      <c r="AS16" s="308"/>
      <c r="AT16" s="577"/>
      <c r="AU16" s="307"/>
      <c r="AV16" s="573"/>
      <c r="AW16" s="30"/>
      <c r="AX16" s="80"/>
      <c r="AY16" s="51"/>
      <c r="AZ16" s="505"/>
      <c r="BA16" s="505"/>
      <c r="BB16" s="505"/>
      <c r="BC16" s="51"/>
      <c r="BD16" s="505"/>
      <c r="BE16" s="505"/>
      <c r="BF16" s="505"/>
      <c r="BG16" s="51"/>
      <c r="BH16" s="505"/>
      <c r="BI16" s="505"/>
      <c r="BJ16" s="505"/>
      <c r="BK16" s="30"/>
      <c r="BL16" s="566"/>
      <c r="BM16" s="309"/>
      <c r="BN16" s="577"/>
      <c r="BO16" s="309"/>
      <c r="BP16" s="573"/>
      <c r="BQ16" s="18"/>
      <c r="BR16" s="49"/>
    </row>
    <row r="17" spans="1:70" ht="32.25" customHeight="1" x14ac:dyDescent="0.75">
      <c r="A17" s="12"/>
      <c r="B17" s="14"/>
      <c r="C17" s="568"/>
      <c r="D17" s="10"/>
      <c r="E17" s="566"/>
      <c r="F17" s="18"/>
      <c r="G17" s="30"/>
      <c r="H17" s="444" t="e">
        <f>_xlfn.XLOOKUP('MAPEO MALLA'!H14,'ASIGNACIÓN ASIGNATURAS'!$AD:$AD,'ASIGNACIÓN ASIGNATURAS'!$T:$T,"",0)</f>
        <v>#N/A</v>
      </c>
      <c r="I17" s="459" t="e">
        <f>_xlfn.XLOOKUP('MAPEO MALLA'!H14,'ASIGNACIÓN ASIGNATURAS'!$AD:$AD,'ASIGNACIÓN ASIGNATURAS'!$U:$U,"",0)</f>
        <v>#N/A</v>
      </c>
      <c r="J17" s="443" t="e">
        <f>IF(H17="",,(H17+I17)/48)</f>
        <v>#N/A</v>
      </c>
      <c r="K17" s="106"/>
      <c r="L17" s="444" t="e">
        <f>_xlfn.XLOOKUP('MAPEO MALLA'!L14,'ASIGNACIÓN ASIGNATURAS'!$AD:$AD,'ASIGNACIÓN ASIGNATURAS'!$T:$T,"",0)</f>
        <v>#N/A</v>
      </c>
      <c r="M17" s="459" t="e">
        <f>_xlfn.XLOOKUP('MAPEO MALLA'!L14,'ASIGNACIÓN ASIGNATURAS'!$AD:$AD,'ASIGNACIÓN ASIGNATURAS'!$U:$U,"",0)</f>
        <v>#N/A</v>
      </c>
      <c r="N17" s="443" t="e">
        <f>IF(L17="",,(L17+M17)/48)</f>
        <v>#N/A</v>
      </c>
      <c r="O17" s="106"/>
      <c r="P17" s="444" t="e">
        <f>_xlfn.XLOOKUP('MAPEO MALLA'!P14,'ASIGNACIÓN ASIGNATURAS'!$AD:$AD,'ASIGNACIÓN ASIGNATURAS'!$T:$T,"",0)</f>
        <v>#N/A</v>
      </c>
      <c r="Q17" s="459" t="e">
        <f>_xlfn.XLOOKUP('MAPEO MALLA'!P14,'ASIGNACIÓN ASIGNATURAS'!$AD:$AD,'ASIGNACIÓN ASIGNATURAS'!$U:$U,"",0)</f>
        <v>#N/A</v>
      </c>
      <c r="R17" s="443" t="e">
        <f>IF(P17="",,(P17+Q17)/48)</f>
        <v>#N/A</v>
      </c>
      <c r="S17" s="106"/>
      <c r="T17" s="444" t="e">
        <f>_xlfn.XLOOKUP('MAPEO MALLA'!T14,'ASIGNACIÓN ASIGNATURAS'!$AD:$AD,'ASIGNACIÓN ASIGNATURAS'!$T:$T,"",0)</f>
        <v>#N/A</v>
      </c>
      <c r="U17" s="459" t="e">
        <f>_xlfn.XLOOKUP('MAPEO MALLA'!T14,'ASIGNACIÓN ASIGNATURAS'!$AD:$AD,'ASIGNACIÓN ASIGNATURAS'!$U:$U,"",0)</f>
        <v>#N/A</v>
      </c>
      <c r="V17" s="443" t="e">
        <f>IF(T17="",,(T17+U17)/48)</f>
        <v>#N/A</v>
      </c>
      <c r="W17" s="30"/>
      <c r="X17" s="566"/>
      <c r="Y17" s="306"/>
      <c r="Z17" s="570"/>
      <c r="AA17" s="307"/>
      <c r="AB17" s="573"/>
      <c r="AC17" s="30"/>
      <c r="AD17" s="24"/>
      <c r="AE17" s="106"/>
      <c r="AF17" s="444" t="e">
        <f>_xlfn.XLOOKUP('MAPEO MALLA'!AF14,'ASIGNACIÓN ASIGNATURAS'!$AD:$AD,'ASIGNACIÓN ASIGNATURAS'!$T:$T,"",0)</f>
        <v>#N/A</v>
      </c>
      <c r="AG17" s="459" t="e">
        <f>_xlfn.XLOOKUP('MAPEO MALLA'!AF14,'ASIGNACIÓN ASIGNATURAS'!$AD:$AD,'ASIGNACIÓN ASIGNATURAS'!$U:$U,"",0)</f>
        <v>#N/A</v>
      </c>
      <c r="AH17" s="443" t="e">
        <f>IF(AF17="",,(AF17+AG17)/48)</f>
        <v>#N/A</v>
      </c>
      <c r="AI17" s="106"/>
      <c r="AJ17" s="444" t="e">
        <f>_xlfn.XLOOKUP('MAPEO MALLA'!AJ14,'ASIGNACIÓN ASIGNATURAS'!$AD:$AD,'ASIGNACIÓN ASIGNATURAS'!$T:$T,"",0)</f>
        <v>#N/A</v>
      </c>
      <c r="AK17" s="459" t="e">
        <f>_xlfn.XLOOKUP('MAPEO MALLA'!AJ14,'ASIGNACIÓN ASIGNATURAS'!$AD:$AD,'ASIGNACIÓN ASIGNATURAS'!$U:$U,"",0)</f>
        <v>#N/A</v>
      </c>
      <c r="AL17" s="443" t="e">
        <f>IF(AJ17="",,(AJ17+AK17)/48)</f>
        <v>#N/A</v>
      </c>
      <c r="AM17" s="401"/>
      <c r="AN17" s="83" t="e">
        <f>_xlfn.XLOOKUP('MAPEO MALLA'!AN14,'ASIGNACIÓN ASIGNATURAS'!$AD:$AD,'ASIGNACIÓN ASIGNATURAS'!$T:$T,"",0)</f>
        <v>#N/A</v>
      </c>
      <c r="AO17" s="84" t="e">
        <f>_xlfn.XLOOKUP('MAPEO MALLA'!AN14,'ASIGNACIÓN ASIGNATURAS'!$AD:$AD,'ASIGNACIÓN ASIGNATURAS'!$U:$U,"",0)</f>
        <v>#N/A</v>
      </c>
      <c r="AP17" s="85" t="e">
        <f>IF(AN17="",,(AN17+AO17)/48)</f>
        <v>#N/A</v>
      </c>
      <c r="AQ17" s="30"/>
      <c r="AR17" s="566"/>
      <c r="AS17" s="308"/>
      <c r="AT17" s="577"/>
      <c r="AU17" s="307"/>
      <c r="AV17" s="573"/>
      <c r="AW17" s="30"/>
      <c r="AX17" s="80"/>
      <c r="AY17" s="106"/>
      <c r="AZ17" s="444" t="e">
        <f>_xlfn.XLOOKUP('MAPEO MALLA'!AZ14,'ASIGNACIÓN ASIGNATURAS'!$AD:$AD,'ASIGNACIÓN ASIGNATURAS'!$T:$T,"",0)</f>
        <v>#N/A</v>
      </c>
      <c r="BA17" s="459" t="e">
        <f>_xlfn.XLOOKUP('MAPEO MALLA'!AZ14,'ASIGNACIÓN ASIGNATURAS'!$AD:$AD,'ASIGNACIÓN ASIGNATURAS'!$U:$U,"",0)</f>
        <v>#N/A</v>
      </c>
      <c r="BB17" s="443" t="e">
        <f>IF(AZ17="",,(AZ17+BA17)/48)</f>
        <v>#N/A</v>
      </c>
      <c r="BC17" s="106"/>
      <c r="BD17" s="444" t="e">
        <f>_xlfn.XLOOKUP('MAPEO MALLA'!BD14,'ASIGNACIÓN ASIGNATURAS'!$AD:$AD,'ASIGNACIÓN ASIGNATURAS'!$T:$T,"",0)</f>
        <v>#N/A</v>
      </c>
      <c r="BE17" s="459" t="e">
        <f>_xlfn.XLOOKUP('MAPEO MALLA'!BD14,'ASIGNACIÓN ASIGNATURAS'!$AD:$AD,'ASIGNACIÓN ASIGNATURAS'!$U:$U,"",0)</f>
        <v>#N/A</v>
      </c>
      <c r="BF17" s="443" t="e">
        <f>IF(BD17="",,(BD17+BE17)/48)</f>
        <v>#N/A</v>
      </c>
      <c r="BG17" s="106"/>
      <c r="BH17" s="444" t="e">
        <f>_xlfn.XLOOKUP('MAPEO MALLA'!BH14,'ASIGNACIÓN ASIGNATURAS'!$AD:$AD,'ASIGNACIÓN ASIGNATURAS'!$T:$T,"",0)</f>
        <v>#N/A</v>
      </c>
      <c r="BI17" s="459" t="e">
        <f>_xlfn.XLOOKUP('MAPEO MALLA'!BH14,'ASIGNACIÓN ASIGNATURAS'!$AD:$AD,'ASIGNACIÓN ASIGNATURAS'!$U:$U,"",0)</f>
        <v>#N/A</v>
      </c>
      <c r="BJ17" s="443" t="e">
        <f>IF(BH17="",,(BH17+BI17)/48)</f>
        <v>#N/A</v>
      </c>
      <c r="BK17" s="30"/>
      <c r="BL17" s="566"/>
      <c r="BM17" s="309"/>
      <c r="BN17" s="577"/>
      <c r="BO17" s="309"/>
      <c r="BP17" s="573"/>
      <c r="BQ17" s="18"/>
      <c r="BR17" s="49"/>
    </row>
    <row r="18" spans="1:70" ht="60.6" x14ac:dyDescent="0.75">
      <c r="A18" s="12"/>
      <c r="B18" s="14"/>
      <c r="C18" s="568"/>
      <c r="D18" s="10"/>
      <c r="E18" s="429"/>
      <c r="F18" s="18"/>
      <c r="G18" s="30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306"/>
      <c r="Z18" s="570"/>
      <c r="AA18" s="307"/>
      <c r="AB18" s="573"/>
      <c r="AC18" s="30"/>
      <c r="AD18" s="24"/>
      <c r="AE18" s="51"/>
      <c r="AF18" s="51"/>
      <c r="AG18" s="51"/>
      <c r="AH18" s="51"/>
      <c r="AI18" s="51"/>
      <c r="AJ18" s="51"/>
      <c r="AK18" s="51"/>
      <c r="AL18" s="51"/>
      <c r="AM18" s="51"/>
      <c r="AN18" s="88"/>
      <c r="AO18" s="88"/>
      <c r="AP18" s="88"/>
      <c r="AQ18" s="12"/>
      <c r="AR18" s="70"/>
      <c r="AS18" s="308"/>
      <c r="AT18" s="577"/>
      <c r="AU18" s="307"/>
      <c r="AV18" s="573"/>
      <c r="AW18" s="30"/>
      <c r="AX18" s="24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70"/>
      <c r="BM18" s="309"/>
      <c r="BN18" s="577"/>
      <c r="BO18" s="309"/>
      <c r="BP18" s="573"/>
      <c r="BQ18" s="18"/>
      <c r="BR18" s="49"/>
    </row>
    <row r="19" spans="1:70" ht="115.5" customHeight="1" x14ac:dyDescent="0.75">
      <c r="A19" s="12"/>
      <c r="B19" s="14"/>
      <c r="C19" s="568"/>
      <c r="D19" s="10"/>
      <c r="E19" s="566" t="e">
        <f>'MAPEO MALLA'!E19</f>
        <v>#N/A</v>
      </c>
      <c r="F19" s="18"/>
      <c r="G19" s="30"/>
      <c r="H19" s="504" t="e">
        <f>_xlfn.XLOOKUP('MAPEO MALLA'!H19,'ASIGNACIÓN ASIGNATURAS'!$AD:$AD,'ASIGNACIÓN ASIGNATURAS'!$O:$O,"",0)</f>
        <v>#N/A</v>
      </c>
      <c r="I19" s="504"/>
      <c r="J19" s="504"/>
      <c r="K19" s="51"/>
      <c r="L19" s="504" t="e">
        <f>_xlfn.XLOOKUP('MAPEO MALLA'!L19,'ASIGNACIÓN ASIGNATURAS'!$AD:$AD,'ASIGNACIÓN ASIGNATURAS'!$O:$O,"",0)</f>
        <v>#N/A</v>
      </c>
      <c r="M19" s="504"/>
      <c r="N19" s="504"/>
      <c r="O19" s="51"/>
      <c r="P19" s="504" t="e">
        <f>_xlfn.XLOOKUP('MAPEO MALLA'!P19,'ASIGNACIÓN ASIGNATURAS'!$AD:$AD,'ASIGNACIÓN ASIGNATURAS'!$O:$O,"",0)</f>
        <v>#N/A</v>
      </c>
      <c r="Q19" s="504"/>
      <c r="R19" s="504"/>
      <c r="S19" s="51"/>
      <c r="T19" s="504" t="e">
        <f>_xlfn.XLOOKUP('MAPEO MALLA'!T19,'ASIGNACIÓN ASIGNATURAS'!$AD:$AD,'ASIGNACIÓN ASIGNATURAS'!$O:$O,"",0)</f>
        <v>#N/A</v>
      </c>
      <c r="U19" s="504"/>
      <c r="V19" s="504"/>
      <c r="W19" s="30"/>
      <c r="X19" s="566" t="e">
        <f ca="1">SUMIF('MAPEO MALLA'!$E$14:$E$58,'PLANTILLA MALLA PREGRADO'!$E19,'MAPEO MALLA'!$X$14:$X$57)</f>
        <v>#N/A</v>
      </c>
      <c r="Y19" s="306"/>
      <c r="Z19" s="570"/>
      <c r="AA19" s="307"/>
      <c r="AB19" s="573"/>
      <c r="AC19" s="30"/>
      <c r="AD19" s="24"/>
      <c r="AE19" s="51"/>
      <c r="AF19" s="504" t="e">
        <f>_xlfn.XLOOKUP('MAPEO MALLA'!AF19,'ASIGNACIÓN ASIGNATURAS'!$AD:$AD,'ASIGNACIÓN ASIGNATURAS'!$O:$O,"",0)</f>
        <v>#N/A</v>
      </c>
      <c r="AG19" s="504"/>
      <c r="AH19" s="504"/>
      <c r="AI19" s="51"/>
      <c r="AJ19" s="504" t="e">
        <f>_xlfn.XLOOKUP('MAPEO MALLA'!AJ19,'ASIGNACIÓN ASIGNATURAS'!$AD:$AD,'ASIGNACIÓN ASIGNATURAS'!$O:$O,"",0)</f>
        <v>#N/A</v>
      </c>
      <c r="AK19" s="504"/>
      <c r="AL19" s="504"/>
      <c r="AM19" s="30"/>
      <c r="AN19" s="553" t="e">
        <f>_xlfn.XLOOKUP('MAPEO MALLA'!AN19,'ASIGNACIÓN ASIGNATURAS'!$AD:$AD,'ASIGNACIÓN ASIGNATURAS'!$O:$O,"",0)</f>
        <v>#N/A</v>
      </c>
      <c r="AO19" s="554"/>
      <c r="AP19" s="555"/>
      <c r="AQ19" s="12"/>
      <c r="AR19" s="566" t="e">
        <f ca="1">SUMIF('MAPEO MALLA'!$E$14:$E$58,'PLANTILLA MALLA PREGRADO'!$E19,'MAPEO MALLA'!$AR$14:$AR$57)+X19</f>
        <v>#N/A</v>
      </c>
      <c r="AS19" s="308"/>
      <c r="AT19" s="577"/>
      <c r="AU19" s="307"/>
      <c r="AV19" s="573"/>
      <c r="AW19" s="30"/>
      <c r="AX19" s="91"/>
      <c r="AY19" s="51"/>
      <c r="AZ19" s="504" t="e">
        <f>_xlfn.XLOOKUP('MAPEO MALLA'!AZ19,'ASIGNACIÓN ASIGNATURAS'!$AD:$AD,'ASIGNACIÓN ASIGNATURAS'!$O:$O,"",0)</f>
        <v>#N/A</v>
      </c>
      <c r="BA19" s="504"/>
      <c r="BB19" s="504"/>
      <c r="BC19" s="51"/>
      <c r="BD19" s="504" t="e">
        <f>_xlfn.XLOOKUP('MAPEO MALLA'!BD19,'ASIGNACIÓN ASIGNATURAS'!$AD:$AD,'ASIGNACIÓN ASIGNATURAS'!$O:$O,"",0)</f>
        <v>#N/A</v>
      </c>
      <c r="BE19" s="504"/>
      <c r="BF19" s="504"/>
      <c r="BG19" s="51"/>
      <c r="BH19" s="504" t="e">
        <f>_xlfn.XLOOKUP('MAPEO MALLA'!BH19,'ASIGNACIÓN ASIGNATURAS'!$AD:$AD,'ASIGNACIÓN ASIGNATURAS'!$O:$O,"",0)</f>
        <v>#N/A</v>
      </c>
      <c r="BI19" s="504"/>
      <c r="BJ19" s="504"/>
      <c r="BK19" s="30"/>
      <c r="BL19" s="566" t="e">
        <f ca="1">SUMIF('MAPEO MALLA'!$E$14:$E$58,'PLANTILLA MALLA PREGRADO'!$E19,'MAPEO MALLA'!$BL$14:$BL$57)+AR19</f>
        <v>#N/A</v>
      </c>
      <c r="BM19" s="309"/>
      <c r="BN19" s="577"/>
      <c r="BO19" s="309"/>
      <c r="BP19" s="573"/>
      <c r="BQ19" s="18"/>
      <c r="BR19" s="49"/>
    </row>
    <row r="20" spans="1:70" ht="60.45" customHeight="1" x14ac:dyDescent="0.75">
      <c r="A20" s="12"/>
      <c r="B20" s="14"/>
      <c r="C20" s="568"/>
      <c r="D20" s="10"/>
      <c r="E20" s="566"/>
      <c r="F20" s="18"/>
      <c r="G20" s="30"/>
      <c r="H20" s="505" t="e">
        <f>_xlfn.XLOOKUP('MAPEO MALLA'!H19,'ASIGNACIÓN ASIGNATURAS'!$AD:$AD,'ASIGNACIÓN ASIGNATURAS'!$AG:$AG,"",0)</f>
        <v>#N/A</v>
      </c>
      <c r="I20" s="505"/>
      <c r="J20" s="505"/>
      <c r="K20" s="106"/>
      <c r="L20" s="505" t="e">
        <f>_xlfn.XLOOKUP('MAPEO MALLA'!L19,'ASIGNACIÓN ASIGNATURAS'!$AD:$AD,'ASIGNACIÓN ASIGNATURAS'!$AG:$AG,"",0)</f>
        <v>#N/A</v>
      </c>
      <c r="M20" s="505"/>
      <c r="N20" s="505"/>
      <c r="O20" s="106"/>
      <c r="P20" s="505" t="e">
        <f>_xlfn.XLOOKUP('MAPEO MALLA'!P19,'ASIGNACIÓN ASIGNATURAS'!$AD:$AD,'ASIGNACIÓN ASIGNATURAS'!$AG:$AG,"",0)</f>
        <v>#N/A</v>
      </c>
      <c r="Q20" s="505"/>
      <c r="R20" s="505"/>
      <c r="S20" s="106"/>
      <c r="T20" s="505" t="e">
        <f>_xlfn.XLOOKUP('MAPEO MALLA'!T19,'ASIGNACIÓN ASIGNATURAS'!$AD:$AD,'ASIGNACIÓN ASIGNATURAS'!$AG:$AG,"",0)</f>
        <v>#N/A</v>
      </c>
      <c r="U20" s="505"/>
      <c r="V20" s="505"/>
      <c r="W20" s="30"/>
      <c r="X20" s="566"/>
      <c r="Y20" s="306"/>
      <c r="Z20" s="570"/>
      <c r="AA20" s="307"/>
      <c r="AB20" s="573"/>
      <c r="AC20" s="30"/>
      <c r="AD20" s="24"/>
      <c r="AE20" s="106"/>
      <c r="AF20" s="505" t="e">
        <f>_xlfn.XLOOKUP('MAPEO MALLA'!AF19,'ASIGNACIÓN ASIGNATURAS'!$AD:$AD,'ASIGNACIÓN ASIGNATURAS'!$AG:$AG,"",0)</f>
        <v>#N/A</v>
      </c>
      <c r="AG20" s="505"/>
      <c r="AH20" s="505"/>
      <c r="AI20" s="106"/>
      <c r="AJ20" s="505" t="e">
        <f>_xlfn.XLOOKUP('MAPEO MALLA'!AJ19,'ASIGNACIÓN ASIGNATURAS'!$AD:$AD,'ASIGNACIÓN ASIGNATURAS'!$AG:$AG,"",0)</f>
        <v>#N/A</v>
      </c>
      <c r="AK20" s="505"/>
      <c r="AL20" s="505"/>
      <c r="AM20" s="30"/>
      <c r="AN20" s="556" t="e">
        <f>_xlfn.XLOOKUP('MAPEO MALLA'!AN19,'ASIGNACIÓN ASIGNATURAS'!$AD:$AD,'ASIGNACIÓN ASIGNATURAS'!$AG:$AG,"",0)</f>
        <v>#N/A</v>
      </c>
      <c r="AO20" s="557"/>
      <c r="AP20" s="558"/>
      <c r="AQ20" s="12"/>
      <c r="AR20" s="566"/>
      <c r="AS20" s="308"/>
      <c r="AT20" s="577"/>
      <c r="AU20" s="307"/>
      <c r="AV20" s="573"/>
      <c r="AW20" s="30"/>
      <c r="AX20" s="24"/>
      <c r="AY20" s="106"/>
      <c r="AZ20" s="505" t="e">
        <f>_xlfn.XLOOKUP('MAPEO MALLA'!AZ19,'ASIGNACIÓN ASIGNATURAS'!$AD:$AD,'ASIGNACIÓN ASIGNATURAS'!$AG:$AG,"",0)</f>
        <v>#N/A</v>
      </c>
      <c r="BA20" s="505"/>
      <c r="BB20" s="505"/>
      <c r="BC20" s="106"/>
      <c r="BD20" s="505" t="e">
        <f>_xlfn.XLOOKUP('MAPEO MALLA'!BD19,'ASIGNACIÓN ASIGNATURAS'!$AD:$AD,'ASIGNACIÓN ASIGNATURAS'!$AG:$AG,"",0)</f>
        <v>#N/A</v>
      </c>
      <c r="BE20" s="505"/>
      <c r="BF20" s="505"/>
      <c r="BG20" s="106"/>
      <c r="BH20" s="505" t="e">
        <f>_xlfn.XLOOKUP('MAPEO MALLA'!BH19,'ASIGNACIÓN ASIGNATURAS'!$AD:$AD,'ASIGNACIÓN ASIGNATURAS'!$AG:$AG,"",0)</f>
        <v>#N/A</v>
      </c>
      <c r="BI20" s="505"/>
      <c r="BJ20" s="505"/>
      <c r="BK20" s="30"/>
      <c r="BL20" s="566"/>
      <c r="BM20" s="309"/>
      <c r="BN20" s="577"/>
      <c r="BO20" s="309"/>
      <c r="BP20" s="573"/>
      <c r="BQ20" s="18"/>
      <c r="BR20" s="49"/>
    </row>
    <row r="21" spans="1:70" ht="60.6" x14ac:dyDescent="0.75">
      <c r="A21" s="12"/>
      <c r="B21" s="14"/>
      <c r="C21" s="568"/>
      <c r="D21" s="10"/>
      <c r="E21" s="566"/>
      <c r="F21" s="18"/>
      <c r="G21" s="30"/>
      <c r="H21" s="505"/>
      <c r="I21" s="505"/>
      <c r="J21" s="505"/>
      <c r="K21" s="51"/>
      <c r="L21" s="505"/>
      <c r="M21" s="505"/>
      <c r="N21" s="505"/>
      <c r="O21" s="51"/>
      <c r="P21" s="505"/>
      <c r="Q21" s="505"/>
      <c r="R21" s="505"/>
      <c r="S21" s="51"/>
      <c r="T21" s="505"/>
      <c r="U21" s="505"/>
      <c r="V21" s="505"/>
      <c r="W21" s="30"/>
      <c r="X21" s="566"/>
      <c r="Y21" s="306"/>
      <c r="Z21" s="570"/>
      <c r="AA21" s="307"/>
      <c r="AB21" s="573"/>
      <c r="AC21" s="30"/>
      <c r="AD21" s="24"/>
      <c r="AE21" s="51"/>
      <c r="AF21" s="505"/>
      <c r="AG21" s="505"/>
      <c r="AH21" s="505"/>
      <c r="AI21" s="51"/>
      <c r="AJ21" s="505"/>
      <c r="AK21" s="505"/>
      <c r="AL21" s="505"/>
      <c r="AM21" s="30"/>
      <c r="AN21" s="559"/>
      <c r="AO21" s="560"/>
      <c r="AP21" s="561"/>
      <c r="AQ21" s="12"/>
      <c r="AR21" s="566"/>
      <c r="AS21" s="308"/>
      <c r="AT21" s="577"/>
      <c r="AU21" s="307"/>
      <c r="AV21" s="573"/>
      <c r="AW21" s="30"/>
      <c r="AX21" s="94"/>
      <c r="AY21" s="51"/>
      <c r="AZ21" s="505"/>
      <c r="BA21" s="505"/>
      <c r="BB21" s="505"/>
      <c r="BC21" s="51"/>
      <c r="BD21" s="505"/>
      <c r="BE21" s="505"/>
      <c r="BF21" s="505"/>
      <c r="BG21" s="51"/>
      <c r="BH21" s="505"/>
      <c r="BI21" s="505"/>
      <c r="BJ21" s="505"/>
      <c r="BK21" s="30"/>
      <c r="BL21" s="566"/>
      <c r="BM21" s="309"/>
      <c r="BN21" s="577"/>
      <c r="BO21" s="309"/>
      <c r="BP21" s="573"/>
      <c r="BQ21" s="18"/>
      <c r="BR21" s="49"/>
    </row>
    <row r="22" spans="1:70" ht="27.75" customHeight="1" x14ac:dyDescent="0.75">
      <c r="A22" s="12"/>
      <c r="B22" s="14"/>
      <c r="C22" s="568"/>
      <c r="D22" s="10"/>
      <c r="E22" s="566"/>
      <c r="F22" s="18"/>
      <c r="G22" s="30"/>
      <c r="H22" s="444" t="e">
        <f>_xlfn.XLOOKUP('MAPEO MALLA'!H19,'ASIGNACIÓN ASIGNATURAS'!$AD:$AD,'ASIGNACIÓN ASIGNATURAS'!$T:$T,"",0)</f>
        <v>#N/A</v>
      </c>
      <c r="I22" s="459" t="e">
        <f>_xlfn.XLOOKUP('MAPEO MALLA'!H19,'ASIGNACIÓN ASIGNATURAS'!$AD:$AD,'ASIGNACIÓN ASIGNATURAS'!$U:$U,"",0)</f>
        <v>#N/A</v>
      </c>
      <c r="J22" s="443" t="e">
        <f>IF(H22="",,(H22+I22)/48)</f>
        <v>#N/A</v>
      </c>
      <c r="K22" s="106"/>
      <c r="L22" s="444" t="e">
        <f>_xlfn.XLOOKUP('MAPEO MALLA'!L19,'ASIGNACIÓN ASIGNATURAS'!$AD:$AD,'ASIGNACIÓN ASIGNATURAS'!$T:$T,"",0)</f>
        <v>#N/A</v>
      </c>
      <c r="M22" s="459" t="e">
        <f>_xlfn.XLOOKUP('MAPEO MALLA'!L19,'ASIGNACIÓN ASIGNATURAS'!$AD:$AD,'ASIGNACIÓN ASIGNATURAS'!$U:$U,"",0)</f>
        <v>#N/A</v>
      </c>
      <c r="N22" s="443" t="e">
        <f>IF(L22="",,(L22+M22)/48)</f>
        <v>#N/A</v>
      </c>
      <c r="O22" s="106"/>
      <c r="P22" s="444" t="e">
        <f>_xlfn.XLOOKUP('MAPEO MALLA'!P19,'ASIGNACIÓN ASIGNATURAS'!$AD:$AD,'ASIGNACIÓN ASIGNATURAS'!$T:$T,"",0)</f>
        <v>#N/A</v>
      </c>
      <c r="Q22" s="459" t="e">
        <f>_xlfn.XLOOKUP('MAPEO MALLA'!P19,'ASIGNACIÓN ASIGNATURAS'!$AD:$AD,'ASIGNACIÓN ASIGNATURAS'!$U:$U,"",0)</f>
        <v>#N/A</v>
      </c>
      <c r="R22" s="443" t="e">
        <f>IF(P22="",,(P22+Q22)/48)</f>
        <v>#N/A</v>
      </c>
      <c r="S22" s="106"/>
      <c r="T22" s="444" t="e">
        <f>_xlfn.XLOOKUP('MAPEO MALLA'!T19,'ASIGNACIÓN ASIGNATURAS'!$AD:$AD,'ASIGNACIÓN ASIGNATURAS'!$T:$T,"",0)</f>
        <v>#N/A</v>
      </c>
      <c r="U22" s="459" t="e">
        <f>_xlfn.XLOOKUP('MAPEO MALLA'!T19,'ASIGNACIÓN ASIGNATURAS'!$AD:$AD,'ASIGNACIÓN ASIGNATURAS'!$U:$U,"",0)</f>
        <v>#N/A</v>
      </c>
      <c r="V22" s="443" t="e">
        <f>IF(T22="",,(T22+U22)/48)</f>
        <v>#N/A</v>
      </c>
      <c r="W22" s="30"/>
      <c r="X22" s="566"/>
      <c r="Y22" s="306"/>
      <c r="Z22" s="570"/>
      <c r="AA22" s="307"/>
      <c r="AB22" s="573"/>
      <c r="AC22" s="30"/>
      <c r="AD22" s="24"/>
      <c r="AE22" s="106"/>
      <c r="AF22" s="444" t="e">
        <f>_xlfn.XLOOKUP('MAPEO MALLA'!AF19,'ASIGNACIÓN ASIGNATURAS'!$AD:$AD,'ASIGNACIÓN ASIGNATURAS'!$T:$T,"",0)</f>
        <v>#N/A</v>
      </c>
      <c r="AG22" s="459" t="e">
        <f>_xlfn.XLOOKUP('MAPEO MALLA'!AF19,'ASIGNACIÓN ASIGNATURAS'!$AD:$AD,'ASIGNACIÓN ASIGNATURAS'!$U:$U,"",0)</f>
        <v>#N/A</v>
      </c>
      <c r="AH22" s="443" t="e">
        <f>IF(AF22="",,(AF22+AG22)/48)</f>
        <v>#N/A</v>
      </c>
      <c r="AI22" s="106"/>
      <c r="AJ22" s="444" t="e">
        <f>_xlfn.XLOOKUP('MAPEO MALLA'!AJ19,'ASIGNACIÓN ASIGNATURAS'!$AD:$AD,'ASIGNACIÓN ASIGNATURAS'!$T:$T,"",0)</f>
        <v>#N/A</v>
      </c>
      <c r="AK22" s="459" t="e">
        <f>_xlfn.XLOOKUP('MAPEO MALLA'!AJ19,'ASIGNACIÓN ASIGNATURAS'!$AD:$AD,'ASIGNACIÓN ASIGNATURAS'!$U:$U,"",0)</f>
        <v>#N/A</v>
      </c>
      <c r="AL22" s="443" t="e">
        <f>IF(AJ22="",,(AJ22+AK22)/48)</f>
        <v>#N/A</v>
      </c>
      <c r="AM22" s="30"/>
      <c r="AN22" s="83" t="e">
        <f>_xlfn.XLOOKUP('MAPEO MALLA'!AN19,'ASIGNACIÓN ASIGNATURAS'!$AD:$AD,'ASIGNACIÓN ASIGNATURAS'!$T:$T,"",0)</f>
        <v>#N/A</v>
      </c>
      <c r="AO22" s="84" t="e">
        <f>_xlfn.XLOOKUP('MAPEO MALLA'!AN19,'ASIGNACIÓN ASIGNATURAS'!$AD:$AD,'ASIGNACIÓN ASIGNATURAS'!$U:$U,"",0)</f>
        <v>#N/A</v>
      </c>
      <c r="AP22" s="85" t="e">
        <f>IF(AN22="",,(AN22+AO22)/48)</f>
        <v>#N/A</v>
      </c>
      <c r="AQ22" s="12"/>
      <c r="AR22" s="566"/>
      <c r="AS22" s="308"/>
      <c r="AT22" s="577"/>
      <c r="AU22" s="307"/>
      <c r="AV22" s="573"/>
      <c r="AW22" s="30"/>
      <c r="AX22" s="97"/>
      <c r="AY22" s="106"/>
      <c r="AZ22" s="444" t="e">
        <f>_xlfn.XLOOKUP('MAPEO MALLA'!AZ19,'ASIGNACIÓN ASIGNATURAS'!$AD:$AD,'ASIGNACIÓN ASIGNATURAS'!$T:$T,"",0)</f>
        <v>#N/A</v>
      </c>
      <c r="BA22" s="459" t="e">
        <f>_xlfn.XLOOKUP('MAPEO MALLA'!AZ19,'ASIGNACIÓN ASIGNATURAS'!$AD:$AD,'ASIGNACIÓN ASIGNATURAS'!$U:$U,"",0)</f>
        <v>#N/A</v>
      </c>
      <c r="BB22" s="443" t="e">
        <f>IF(AZ22="",,(AZ22+BA22)/48)</f>
        <v>#N/A</v>
      </c>
      <c r="BC22" s="106"/>
      <c r="BD22" s="444" t="e">
        <f>_xlfn.XLOOKUP('MAPEO MALLA'!BD19,'ASIGNACIÓN ASIGNATURAS'!$AD:$AD,'ASIGNACIÓN ASIGNATURAS'!$T:$T,"",0)</f>
        <v>#N/A</v>
      </c>
      <c r="BE22" s="459" t="e">
        <f>_xlfn.XLOOKUP('MAPEO MALLA'!BD19,'ASIGNACIÓN ASIGNATURAS'!$AD:$AD,'ASIGNACIÓN ASIGNATURAS'!$U:$U,"",0)</f>
        <v>#N/A</v>
      </c>
      <c r="BF22" s="443" t="e">
        <f>IF(BD22="",,(BD22+BE22)/48)</f>
        <v>#N/A</v>
      </c>
      <c r="BG22" s="106"/>
      <c r="BH22" s="444" t="e">
        <f>_xlfn.XLOOKUP('MAPEO MALLA'!BH19,'ASIGNACIÓN ASIGNATURAS'!$AD:$AD,'ASIGNACIÓN ASIGNATURAS'!$T:$T,"",0)</f>
        <v>#N/A</v>
      </c>
      <c r="BI22" s="459" t="e">
        <f>_xlfn.XLOOKUP('MAPEO MALLA'!BH19,'ASIGNACIÓN ASIGNATURAS'!$AD:$AD,'ASIGNACIÓN ASIGNATURAS'!$U:$U,"",0)</f>
        <v>#N/A</v>
      </c>
      <c r="BJ22" s="443" t="e">
        <f>IF(BH22="",,(BH22+BI22)/48)</f>
        <v>#N/A</v>
      </c>
      <c r="BK22" s="30"/>
      <c r="BL22" s="566"/>
      <c r="BM22" s="309"/>
      <c r="BN22" s="577"/>
      <c r="BO22" s="309"/>
      <c r="BP22" s="573"/>
      <c r="BQ22" s="18"/>
      <c r="BR22" s="49"/>
    </row>
    <row r="23" spans="1:70" ht="60.6" x14ac:dyDescent="0.75">
      <c r="A23" s="12"/>
      <c r="B23" s="14"/>
      <c r="C23" s="568"/>
      <c r="D23" s="10"/>
      <c r="E23" s="429"/>
      <c r="F23" s="18"/>
      <c r="G23" s="30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306"/>
      <c r="Z23" s="570"/>
      <c r="AA23" s="307"/>
      <c r="AB23" s="573"/>
      <c r="AC23" s="30"/>
      <c r="AD23" s="24"/>
      <c r="AE23" s="51"/>
      <c r="AF23" s="51"/>
      <c r="AG23" s="51"/>
      <c r="AH23" s="51"/>
      <c r="AI23" s="51"/>
      <c r="AJ23" s="51"/>
      <c r="AK23" s="51"/>
      <c r="AL23" s="51"/>
      <c r="AM23" s="51"/>
      <c r="AN23" s="69"/>
      <c r="AO23" s="69"/>
      <c r="AP23" s="69"/>
      <c r="AQ23" s="12"/>
      <c r="AR23" s="70"/>
      <c r="AS23" s="308"/>
      <c r="AT23" s="577"/>
      <c r="AU23" s="307"/>
      <c r="AV23" s="573"/>
      <c r="AW23" s="30"/>
      <c r="AX23" s="97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70"/>
      <c r="BM23" s="309"/>
      <c r="BN23" s="577"/>
      <c r="BO23" s="309"/>
      <c r="BP23" s="573"/>
      <c r="BQ23" s="18"/>
      <c r="BR23" s="49"/>
    </row>
    <row r="24" spans="1:70" ht="112.5" customHeight="1" x14ac:dyDescent="0.75">
      <c r="A24" s="12"/>
      <c r="B24" s="14"/>
      <c r="C24" s="568"/>
      <c r="D24" s="10"/>
      <c r="E24" s="566" t="e">
        <f>'MAPEO MALLA'!E24</f>
        <v>#N/A</v>
      </c>
      <c r="F24" s="18"/>
      <c r="G24" s="30"/>
      <c r="H24" s="504" t="e">
        <f>_xlfn.XLOOKUP('MAPEO MALLA'!H24,'ASIGNACIÓN ASIGNATURAS'!$AD:$AD,'ASIGNACIÓN ASIGNATURAS'!$O:$O,"",0)</f>
        <v>#N/A</v>
      </c>
      <c r="I24" s="504"/>
      <c r="J24" s="504"/>
      <c r="K24" s="51"/>
      <c r="L24" s="504" t="e">
        <f>_xlfn.XLOOKUP('MAPEO MALLA'!L24,'ASIGNACIÓN ASIGNATURAS'!$AD:$AD,'ASIGNACIÓN ASIGNATURAS'!$O:$O,"",0)</f>
        <v>#N/A</v>
      </c>
      <c r="M24" s="504"/>
      <c r="N24" s="504"/>
      <c r="O24" s="51"/>
      <c r="P24" s="504" t="e">
        <f>_xlfn.XLOOKUP('MAPEO MALLA'!P24,'ASIGNACIÓN ASIGNATURAS'!$AD:$AD,'ASIGNACIÓN ASIGNATURAS'!$O:$O,"",0)</f>
        <v>#N/A</v>
      </c>
      <c r="Q24" s="504"/>
      <c r="R24" s="504"/>
      <c r="S24" s="51"/>
      <c r="T24" s="504" t="e">
        <f>_xlfn.XLOOKUP('MAPEO MALLA'!T24,'ASIGNACIÓN ASIGNATURAS'!$AD:$AD,'ASIGNACIÓN ASIGNATURAS'!$O:$O,"",0)</f>
        <v>#N/A</v>
      </c>
      <c r="U24" s="504"/>
      <c r="V24" s="504"/>
      <c r="W24" s="30"/>
      <c r="X24" s="566" t="e">
        <f ca="1">SUMIF('MAPEO MALLA'!$E$14:$E$58,'PLANTILLA MALLA PREGRADO'!$E24,'MAPEO MALLA'!$X$14:$X$57)</f>
        <v>#N/A</v>
      </c>
      <c r="Y24" s="306"/>
      <c r="Z24" s="570"/>
      <c r="AA24" s="307"/>
      <c r="AB24" s="573"/>
      <c r="AC24" s="30"/>
      <c r="AD24" s="24"/>
      <c r="AE24" s="51"/>
      <c r="AF24" s="504" t="e">
        <f>_xlfn.XLOOKUP('MAPEO MALLA'!AF24,'ASIGNACIÓN ASIGNATURAS'!$AD:$AD,'ASIGNACIÓN ASIGNATURAS'!$O:$O,"",0)</f>
        <v>#N/A</v>
      </c>
      <c r="AG24" s="504"/>
      <c r="AH24" s="504"/>
      <c r="AI24" s="51"/>
      <c r="AJ24" s="504" t="e">
        <f>_xlfn.XLOOKUP('MAPEO MALLA'!AJ24,'ASIGNACIÓN ASIGNATURAS'!$AD:$AD,'ASIGNACIÓN ASIGNATURAS'!$O:$O,"",0)</f>
        <v>#N/A</v>
      </c>
      <c r="AK24" s="504"/>
      <c r="AL24" s="504"/>
      <c r="AM24" s="30"/>
      <c r="AN24" s="553" t="e">
        <f>_xlfn.XLOOKUP('MAPEO MALLA'!AN24,'ASIGNACIÓN ASIGNATURAS'!$AD:$AD,'ASIGNACIÓN ASIGNATURAS'!$O:$O,"",0)</f>
        <v>#N/A</v>
      </c>
      <c r="AO24" s="554"/>
      <c r="AP24" s="555"/>
      <c r="AQ24" s="12"/>
      <c r="AR24" s="566" t="e">
        <f ca="1">SUMIF('MAPEO MALLA'!$E$14:$E$58,'PLANTILLA MALLA PREGRADO'!$E24,'MAPEO MALLA'!$AR$14:$AR$57)+X24</f>
        <v>#N/A</v>
      </c>
      <c r="AS24" s="308"/>
      <c r="AT24" s="577"/>
      <c r="AU24" s="307"/>
      <c r="AV24" s="573"/>
      <c r="AW24" s="30"/>
      <c r="AX24" s="97"/>
      <c r="AY24" s="51"/>
      <c r="AZ24" s="504" t="e">
        <f>_xlfn.XLOOKUP('MAPEO MALLA'!AZ24,'ASIGNACIÓN ASIGNATURAS'!$AD:$AD,'ASIGNACIÓN ASIGNATURAS'!$O:$O,"",0)</f>
        <v>#N/A</v>
      </c>
      <c r="BA24" s="504"/>
      <c r="BB24" s="504"/>
      <c r="BC24" s="51"/>
      <c r="BD24" s="504" t="e">
        <f>_xlfn.XLOOKUP('MAPEO MALLA'!BD24,'ASIGNACIÓN ASIGNATURAS'!$AD:$AD,'ASIGNACIÓN ASIGNATURAS'!$O:$O,"",0)</f>
        <v>#N/A</v>
      </c>
      <c r="BE24" s="504"/>
      <c r="BF24" s="504"/>
      <c r="BG24" s="51"/>
      <c r="BH24" s="504" t="e">
        <f>_xlfn.XLOOKUP('MAPEO MALLA'!BH24,'ASIGNACIÓN ASIGNATURAS'!$AD:$AD,'ASIGNACIÓN ASIGNATURAS'!$O:$O,"",0)</f>
        <v>#N/A</v>
      </c>
      <c r="BI24" s="504"/>
      <c r="BJ24" s="504"/>
      <c r="BK24" s="30"/>
      <c r="BL24" s="566" t="e">
        <f ca="1">SUMIF('MAPEO MALLA'!$E$14:$E$58,'PLANTILLA MALLA PREGRADO'!$E24,'MAPEO MALLA'!$BL$14:$BL$57)+AR24</f>
        <v>#N/A</v>
      </c>
      <c r="BM24" s="309"/>
      <c r="BN24" s="577"/>
      <c r="BO24" s="309"/>
      <c r="BP24" s="573"/>
      <c r="BQ24" s="18"/>
      <c r="BR24" s="49"/>
    </row>
    <row r="25" spans="1:70" ht="60.45" customHeight="1" x14ac:dyDescent="0.75">
      <c r="A25" s="12"/>
      <c r="B25" s="14"/>
      <c r="C25" s="568"/>
      <c r="D25" s="10"/>
      <c r="E25" s="566"/>
      <c r="F25" s="18"/>
      <c r="G25" s="30"/>
      <c r="H25" s="505" t="e">
        <f>_xlfn.XLOOKUP('MAPEO MALLA'!H24,'ASIGNACIÓN ASIGNATURAS'!$AD:$AD,'ASIGNACIÓN ASIGNATURAS'!$AG:$AG,"",0)</f>
        <v>#N/A</v>
      </c>
      <c r="I25" s="505"/>
      <c r="J25" s="505"/>
      <c r="K25" s="106"/>
      <c r="L25" s="505" t="e">
        <f>_xlfn.XLOOKUP('MAPEO MALLA'!L24,'ASIGNACIÓN ASIGNATURAS'!$AD:$AD,'ASIGNACIÓN ASIGNATURAS'!$AG:$AG,"",0)</f>
        <v>#N/A</v>
      </c>
      <c r="M25" s="505"/>
      <c r="N25" s="505"/>
      <c r="O25" s="106"/>
      <c r="P25" s="505" t="e">
        <f>_xlfn.XLOOKUP('MAPEO MALLA'!P24,'ASIGNACIÓN ASIGNATURAS'!$AD:$AD,'ASIGNACIÓN ASIGNATURAS'!$AG:$AG,"",0)</f>
        <v>#N/A</v>
      </c>
      <c r="Q25" s="505"/>
      <c r="R25" s="505"/>
      <c r="S25" s="106"/>
      <c r="T25" s="505" t="e">
        <f>_xlfn.XLOOKUP('MAPEO MALLA'!T24,'ASIGNACIÓN ASIGNATURAS'!$AD:$AD,'ASIGNACIÓN ASIGNATURAS'!$AG:$AG,"",0)</f>
        <v>#N/A</v>
      </c>
      <c r="U25" s="505"/>
      <c r="V25" s="505"/>
      <c r="W25" s="30"/>
      <c r="X25" s="566"/>
      <c r="Y25" s="306"/>
      <c r="Z25" s="570"/>
      <c r="AA25" s="307"/>
      <c r="AB25" s="573"/>
      <c r="AC25" s="30"/>
      <c r="AD25" s="24"/>
      <c r="AE25" s="106"/>
      <c r="AF25" s="505" t="e">
        <f>_xlfn.XLOOKUP('MAPEO MALLA'!AF24,'ASIGNACIÓN ASIGNATURAS'!$AD:$AD,'ASIGNACIÓN ASIGNATURAS'!$AG:$AG,"",0)</f>
        <v>#N/A</v>
      </c>
      <c r="AG25" s="505"/>
      <c r="AH25" s="505"/>
      <c r="AI25" s="106"/>
      <c r="AJ25" s="505" t="e">
        <f>_xlfn.XLOOKUP('MAPEO MALLA'!AJ24,'ASIGNACIÓN ASIGNATURAS'!$AD:$AD,'ASIGNACIÓN ASIGNATURAS'!$AG:$AG,"",0)</f>
        <v>#N/A</v>
      </c>
      <c r="AK25" s="505"/>
      <c r="AL25" s="505"/>
      <c r="AM25" s="30"/>
      <c r="AN25" s="556" t="e">
        <f>_xlfn.XLOOKUP('MAPEO MALLA'!AN24,'ASIGNACIÓN ASIGNATURAS'!$AD:$AD,'ASIGNACIÓN ASIGNATURAS'!$AG:$AG,"",0)</f>
        <v>#N/A</v>
      </c>
      <c r="AO25" s="557"/>
      <c r="AP25" s="558"/>
      <c r="AQ25" s="12"/>
      <c r="AR25" s="566"/>
      <c r="AS25" s="308"/>
      <c r="AT25" s="577"/>
      <c r="AU25" s="307"/>
      <c r="AV25" s="573"/>
      <c r="AW25" s="30"/>
      <c r="AX25" s="97"/>
      <c r="AY25" s="106"/>
      <c r="AZ25" s="505" t="e">
        <f>_xlfn.XLOOKUP('MAPEO MALLA'!AZ24,'ASIGNACIÓN ASIGNATURAS'!$AD:$AD,'ASIGNACIÓN ASIGNATURAS'!$AG:$AG,"",0)</f>
        <v>#N/A</v>
      </c>
      <c r="BA25" s="505"/>
      <c r="BB25" s="505"/>
      <c r="BC25" s="106"/>
      <c r="BD25" s="505" t="e">
        <f>_xlfn.XLOOKUP('MAPEO MALLA'!BD24,'ASIGNACIÓN ASIGNATURAS'!$AD:$AD,'ASIGNACIÓN ASIGNATURAS'!$AG:$AG,"",0)</f>
        <v>#N/A</v>
      </c>
      <c r="BE25" s="505"/>
      <c r="BF25" s="505"/>
      <c r="BG25" s="106"/>
      <c r="BH25" s="505" t="e">
        <f>_xlfn.XLOOKUP('MAPEO MALLA'!BH24,'ASIGNACIÓN ASIGNATURAS'!$AD:$AD,'ASIGNACIÓN ASIGNATURAS'!$AG:$AG,"",0)</f>
        <v>#N/A</v>
      </c>
      <c r="BI25" s="505"/>
      <c r="BJ25" s="505"/>
      <c r="BK25" s="30"/>
      <c r="BL25" s="566"/>
      <c r="BM25" s="309"/>
      <c r="BN25" s="577"/>
      <c r="BO25" s="309"/>
      <c r="BP25" s="573"/>
      <c r="BQ25" s="18"/>
      <c r="BR25" s="49"/>
    </row>
    <row r="26" spans="1:70" ht="60.6" x14ac:dyDescent="0.75">
      <c r="A26" s="12"/>
      <c r="B26" s="14"/>
      <c r="C26" s="568"/>
      <c r="D26" s="10"/>
      <c r="E26" s="566"/>
      <c r="F26" s="18"/>
      <c r="G26" s="30"/>
      <c r="H26" s="505"/>
      <c r="I26" s="505"/>
      <c r="J26" s="505"/>
      <c r="K26" s="51"/>
      <c r="L26" s="505"/>
      <c r="M26" s="505"/>
      <c r="N26" s="505"/>
      <c r="O26" s="51"/>
      <c r="P26" s="505"/>
      <c r="Q26" s="505"/>
      <c r="R26" s="505"/>
      <c r="S26" s="51"/>
      <c r="T26" s="505"/>
      <c r="U26" s="505"/>
      <c r="V26" s="505"/>
      <c r="W26" s="30"/>
      <c r="X26" s="566"/>
      <c r="Y26" s="306"/>
      <c r="Z26" s="570"/>
      <c r="AA26" s="307"/>
      <c r="AB26" s="573"/>
      <c r="AC26" s="30"/>
      <c r="AD26" s="24"/>
      <c r="AE26" s="51"/>
      <c r="AF26" s="505"/>
      <c r="AG26" s="505"/>
      <c r="AH26" s="505"/>
      <c r="AI26" s="51"/>
      <c r="AJ26" s="505"/>
      <c r="AK26" s="505"/>
      <c r="AL26" s="505"/>
      <c r="AM26" s="30"/>
      <c r="AN26" s="559"/>
      <c r="AO26" s="560"/>
      <c r="AP26" s="561"/>
      <c r="AQ26" s="12"/>
      <c r="AR26" s="566"/>
      <c r="AS26" s="308"/>
      <c r="AT26" s="577"/>
      <c r="AU26" s="307"/>
      <c r="AV26" s="573"/>
      <c r="AW26" s="30"/>
      <c r="AX26" s="97"/>
      <c r="AY26" s="51"/>
      <c r="AZ26" s="505"/>
      <c r="BA26" s="505"/>
      <c r="BB26" s="505"/>
      <c r="BC26" s="51"/>
      <c r="BD26" s="505"/>
      <c r="BE26" s="505"/>
      <c r="BF26" s="505"/>
      <c r="BG26" s="51"/>
      <c r="BH26" s="505"/>
      <c r="BI26" s="505"/>
      <c r="BJ26" s="505"/>
      <c r="BK26" s="30"/>
      <c r="BL26" s="566"/>
      <c r="BM26" s="309"/>
      <c r="BN26" s="577"/>
      <c r="BO26" s="309"/>
      <c r="BP26" s="573"/>
      <c r="BQ26" s="18"/>
      <c r="BR26" s="49"/>
    </row>
    <row r="27" spans="1:70" ht="33.75" customHeight="1" x14ac:dyDescent="0.75">
      <c r="A27" s="12"/>
      <c r="B27" s="14"/>
      <c r="C27" s="568"/>
      <c r="D27" s="10"/>
      <c r="E27" s="566"/>
      <c r="F27" s="18"/>
      <c r="G27" s="30"/>
      <c r="H27" s="444" t="e">
        <f>_xlfn.XLOOKUP('MAPEO MALLA'!H24,'ASIGNACIÓN ASIGNATURAS'!$AD:$AD,'ASIGNACIÓN ASIGNATURAS'!$T:$T,"",0)</f>
        <v>#N/A</v>
      </c>
      <c r="I27" s="459" t="e">
        <f>_xlfn.XLOOKUP('MAPEO MALLA'!H24,'ASIGNACIÓN ASIGNATURAS'!$AD:$AD,'ASIGNACIÓN ASIGNATURAS'!$U:$U,"",0)</f>
        <v>#N/A</v>
      </c>
      <c r="J27" s="443" t="e">
        <f>IF(H27="",,(H27+I27)/48)</f>
        <v>#N/A</v>
      </c>
      <c r="K27" s="106"/>
      <c r="L27" s="444" t="e">
        <f>_xlfn.XLOOKUP('MAPEO MALLA'!L24,'ASIGNACIÓN ASIGNATURAS'!$AD:$AD,'ASIGNACIÓN ASIGNATURAS'!$T:$T,"",0)</f>
        <v>#N/A</v>
      </c>
      <c r="M27" s="459" t="e">
        <f>_xlfn.XLOOKUP('MAPEO MALLA'!L24,'ASIGNACIÓN ASIGNATURAS'!$AD:$AD,'ASIGNACIÓN ASIGNATURAS'!$U:$U,"",0)</f>
        <v>#N/A</v>
      </c>
      <c r="N27" s="443" t="e">
        <f>IF(L27="",,(L27+M27)/48)</f>
        <v>#N/A</v>
      </c>
      <c r="O27" s="106"/>
      <c r="P27" s="444" t="e">
        <f>_xlfn.XLOOKUP('MAPEO MALLA'!P24,'ASIGNACIÓN ASIGNATURAS'!$AD:$AD,'ASIGNACIÓN ASIGNATURAS'!$T:$T,"",0)</f>
        <v>#N/A</v>
      </c>
      <c r="Q27" s="459" t="e">
        <f>_xlfn.XLOOKUP('MAPEO MALLA'!P24,'ASIGNACIÓN ASIGNATURAS'!$AD:$AD,'ASIGNACIÓN ASIGNATURAS'!$U:$U,"",0)</f>
        <v>#N/A</v>
      </c>
      <c r="R27" s="443" t="e">
        <f>IF(P27="",,(P27+Q27)/48)</f>
        <v>#N/A</v>
      </c>
      <c r="S27" s="106"/>
      <c r="T27" s="444" t="e">
        <f>_xlfn.XLOOKUP('MAPEO MALLA'!T24,'ASIGNACIÓN ASIGNATURAS'!$AD:$AD,'ASIGNACIÓN ASIGNATURAS'!$T:$T,"",0)</f>
        <v>#N/A</v>
      </c>
      <c r="U27" s="459" t="e">
        <f>_xlfn.XLOOKUP('MAPEO MALLA'!T24,'ASIGNACIÓN ASIGNATURAS'!$AD:$AD,'ASIGNACIÓN ASIGNATURAS'!$U:$U,"",0)</f>
        <v>#N/A</v>
      </c>
      <c r="V27" s="443" t="e">
        <f>IF(T27="",,(T27+U27)/48)</f>
        <v>#N/A</v>
      </c>
      <c r="W27" s="30"/>
      <c r="X27" s="566"/>
      <c r="Y27" s="306"/>
      <c r="Z27" s="570"/>
      <c r="AA27" s="307"/>
      <c r="AB27" s="573"/>
      <c r="AC27" s="30"/>
      <c r="AD27" s="24"/>
      <c r="AE27" s="106"/>
      <c r="AF27" s="444" t="e">
        <f>_xlfn.XLOOKUP('MAPEO MALLA'!AF24,'ASIGNACIÓN ASIGNATURAS'!$AD:$AD,'ASIGNACIÓN ASIGNATURAS'!$T:$T,"",0)</f>
        <v>#N/A</v>
      </c>
      <c r="AG27" s="459" t="e">
        <f>_xlfn.XLOOKUP('MAPEO MALLA'!AF24,'ASIGNACIÓN ASIGNATURAS'!$AD:$AD,'ASIGNACIÓN ASIGNATURAS'!$U:$U,"",0)</f>
        <v>#N/A</v>
      </c>
      <c r="AH27" s="443" t="e">
        <f>IF(AF27="",,(AF27+AG27)/48)</f>
        <v>#N/A</v>
      </c>
      <c r="AI27" s="106"/>
      <c r="AJ27" s="444" t="e">
        <f>_xlfn.XLOOKUP('MAPEO MALLA'!AJ24,'ASIGNACIÓN ASIGNATURAS'!$AD:$AD,'ASIGNACIÓN ASIGNATURAS'!$T:$T,"",0)</f>
        <v>#N/A</v>
      </c>
      <c r="AK27" s="459" t="e">
        <f>_xlfn.XLOOKUP('MAPEO MALLA'!AJ24,'ASIGNACIÓN ASIGNATURAS'!$AD:$AD,'ASIGNACIÓN ASIGNATURAS'!$U:$U,"",0)</f>
        <v>#N/A</v>
      </c>
      <c r="AL27" s="443" t="e">
        <f>IF(AJ27="",,(AJ27+AK27)/48)</f>
        <v>#N/A</v>
      </c>
      <c r="AM27" s="30"/>
      <c r="AN27" s="83" t="e">
        <f>_xlfn.XLOOKUP('MAPEO MALLA'!AN24,'ASIGNACIÓN ASIGNATURAS'!$AD:$AD,'ASIGNACIÓN ASIGNATURAS'!$T:$T,"",0)</f>
        <v>#N/A</v>
      </c>
      <c r="AO27" s="84" t="e">
        <f>_xlfn.XLOOKUP('MAPEO MALLA'!AN24,'ASIGNACIÓN ASIGNATURAS'!$AD:$AD,'ASIGNACIÓN ASIGNATURAS'!$U:$U,"",0)</f>
        <v>#N/A</v>
      </c>
      <c r="AP27" s="85" t="e">
        <f>IF(AN27="",,(AN27+AO27)/48)</f>
        <v>#N/A</v>
      </c>
      <c r="AQ27" s="12"/>
      <c r="AR27" s="566"/>
      <c r="AS27" s="308"/>
      <c r="AT27" s="577"/>
      <c r="AU27" s="307"/>
      <c r="AV27" s="573"/>
      <c r="AW27" s="30"/>
      <c r="AX27" s="97"/>
      <c r="AY27" s="106"/>
      <c r="AZ27" s="444" t="e">
        <f>_xlfn.XLOOKUP('MAPEO MALLA'!AZ24,'ASIGNACIÓN ASIGNATURAS'!$AD:$AD,'ASIGNACIÓN ASIGNATURAS'!$T:$T,"",0)</f>
        <v>#N/A</v>
      </c>
      <c r="BA27" s="459" t="e">
        <f>_xlfn.XLOOKUP('MAPEO MALLA'!AZ24,'ASIGNACIÓN ASIGNATURAS'!$AD:$AD,'ASIGNACIÓN ASIGNATURAS'!$U:$U,"",0)</f>
        <v>#N/A</v>
      </c>
      <c r="BB27" s="443" t="e">
        <f>IF(AZ27="",,(AZ27+BA27)/48)</f>
        <v>#N/A</v>
      </c>
      <c r="BC27" s="106"/>
      <c r="BD27" s="444" t="e">
        <f>_xlfn.XLOOKUP('MAPEO MALLA'!BD24,'ASIGNACIÓN ASIGNATURAS'!$AD:$AD,'ASIGNACIÓN ASIGNATURAS'!$T:$T,"",0)</f>
        <v>#N/A</v>
      </c>
      <c r="BE27" s="459" t="e">
        <f>_xlfn.XLOOKUP('MAPEO MALLA'!BD24,'ASIGNACIÓN ASIGNATURAS'!$AD:$AD,'ASIGNACIÓN ASIGNATURAS'!$U:$U,"",0)</f>
        <v>#N/A</v>
      </c>
      <c r="BF27" s="443" t="e">
        <f>IF(BD27="",,(BD27+BE27)/48)</f>
        <v>#N/A</v>
      </c>
      <c r="BG27" s="106"/>
      <c r="BH27" s="444" t="e">
        <f>_xlfn.XLOOKUP('MAPEO MALLA'!BH24,'ASIGNACIÓN ASIGNATURAS'!$AD:$AD,'ASIGNACIÓN ASIGNATURAS'!$T:$T,"",0)</f>
        <v>#N/A</v>
      </c>
      <c r="BI27" s="459" t="e">
        <f>_xlfn.XLOOKUP('MAPEO MALLA'!BH24,'ASIGNACIÓN ASIGNATURAS'!$AD:$AD,'ASIGNACIÓN ASIGNATURAS'!$U:$U,"",0)</f>
        <v>#N/A</v>
      </c>
      <c r="BJ27" s="443" t="e">
        <f>IF(BH27="",,(BH27+BI27)/48)</f>
        <v>#N/A</v>
      </c>
      <c r="BK27" s="30"/>
      <c r="BL27" s="566"/>
      <c r="BM27" s="309"/>
      <c r="BN27" s="577"/>
      <c r="BO27" s="309"/>
      <c r="BP27" s="573"/>
      <c r="BQ27" s="18"/>
      <c r="BR27" s="49"/>
    </row>
    <row r="28" spans="1:70" ht="60.6" x14ac:dyDescent="0.75">
      <c r="A28" s="12"/>
      <c r="B28" s="14"/>
      <c r="C28" s="568"/>
      <c r="D28" s="10"/>
      <c r="E28" s="429"/>
      <c r="F28" s="18"/>
      <c r="G28" s="30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306"/>
      <c r="Z28" s="570"/>
      <c r="AA28" s="307"/>
      <c r="AB28" s="573"/>
      <c r="AC28" s="30"/>
      <c r="AD28" s="24"/>
      <c r="AE28" s="51"/>
      <c r="AF28" s="51"/>
      <c r="AG28" s="51"/>
      <c r="AH28" s="51"/>
      <c r="AI28" s="51"/>
      <c r="AJ28" s="51"/>
      <c r="AK28" s="51"/>
      <c r="AL28" s="51"/>
      <c r="AM28" s="51"/>
      <c r="AN28" s="88"/>
      <c r="AO28" s="88"/>
      <c r="AP28" s="88"/>
      <c r="AQ28" s="12"/>
      <c r="AR28" s="310"/>
      <c r="AS28" s="308"/>
      <c r="AT28" s="577"/>
      <c r="AU28" s="307"/>
      <c r="AV28" s="573"/>
      <c r="AW28" s="30"/>
      <c r="AX28" s="97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310"/>
      <c r="BM28" s="309"/>
      <c r="BN28" s="577"/>
      <c r="BO28" s="309"/>
      <c r="BP28" s="573"/>
      <c r="BQ28" s="18"/>
      <c r="BR28" s="49"/>
    </row>
    <row r="29" spans="1:70" ht="112.5" customHeight="1" x14ac:dyDescent="0.75">
      <c r="A29" s="12"/>
      <c r="B29" s="14"/>
      <c r="C29" s="568"/>
      <c r="D29" s="10"/>
      <c r="E29" s="566" t="e">
        <f>'MAPEO MALLA'!E29</f>
        <v>#N/A</v>
      </c>
      <c r="F29" s="18"/>
      <c r="G29" s="30"/>
      <c r="H29" s="504" t="e">
        <f>_xlfn.XLOOKUP('MAPEO MALLA'!H29,'ASIGNACIÓN ASIGNATURAS'!$AD:$AD,'ASIGNACIÓN ASIGNATURAS'!$O:$O,"",0)</f>
        <v>#N/A</v>
      </c>
      <c r="I29" s="504"/>
      <c r="J29" s="504"/>
      <c r="K29" s="51"/>
      <c r="L29" s="504" t="e">
        <f>_xlfn.XLOOKUP('MAPEO MALLA'!L29,'ASIGNACIÓN ASIGNATURAS'!$AD:$AD,'ASIGNACIÓN ASIGNATURAS'!$O:$O,"",0)</f>
        <v>#N/A</v>
      </c>
      <c r="M29" s="504"/>
      <c r="N29" s="504"/>
      <c r="O29" s="51"/>
      <c r="P29" s="504" t="e">
        <f>_xlfn.XLOOKUP('MAPEO MALLA'!P29,'ASIGNACIÓN ASIGNATURAS'!$AD:$AD,'ASIGNACIÓN ASIGNATURAS'!$O:$O,"",0)</f>
        <v>#N/A</v>
      </c>
      <c r="Q29" s="504"/>
      <c r="R29" s="504"/>
      <c r="S29" s="51"/>
      <c r="T29" s="504" t="e">
        <f>_xlfn.XLOOKUP('MAPEO MALLA'!T29,'ASIGNACIÓN ASIGNATURAS'!$AD:$AD,'ASIGNACIÓN ASIGNATURAS'!$O:$O,"",0)</f>
        <v>#N/A</v>
      </c>
      <c r="U29" s="504"/>
      <c r="V29" s="504"/>
      <c r="W29" s="30"/>
      <c r="X29" s="566" t="e">
        <f ca="1">SUMIF('MAPEO MALLA'!$E$14:$E$58,'PLANTILLA MALLA PREGRADO'!$E29,'MAPEO MALLA'!$X$14:$X$57)</f>
        <v>#N/A</v>
      </c>
      <c r="Y29" s="306"/>
      <c r="Z29" s="570"/>
      <c r="AA29" s="307"/>
      <c r="AB29" s="573"/>
      <c r="AC29" s="30"/>
      <c r="AD29" s="24"/>
      <c r="AE29" s="51"/>
      <c r="AF29" s="504" t="e">
        <f>_xlfn.XLOOKUP('MAPEO MALLA'!AF29,'ASIGNACIÓN ASIGNATURAS'!$AD:$AD,'ASIGNACIÓN ASIGNATURAS'!$O:$O,"",0)</f>
        <v>#N/A</v>
      </c>
      <c r="AG29" s="504"/>
      <c r="AH29" s="504"/>
      <c r="AI29" s="51"/>
      <c r="AJ29" s="504" t="e">
        <f>_xlfn.XLOOKUP('MAPEO MALLA'!AJ29,'ASIGNACIÓN ASIGNATURAS'!$AD:$AD,'ASIGNACIÓN ASIGNATURAS'!$O:$O,"",0)</f>
        <v>#N/A</v>
      </c>
      <c r="AK29" s="504"/>
      <c r="AL29" s="504"/>
      <c r="AM29" s="30"/>
      <c r="AN29" s="553" t="e">
        <f>_xlfn.XLOOKUP('MAPEO MALLA'!AN29,'ASIGNACIÓN ASIGNATURAS'!$AD:$AD,'ASIGNACIÓN ASIGNATURAS'!$O:$O,"",0)</f>
        <v>#N/A</v>
      </c>
      <c r="AO29" s="554"/>
      <c r="AP29" s="555"/>
      <c r="AQ29" s="12"/>
      <c r="AR29" s="566" t="e">
        <f ca="1">SUMIF('MAPEO MALLA'!$E$14:$E$58,'PLANTILLA MALLA PREGRADO'!$E29,'MAPEO MALLA'!$AR$14:$AR$57)+X29</f>
        <v>#N/A</v>
      </c>
      <c r="AS29" s="308"/>
      <c r="AT29" s="577"/>
      <c r="AU29" s="307"/>
      <c r="AV29" s="573"/>
      <c r="AW29" s="30"/>
      <c r="AX29" s="91"/>
      <c r="AY29" s="51"/>
      <c r="AZ29" s="504" t="e">
        <f>_xlfn.XLOOKUP('MAPEO MALLA'!AZ29,'ASIGNACIÓN ASIGNATURAS'!$AD:$AD,'ASIGNACIÓN ASIGNATURAS'!$O:$O,"",0)</f>
        <v>#N/A</v>
      </c>
      <c r="BA29" s="504"/>
      <c r="BB29" s="504"/>
      <c r="BC29" s="51"/>
      <c r="BD29" s="504" t="e">
        <f>_xlfn.XLOOKUP('MAPEO MALLA'!BD29,'ASIGNACIÓN ASIGNATURAS'!$AD:$AD,'ASIGNACIÓN ASIGNATURAS'!$O:$O,"",0)</f>
        <v>#N/A</v>
      </c>
      <c r="BE29" s="504"/>
      <c r="BF29" s="504"/>
      <c r="BG29" s="51"/>
      <c r="BH29" s="504" t="e">
        <f>_xlfn.XLOOKUP('MAPEO MALLA'!BH29,'ASIGNACIÓN ASIGNATURAS'!$AD:$AD,'ASIGNACIÓN ASIGNATURAS'!$O:$O,"",0)</f>
        <v>#N/A</v>
      </c>
      <c r="BI29" s="504"/>
      <c r="BJ29" s="504"/>
      <c r="BK29" s="30"/>
      <c r="BL29" s="566" t="e">
        <f ca="1">SUMIF('MAPEO MALLA'!$E$14:$E$58,'PLANTILLA MALLA PREGRADO'!$E29,'MAPEO MALLA'!$BL$14:$BL$57)+AR29</f>
        <v>#N/A</v>
      </c>
      <c r="BM29" s="309"/>
      <c r="BN29" s="577"/>
      <c r="BO29" s="309"/>
      <c r="BP29" s="573"/>
      <c r="BQ29" s="18"/>
      <c r="BR29" s="49"/>
    </row>
    <row r="30" spans="1:70" ht="60.45" customHeight="1" x14ac:dyDescent="0.75">
      <c r="A30" s="12"/>
      <c r="B30" s="14"/>
      <c r="C30" s="568"/>
      <c r="D30" s="10"/>
      <c r="E30" s="566"/>
      <c r="F30" s="18"/>
      <c r="G30" s="30"/>
      <c r="H30" s="505" t="e">
        <f>_xlfn.XLOOKUP('MAPEO MALLA'!H29,'ASIGNACIÓN ASIGNATURAS'!$AD:$AD,'ASIGNACIÓN ASIGNATURAS'!$AG:$AG,"",0)</f>
        <v>#N/A</v>
      </c>
      <c r="I30" s="505"/>
      <c r="J30" s="505"/>
      <c r="K30" s="106"/>
      <c r="L30" s="505" t="e">
        <f>_xlfn.XLOOKUP('MAPEO MALLA'!L29,'ASIGNACIÓN ASIGNATURAS'!$AD:$AD,'ASIGNACIÓN ASIGNATURAS'!$AG:$AG,"",0)</f>
        <v>#N/A</v>
      </c>
      <c r="M30" s="505"/>
      <c r="N30" s="505"/>
      <c r="O30" s="106"/>
      <c r="P30" s="505" t="e">
        <f>_xlfn.XLOOKUP('MAPEO MALLA'!P29,'ASIGNACIÓN ASIGNATURAS'!$AD:$AD,'ASIGNACIÓN ASIGNATURAS'!$AG:$AG,"",0)</f>
        <v>#N/A</v>
      </c>
      <c r="Q30" s="505"/>
      <c r="R30" s="505"/>
      <c r="S30" s="106"/>
      <c r="T30" s="505" t="e">
        <f>_xlfn.XLOOKUP('MAPEO MALLA'!T29,'ASIGNACIÓN ASIGNATURAS'!$AD:$AD,'ASIGNACIÓN ASIGNATURAS'!$AG:$AG,"",0)</f>
        <v>#N/A</v>
      </c>
      <c r="U30" s="505"/>
      <c r="V30" s="505"/>
      <c r="W30" s="30"/>
      <c r="X30" s="566"/>
      <c r="Y30" s="306"/>
      <c r="Z30" s="570"/>
      <c r="AA30" s="307"/>
      <c r="AB30" s="573"/>
      <c r="AC30" s="30"/>
      <c r="AD30" s="24"/>
      <c r="AE30" s="106"/>
      <c r="AF30" s="505" t="e">
        <f>_xlfn.XLOOKUP('MAPEO MALLA'!AF29,'ASIGNACIÓN ASIGNATURAS'!$AD:$AD,'ASIGNACIÓN ASIGNATURAS'!$AG:$AG,"",0)</f>
        <v>#N/A</v>
      </c>
      <c r="AG30" s="505"/>
      <c r="AH30" s="505"/>
      <c r="AI30" s="106"/>
      <c r="AJ30" s="505" t="e">
        <f>_xlfn.XLOOKUP('MAPEO MALLA'!AJ29,'ASIGNACIÓN ASIGNATURAS'!$AD:$AD,'ASIGNACIÓN ASIGNATURAS'!$AG:$AG,"",0)</f>
        <v>#N/A</v>
      </c>
      <c r="AK30" s="505"/>
      <c r="AL30" s="505"/>
      <c r="AM30" s="30"/>
      <c r="AN30" s="556" t="e">
        <f>_xlfn.XLOOKUP('MAPEO MALLA'!AN29,'ASIGNACIÓN ASIGNATURAS'!$AD:$AD,'ASIGNACIÓN ASIGNATURAS'!$AG:$AG,"",0)</f>
        <v>#N/A</v>
      </c>
      <c r="AO30" s="557"/>
      <c r="AP30" s="558"/>
      <c r="AQ30" s="12"/>
      <c r="AR30" s="566"/>
      <c r="AS30" s="308"/>
      <c r="AT30" s="577"/>
      <c r="AU30" s="307"/>
      <c r="AV30" s="573"/>
      <c r="AW30" s="30"/>
      <c r="AX30" s="24"/>
      <c r="AY30" s="106"/>
      <c r="AZ30" s="505" t="e">
        <f>_xlfn.XLOOKUP('MAPEO MALLA'!AZ29,'ASIGNACIÓN ASIGNATURAS'!$AD:$AD,'ASIGNACIÓN ASIGNATURAS'!$AG:$AG,"",0)</f>
        <v>#N/A</v>
      </c>
      <c r="BA30" s="505"/>
      <c r="BB30" s="505"/>
      <c r="BC30" s="106"/>
      <c r="BD30" s="505" t="e">
        <f>_xlfn.XLOOKUP('MAPEO MALLA'!BD29,'ASIGNACIÓN ASIGNATURAS'!$AD:$AD,'ASIGNACIÓN ASIGNATURAS'!$AG:$AG,"",0)</f>
        <v>#N/A</v>
      </c>
      <c r="BE30" s="505"/>
      <c r="BF30" s="505"/>
      <c r="BG30" s="106"/>
      <c r="BH30" s="505" t="e">
        <f>_xlfn.XLOOKUP('MAPEO MALLA'!BH29,'ASIGNACIÓN ASIGNATURAS'!$AD:$AD,'ASIGNACIÓN ASIGNATURAS'!$AG:$AG,"",0)</f>
        <v>#N/A</v>
      </c>
      <c r="BI30" s="505"/>
      <c r="BJ30" s="505"/>
      <c r="BK30" s="30"/>
      <c r="BL30" s="566"/>
      <c r="BM30" s="309"/>
      <c r="BN30" s="577"/>
      <c r="BO30" s="309"/>
      <c r="BP30" s="573"/>
      <c r="BQ30" s="18"/>
      <c r="BR30" s="49"/>
    </row>
    <row r="31" spans="1:70" ht="60.6" x14ac:dyDescent="0.75">
      <c r="A31" s="12"/>
      <c r="B31" s="14"/>
      <c r="C31" s="568"/>
      <c r="D31" s="10"/>
      <c r="E31" s="566"/>
      <c r="F31" s="18"/>
      <c r="G31" s="30"/>
      <c r="H31" s="505"/>
      <c r="I31" s="505"/>
      <c r="J31" s="505"/>
      <c r="K31" s="51"/>
      <c r="L31" s="505"/>
      <c r="M31" s="505"/>
      <c r="N31" s="505"/>
      <c r="O31" s="51"/>
      <c r="P31" s="505"/>
      <c r="Q31" s="505"/>
      <c r="R31" s="505"/>
      <c r="S31" s="51"/>
      <c r="T31" s="505"/>
      <c r="U31" s="505"/>
      <c r="V31" s="505"/>
      <c r="W31" s="30"/>
      <c r="X31" s="566"/>
      <c r="Y31" s="306"/>
      <c r="Z31" s="570"/>
      <c r="AA31" s="307"/>
      <c r="AB31" s="573"/>
      <c r="AC31" s="30"/>
      <c r="AD31" s="24"/>
      <c r="AE31" s="51"/>
      <c r="AF31" s="505"/>
      <c r="AG31" s="505"/>
      <c r="AH31" s="505"/>
      <c r="AI31" s="51"/>
      <c r="AJ31" s="505"/>
      <c r="AK31" s="505"/>
      <c r="AL31" s="505"/>
      <c r="AM31" s="30"/>
      <c r="AN31" s="559"/>
      <c r="AO31" s="560"/>
      <c r="AP31" s="561"/>
      <c r="AQ31" s="12"/>
      <c r="AR31" s="566"/>
      <c r="AS31" s="308"/>
      <c r="AT31" s="577"/>
      <c r="AU31" s="307"/>
      <c r="AV31" s="573"/>
      <c r="AW31" s="30"/>
      <c r="AX31" s="94"/>
      <c r="AY31" s="51"/>
      <c r="AZ31" s="505"/>
      <c r="BA31" s="505"/>
      <c r="BB31" s="505"/>
      <c r="BC31" s="51"/>
      <c r="BD31" s="505"/>
      <c r="BE31" s="505"/>
      <c r="BF31" s="505"/>
      <c r="BG31" s="51"/>
      <c r="BH31" s="505"/>
      <c r="BI31" s="505"/>
      <c r="BJ31" s="505"/>
      <c r="BK31" s="30"/>
      <c r="BL31" s="566"/>
      <c r="BM31" s="309"/>
      <c r="BN31" s="577"/>
      <c r="BO31" s="309"/>
      <c r="BP31" s="573"/>
      <c r="BQ31" s="18"/>
      <c r="BR31" s="49"/>
    </row>
    <row r="32" spans="1:70" ht="41.25" customHeight="1" x14ac:dyDescent="0.75">
      <c r="A32" s="12"/>
      <c r="B32" s="14"/>
      <c r="C32" s="568"/>
      <c r="D32" s="10"/>
      <c r="E32" s="566"/>
      <c r="F32" s="18"/>
      <c r="G32" s="30"/>
      <c r="H32" s="444" t="e">
        <f>_xlfn.XLOOKUP('MAPEO MALLA'!H29,'ASIGNACIÓN ASIGNATURAS'!$AD:$AD,'ASIGNACIÓN ASIGNATURAS'!$T:$T,"",0)</f>
        <v>#N/A</v>
      </c>
      <c r="I32" s="459" t="e">
        <f>_xlfn.XLOOKUP('MAPEO MALLA'!H29,'ASIGNACIÓN ASIGNATURAS'!$AD:$AD,'ASIGNACIÓN ASIGNATURAS'!$U:$U,"",0)</f>
        <v>#N/A</v>
      </c>
      <c r="J32" s="443" t="e">
        <f>IF(H32="",,(H32+I32)/48)</f>
        <v>#N/A</v>
      </c>
      <c r="K32" s="106"/>
      <c r="L32" s="444" t="e">
        <f>_xlfn.XLOOKUP('MAPEO MALLA'!L29,'ASIGNACIÓN ASIGNATURAS'!$AD:$AD,'ASIGNACIÓN ASIGNATURAS'!$T:$T,"",0)</f>
        <v>#N/A</v>
      </c>
      <c r="M32" s="459" t="e">
        <f>_xlfn.XLOOKUP('MAPEO MALLA'!L29,'ASIGNACIÓN ASIGNATURAS'!$AD:$AD,'ASIGNACIÓN ASIGNATURAS'!$U:$U,"",0)</f>
        <v>#N/A</v>
      </c>
      <c r="N32" s="443" t="e">
        <f>IF(L32="",,(L32+M32)/48)</f>
        <v>#N/A</v>
      </c>
      <c r="O32" s="106"/>
      <c r="P32" s="444" t="e">
        <f>_xlfn.XLOOKUP('MAPEO MALLA'!P29,'ASIGNACIÓN ASIGNATURAS'!$AD:$AD,'ASIGNACIÓN ASIGNATURAS'!$T:$T,"",0)</f>
        <v>#N/A</v>
      </c>
      <c r="Q32" s="459" t="e">
        <f>_xlfn.XLOOKUP('MAPEO MALLA'!P29,'ASIGNACIÓN ASIGNATURAS'!$AD:$AD,'ASIGNACIÓN ASIGNATURAS'!$U:$U,"",0)</f>
        <v>#N/A</v>
      </c>
      <c r="R32" s="443" t="e">
        <f>IF(P32="",,(P32+Q32)/48)</f>
        <v>#N/A</v>
      </c>
      <c r="S32" s="106"/>
      <c r="T32" s="444" t="e">
        <f>_xlfn.XLOOKUP('MAPEO MALLA'!T29,'ASIGNACIÓN ASIGNATURAS'!$AD:$AD,'ASIGNACIÓN ASIGNATURAS'!$T:$T,"",0)</f>
        <v>#N/A</v>
      </c>
      <c r="U32" s="459" t="e">
        <f>_xlfn.XLOOKUP('MAPEO MALLA'!T29,'ASIGNACIÓN ASIGNATURAS'!$AD:$AD,'ASIGNACIÓN ASIGNATURAS'!$U:$U,"",0)</f>
        <v>#N/A</v>
      </c>
      <c r="V32" s="443" t="e">
        <f>IF(T32="",,(T32+U32)/48)</f>
        <v>#N/A</v>
      </c>
      <c r="W32" s="30"/>
      <c r="X32" s="566"/>
      <c r="Y32" s="306"/>
      <c r="Z32" s="570"/>
      <c r="AA32" s="307"/>
      <c r="AB32" s="573"/>
      <c r="AC32" s="30"/>
      <c r="AD32" s="24"/>
      <c r="AE32" s="106"/>
      <c r="AF32" s="444" t="e">
        <f>_xlfn.XLOOKUP('MAPEO MALLA'!AF29,'ASIGNACIÓN ASIGNATURAS'!$AD:$AD,'ASIGNACIÓN ASIGNATURAS'!$T:$T,"",0)</f>
        <v>#N/A</v>
      </c>
      <c r="AG32" s="459" t="e">
        <f>_xlfn.XLOOKUP('MAPEO MALLA'!AF29,'ASIGNACIÓN ASIGNATURAS'!$AD:$AD,'ASIGNACIÓN ASIGNATURAS'!$U:$U,"",0)</f>
        <v>#N/A</v>
      </c>
      <c r="AH32" s="443" t="e">
        <f>IF(AF32="",,(AF32+AG32)/48)</f>
        <v>#N/A</v>
      </c>
      <c r="AI32" s="106"/>
      <c r="AJ32" s="444" t="e">
        <f>_xlfn.XLOOKUP('MAPEO MALLA'!AJ29,'ASIGNACIÓN ASIGNATURAS'!$AD:$AD,'ASIGNACIÓN ASIGNATURAS'!$T:$T,"",0)</f>
        <v>#N/A</v>
      </c>
      <c r="AK32" s="459" t="e">
        <f>_xlfn.XLOOKUP('MAPEO MALLA'!AJ29,'ASIGNACIÓN ASIGNATURAS'!$AD:$AD,'ASIGNACIÓN ASIGNATURAS'!$U:$U,"",0)</f>
        <v>#N/A</v>
      </c>
      <c r="AL32" s="443" t="e">
        <f>IF(AJ32="",,(AJ32+AK32)/48)</f>
        <v>#N/A</v>
      </c>
      <c r="AM32" s="30"/>
      <c r="AN32" s="83" t="e">
        <f>_xlfn.XLOOKUP('MAPEO MALLA'!AN29,'ASIGNACIÓN ASIGNATURAS'!$AD:$AD,'ASIGNACIÓN ASIGNATURAS'!$T:$T,"",0)</f>
        <v>#N/A</v>
      </c>
      <c r="AO32" s="84" t="e">
        <f>_xlfn.XLOOKUP('MAPEO MALLA'!AN29,'ASIGNACIÓN ASIGNATURAS'!$AD:$AD,'ASIGNACIÓN ASIGNATURAS'!$U:$U,"",0)</f>
        <v>#N/A</v>
      </c>
      <c r="AP32" s="85" t="e">
        <f>IF(AN32="",,(AN32+AO32)/48)</f>
        <v>#N/A</v>
      </c>
      <c r="AQ32" s="12"/>
      <c r="AR32" s="566"/>
      <c r="AS32" s="308"/>
      <c r="AT32" s="577"/>
      <c r="AU32" s="307"/>
      <c r="AV32" s="573"/>
      <c r="AW32" s="30"/>
      <c r="AX32" s="97"/>
      <c r="AY32" s="106"/>
      <c r="AZ32" s="444" t="e">
        <f>_xlfn.XLOOKUP('MAPEO MALLA'!AZ29,'ASIGNACIÓN ASIGNATURAS'!$AD:$AD,'ASIGNACIÓN ASIGNATURAS'!$T:$T,"",0)</f>
        <v>#N/A</v>
      </c>
      <c r="BA32" s="459" t="e">
        <f>_xlfn.XLOOKUP('MAPEO MALLA'!AZ29,'ASIGNACIÓN ASIGNATURAS'!$AD:$AD,'ASIGNACIÓN ASIGNATURAS'!$U:$U,"",0)</f>
        <v>#N/A</v>
      </c>
      <c r="BB32" s="443" t="e">
        <f>IF(AZ32="",,(AZ32+BA32)/48)</f>
        <v>#N/A</v>
      </c>
      <c r="BC32" s="106"/>
      <c r="BD32" s="444" t="e">
        <f>_xlfn.XLOOKUP('MAPEO MALLA'!BD29,'ASIGNACIÓN ASIGNATURAS'!$AD:$AD,'ASIGNACIÓN ASIGNATURAS'!$T:$T,"",0)</f>
        <v>#N/A</v>
      </c>
      <c r="BE32" s="459" t="e">
        <f>_xlfn.XLOOKUP('MAPEO MALLA'!BD29,'ASIGNACIÓN ASIGNATURAS'!$AD:$AD,'ASIGNACIÓN ASIGNATURAS'!$U:$U,"",0)</f>
        <v>#N/A</v>
      </c>
      <c r="BF32" s="443" t="e">
        <f>IF(BD32="",,(BD32+BE32)/48)</f>
        <v>#N/A</v>
      </c>
      <c r="BG32" s="106"/>
      <c r="BH32" s="444" t="e">
        <f>_xlfn.XLOOKUP('MAPEO MALLA'!BH29,'ASIGNACIÓN ASIGNATURAS'!$AD:$AD,'ASIGNACIÓN ASIGNATURAS'!$T:$T,"",0)</f>
        <v>#N/A</v>
      </c>
      <c r="BI32" s="459" t="e">
        <f>_xlfn.XLOOKUP('MAPEO MALLA'!BH29,'ASIGNACIÓN ASIGNATURAS'!$AD:$AD,'ASIGNACIÓN ASIGNATURAS'!$U:$U,"",0)</f>
        <v>#N/A</v>
      </c>
      <c r="BJ32" s="443" t="e">
        <f>IF(BH32="",,(BH32+BI32)/48)</f>
        <v>#N/A</v>
      </c>
      <c r="BK32" s="30"/>
      <c r="BL32" s="566"/>
      <c r="BM32" s="309"/>
      <c r="BN32" s="577"/>
      <c r="BO32" s="309"/>
      <c r="BP32" s="573"/>
      <c r="BQ32" s="18"/>
      <c r="BR32" s="49"/>
    </row>
    <row r="33" spans="1:70" ht="60.6" x14ac:dyDescent="0.75">
      <c r="A33" s="12"/>
      <c r="B33" s="14"/>
      <c r="C33" s="568"/>
      <c r="D33" s="10"/>
      <c r="E33" s="429"/>
      <c r="F33" s="18"/>
      <c r="G33" s="30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306"/>
      <c r="Z33" s="570"/>
      <c r="AA33" s="307"/>
      <c r="AB33" s="573"/>
      <c r="AC33" s="30"/>
      <c r="AD33" s="24"/>
      <c r="AE33" s="51"/>
      <c r="AF33" s="51"/>
      <c r="AG33" s="51"/>
      <c r="AH33" s="51"/>
      <c r="AI33" s="51"/>
      <c r="AJ33" s="51"/>
      <c r="AK33" s="51"/>
      <c r="AL33" s="51"/>
      <c r="AM33" s="51"/>
      <c r="AN33" s="69"/>
      <c r="AO33" s="69"/>
      <c r="AP33" s="106"/>
      <c r="AQ33" s="12"/>
      <c r="AR33" s="70"/>
      <c r="AS33" s="308"/>
      <c r="AT33" s="577"/>
      <c r="AU33" s="307"/>
      <c r="AV33" s="573"/>
      <c r="AW33" s="30"/>
      <c r="AX33" s="24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70"/>
      <c r="BM33" s="309"/>
      <c r="BN33" s="577"/>
      <c r="BO33" s="309"/>
      <c r="BP33" s="573"/>
      <c r="BQ33" s="18"/>
      <c r="BR33" s="49"/>
    </row>
    <row r="34" spans="1:70" ht="108" customHeight="1" x14ac:dyDescent="0.75">
      <c r="A34" s="12"/>
      <c r="B34" s="14"/>
      <c r="C34" s="568"/>
      <c r="D34" s="10"/>
      <c r="E34" s="566" t="e">
        <f>'MAPEO MALLA'!E34</f>
        <v>#N/A</v>
      </c>
      <c r="F34" s="18"/>
      <c r="G34" s="30"/>
      <c r="H34" s="504" t="e">
        <f>_xlfn.XLOOKUP('MAPEO MALLA'!H34,'ASIGNACIÓN ASIGNATURAS'!$AD:$AD,'ASIGNACIÓN ASIGNATURAS'!$O:$O,"",0)</f>
        <v>#N/A</v>
      </c>
      <c r="I34" s="504"/>
      <c r="J34" s="504"/>
      <c r="K34" s="51"/>
      <c r="L34" s="504" t="e">
        <f>_xlfn.XLOOKUP('MAPEO MALLA'!L34,'ASIGNACIÓN ASIGNATURAS'!$AD:$AD,'ASIGNACIÓN ASIGNATURAS'!$O:$O,"",0)</f>
        <v>#N/A</v>
      </c>
      <c r="M34" s="504"/>
      <c r="N34" s="504"/>
      <c r="O34" s="51"/>
      <c r="P34" s="504" t="e">
        <f>_xlfn.XLOOKUP('MAPEO MALLA'!P34,'ASIGNACIÓN ASIGNATURAS'!$AD:$AD,'ASIGNACIÓN ASIGNATURAS'!$O:$O,"",0)</f>
        <v>#N/A</v>
      </c>
      <c r="Q34" s="504"/>
      <c r="R34" s="504"/>
      <c r="S34" s="51"/>
      <c r="T34" s="504" t="e">
        <f>_xlfn.XLOOKUP('MAPEO MALLA'!T34,'ASIGNACIÓN ASIGNATURAS'!$AD:$AD,'ASIGNACIÓN ASIGNATURAS'!$O:$O,"",0)</f>
        <v>#N/A</v>
      </c>
      <c r="U34" s="504"/>
      <c r="V34" s="504"/>
      <c r="W34" s="30"/>
      <c r="X34" s="566" t="e">
        <f ca="1">SUMIF('MAPEO MALLA'!$E$14:$E$58,'PLANTILLA MALLA PREGRADO'!$E34,'MAPEO MALLA'!$X$14:$X$57)</f>
        <v>#N/A</v>
      </c>
      <c r="Y34" s="306"/>
      <c r="Z34" s="570"/>
      <c r="AA34" s="307"/>
      <c r="AB34" s="573"/>
      <c r="AC34" s="30"/>
      <c r="AD34" s="24"/>
      <c r="AE34" s="51"/>
      <c r="AF34" s="504" t="e">
        <f>_xlfn.XLOOKUP('MAPEO MALLA'!AF34,'ASIGNACIÓN ASIGNATURAS'!$AD:$AD,'ASIGNACIÓN ASIGNATURAS'!$O:$O,"",0)</f>
        <v>#N/A</v>
      </c>
      <c r="AG34" s="504"/>
      <c r="AH34" s="504"/>
      <c r="AI34" s="51"/>
      <c r="AJ34" s="504" t="e">
        <f>_xlfn.XLOOKUP('MAPEO MALLA'!AJ34,'ASIGNACIÓN ASIGNATURAS'!$AD:$AD,'ASIGNACIÓN ASIGNATURAS'!$O:$O,"",0)</f>
        <v>#N/A</v>
      </c>
      <c r="AK34" s="504"/>
      <c r="AL34" s="504"/>
      <c r="AM34" s="401"/>
      <c r="AN34" s="401" t="e">
        <f>_xlfn.XLOOKUP('MAPEO MALLA'!AN34,'ASIGNACIÓN ASIGNATURAS'!$AD:$AD,'ASIGNACIÓN ASIGNATURAS'!$O:$O,"",0)</f>
        <v>#N/A</v>
      </c>
      <c r="AO34" s="401"/>
      <c r="AP34" s="401"/>
      <c r="AQ34" s="401"/>
      <c r="AR34" s="566" t="e">
        <f ca="1">SUMIF('MAPEO MALLA'!$E$14:$E$58,'PLANTILLA MALLA PREGRADO'!$E34,'MAPEO MALLA'!$AR$14:$AR$57)+X34</f>
        <v>#N/A</v>
      </c>
      <c r="AS34" s="308"/>
      <c r="AT34" s="577"/>
      <c r="AU34" s="307"/>
      <c r="AV34" s="573"/>
      <c r="AW34" s="30"/>
      <c r="AX34" s="91"/>
      <c r="AY34" s="51"/>
      <c r="AZ34" s="504" t="e">
        <f>_xlfn.XLOOKUP('MAPEO MALLA'!AZ34,'ASIGNACIÓN ASIGNATURAS'!$AD:$AD,'ASIGNACIÓN ASIGNATURAS'!$O:$O,"",0)</f>
        <v>#N/A</v>
      </c>
      <c r="BA34" s="504"/>
      <c r="BB34" s="504"/>
      <c r="BC34" s="51"/>
      <c r="BD34" s="504" t="e">
        <f>_xlfn.XLOOKUP('MAPEO MALLA'!BD34,'ASIGNACIÓN ASIGNATURAS'!$AD:$AD,'ASIGNACIÓN ASIGNATURAS'!$O:$O,"",0)</f>
        <v>#N/A</v>
      </c>
      <c r="BE34" s="504"/>
      <c r="BF34" s="504"/>
      <c r="BG34" s="51"/>
      <c r="BH34" s="504" t="e">
        <f>_xlfn.XLOOKUP('MAPEO MALLA'!BH34,'ASIGNACIÓN ASIGNATURAS'!$AD:$AD,'ASIGNACIÓN ASIGNATURAS'!$O:$O,"",0)</f>
        <v>#N/A</v>
      </c>
      <c r="BI34" s="504"/>
      <c r="BJ34" s="504"/>
      <c r="BK34" s="30"/>
      <c r="BL34" s="566" t="e">
        <f ca="1">SUMIF('MAPEO MALLA'!$E$14:$E$58,'PLANTILLA MALLA PREGRADO'!$E34,'MAPEO MALLA'!$BL$14:$BL$57)+AR34</f>
        <v>#N/A</v>
      </c>
      <c r="BM34" s="309"/>
      <c r="BN34" s="577"/>
      <c r="BO34" s="309"/>
      <c r="BP34" s="573"/>
      <c r="BQ34" s="18"/>
      <c r="BR34" s="49"/>
    </row>
    <row r="35" spans="1:70" ht="60.45" customHeight="1" x14ac:dyDescent="0.75">
      <c r="A35" s="12"/>
      <c r="B35" s="14"/>
      <c r="C35" s="568"/>
      <c r="D35" s="10"/>
      <c r="E35" s="566"/>
      <c r="F35" s="18"/>
      <c r="G35" s="30"/>
      <c r="H35" s="505" t="e">
        <f>_xlfn.XLOOKUP('MAPEO MALLA'!H34,'ASIGNACIÓN ASIGNATURAS'!$AD:$AD,'ASIGNACIÓN ASIGNATURAS'!$AG:$AG,"",0)</f>
        <v>#N/A</v>
      </c>
      <c r="I35" s="505"/>
      <c r="J35" s="505"/>
      <c r="K35" s="106"/>
      <c r="L35" s="505" t="e">
        <f>_xlfn.XLOOKUP('MAPEO MALLA'!L34,'ASIGNACIÓN ASIGNATURAS'!$AD:$AD,'ASIGNACIÓN ASIGNATURAS'!$AG:$AG,"",0)</f>
        <v>#N/A</v>
      </c>
      <c r="M35" s="505"/>
      <c r="N35" s="505"/>
      <c r="O35" s="106"/>
      <c r="P35" s="505" t="e">
        <f>_xlfn.XLOOKUP('MAPEO MALLA'!P34,'ASIGNACIÓN ASIGNATURAS'!$AD:$AD,'ASIGNACIÓN ASIGNATURAS'!$AG:$AG,"",0)</f>
        <v>#N/A</v>
      </c>
      <c r="Q35" s="505"/>
      <c r="R35" s="505"/>
      <c r="S35" s="106"/>
      <c r="T35" s="505" t="e">
        <f>_xlfn.XLOOKUP('MAPEO MALLA'!T34,'ASIGNACIÓN ASIGNATURAS'!$AD:$AD,'ASIGNACIÓN ASIGNATURAS'!$AG:$AG,"",0)</f>
        <v>#N/A</v>
      </c>
      <c r="U35" s="505"/>
      <c r="V35" s="505"/>
      <c r="W35" s="30"/>
      <c r="X35" s="566"/>
      <c r="Y35" s="306"/>
      <c r="Z35" s="570"/>
      <c r="AA35" s="307"/>
      <c r="AB35" s="573"/>
      <c r="AC35" s="30"/>
      <c r="AD35" s="24"/>
      <c r="AE35" s="106"/>
      <c r="AF35" s="505" t="e">
        <f>_xlfn.XLOOKUP('MAPEO MALLA'!AF34,'ASIGNACIÓN ASIGNATURAS'!$AD:$AD,'ASIGNACIÓN ASIGNATURAS'!$AG:$AG,"",0)</f>
        <v>#N/A</v>
      </c>
      <c r="AG35" s="505"/>
      <c r="AH35" s="505"/>
      <c r="AI35" s="106"/>
      <c r="AJ35" s="505" t="e">
        <f>_xlfn.XLOOKUP('MAPEO MALLA'!AJ34,'ASIGNACIÓN ASIGNATURAS'!$AD:$AD,'ASIGNACIÓN ASIGNATURAS'!$AG:$AG,"",0)</f>
        <v>#N/A</v>
      </c>
      <c r="AK35" s="505"/>
      <c r="AL35" s="505"/>
      <c r="AM35" s="401"/>
      <c r="AN35" s="401" t="e">
        <f>_xlfn.XLOOKUP('MAPEO MALLA'!AN34,'ASIGNACIÓN ASIGNATURAS'!$AD:$AD,'ASIGNACIÓN ASIGNATURAS'!$AG:$AG,"",0)</f>
        <v>#N/A</v>
      </c>
      <c r="AO35" s="401"/>
      <c r="AP35" s="401"/>
      <c r="AQ35" s="401"/>
      <c r="AR35" s="566"/>
      <c r="AS35" s="308"/>
      <c r="AT35" s="577"/>
      <c r="AU35" s="307"/>
      <c r="AV35" s="573"/>
      <c r="AW35" s="30"/>
      <c r="AX35" s="24"/>
      <c r="AY35" s="106"/>
      <c r="AZ35" s="505" t="e">
        <f>_xlfn.XLOOKUP('MAPEO MALLA'!AZ34,'ASIGNACIÓN ASIGNATURAS'!$AD:$AD,'ASIGNACIÓN ASIGNATURAS'!$AG:$AG,"",0)</f>
        <v>#N/A</v>
      </c>
      <c r="BA35" s="505"/>
      <c r="BB35" s="505"/>
      <c r="BC35" s="106"/>
      <c r="BD35" s="505" t="e">
        <f>_xlfn.XLOOKUP('MAPEO MALLA'!BD34,'ASIGNACIÓN ASIGNATURAS'!$AD:$AD,'ASIGNACIÓN ASIGNATURAS'!$AG:$AG,"",0)</f>
        <v>#N/A</v>
      </c>
      <c r="BE35" s="505"/>
      <c r="BF35" s="505"/>
      <c r="BG35" s="106"/>
      <c r="BH35" s="505" t="e">
        <f>_xlfn.XLOOKUP('MAPEO MALLA'!BH34,'ASIGNACIÓN ASIGNATURAS'!$AD:$AD,'ASIGNACIÓN ASIGNATURAS'!$AG:$AG,"",0)</f>
        <v>#N/A</v>
      </c>
      <c r="BI35" s="505"/>
      <c r="BJ35" s="505"/>
      <c r="BK35" s="30"/>
      <c r="BL35" s="566"/>
      <c r="BM35" s="309"/>
      <c r="BN35" s="577"/>
      <c r="BO35" s="309"/>
      <c r="BP35" s="573"/>
      <c r="BQ35" s="18"/>
      <c r="BR35" s="49"/>
    </row>
    <row r="36" spans="1:70" ht="60.6" x14ac:dyDescent="0.75">
      <c r="A36" s="12"/>
      <c r="B36" s="14"/>
      <c r="C36" s="568"/>
      <c r="D36" s="10"/>
      <c r="E36" s="566"/>
      <c r="F36" s="18"/>
      <c r="G36" s="30"/>
      <c r="H36" s="505"/>
      <c r="I36" s="505"/>
      <c r="J36" s="505"/>
      <c r="K36" s="51"/>
      <c r="L36" s="505"/>
      <c r="M36" s="505"/>
      <c r="N36" s="505"/>
      <c r="O36" s="51"/>
      <c r="P36" s="505"/>
      <c r="Q36" s="505"/>
      <c r="R36" s="505"/>
      <c r="S36" s="51"/>
      <c r="T36" s="505"/>
      <c r="U36" s="505"/>
      <c r="V36" s="505"/>
      <c r="W36" s="30"/>
      <c r="X36" s="566"/>
      <c r="Y36" s="306"/>
      <c r="Z36" s="570"/>
      <c r="AA36" s="307"/>
      <c r="AB36" s="573"/>
      <c r="AC36" s="30"/>
      <c r="AD36" s="24"/>
      <c r="AE36" s="51"/>
      <c r="AF36" s="505"/>
      <c r="AG36" s="505"/>
      <c r="AH36" s="505"/>
      <c r="AI36" s="51"/>
      <c r="AJ36" s="505"/>
      <c r="AK36" s="505"/>
      <c r="AL36" s="505"/>
      <c r="AM36" s="401"/>
      <c r="AN36" s="401"/>
      <c r="AO36" s="401"/>
      <c r="AP36" s="401"/>
      <c r="AQ36" s="401"/>
      <c r="AR36" s="566"/>
      <c r="AS36" s="308"/>
      <c r="AT36" s="577"/>
      <c r="AU36" s="307"/>
      <c r="AV36" s="573"/>
      <c r="AW36" s="30"/>
      <c r="AX36" s="94"/>
      <c r="AY36" s="51"/>
      <c r="AZ36" s="505"/>
      <c r="BA36" s="505"/>
      <c r="BB36" s="505"/>
      <c r="BC36" s="51"/>
      <c r="BD36" s="505"/>
      <c r="BE36" s="505"/>
      <c r="BF36" s="505"/>
      <c r="BG36" s="51"/>
      <c r="BH36" s="505"/>
      <c r="BI36" s="505"/>
      <c r="BJ36" s="505"/>
      <c r="BK36" s="30"/>
      <c r="BL36" s="566"/>
      <c r="BM36" s="309"/>
      <c r="BN36" s="577"/>
      <c r="BO36" s="309"/>
      <c r="BP36" s="573"/>
      <c r="BQ36" s="18"/>
      <c r="BR36" s="49"/>
    </row>
    <row r="37" spans="1:70" ht="39" customHeight="1" x14ac:dyDescent="0.75">
      <c r="A37" s="12"/>
      <c r="B37" s="14"/>
      <c r="C37" s="568"/>
      <c r="D37" s="10"/>
      <c r="E37" s="566"/>
      <c r="F37" s="18"/>
      <c r="G37" s="30"/>
      <c r="H37" s="444" t="e">
        <f>_xlfn.XLOOKUP('MAPEO MALLA'!H34,'ASIGNACIÓN ASIGNATURAS'!$AD:$AD,'ASIGNACIÓN ASIGNATURAS'!$T:$T,"",0)</f>
        <v>#N/A</v>
      </c>
      <c r="I37" s="459" t="e">
        <f>_xlfn.XLOOKUP('MAPEO MALLA'!H34,'ASIGNACIÓN ASIGNATURAS'!$AD:$AD,'ASIGNACIÓN ASIGNATURAS'!$U:$U,"",0)</f>
        <v>#N/A</v>
      </c>
      <c r="J37" s="443" t="e">
        <f>IF(H37="",,(H37+I37)/48)</f>
        <v>#N/A</v>
      </c>
      <c r="K37" s="106"/>
      <c r="L37" s="444" t="e">
        <f>_xlfn.XLOOKUP('MAPEO MALLA'!L34,'ASIGNACIÓN ASIGNATURAS'!$AD:$AD,'ASIGNACIÓN ASIGNATURAS'!$T:$T,"",0)</f>
        <v>#N/A</v>
      </c>
      <c r="M37" s="459" t="e">
        <f>_xlfn.XLOOKUP('MAPEO MALLA'!L34,'ASIGNACIÓN ASIGNATURAS'!$AD:$AD,'ASIGNACIÓN ASIGNATURAS'!$U:$U,"",0)</f>
        <v>#N/A</v>
      </c>
      <c r="N37" s="443" t="e">
        <f>IF(L37="",,(L37+M37)/48)</f>
        <v>#N/A</v>
      </c>
      <c r="O37" s="106"/>
      <c r="P37" s="444" t="e">
        <f>_xlfn.XLOOKUP('MAPEO MALLA'!P34,'ASIGNACIÓN ASIGNATURAS'!$AD:$AD,'ASIGNACIÓN ASIGNATURAS'!$T:$T,"",0)</f>
        <v>#N/A</v>
      </c>
      <c r="Q37" s="459" t="e">
        <f>_xlfn.XLOOKUP('MAPEO MALLA'!P34,'ASIGNACIÓN ASIGNATURAS'!$AD:$AD,'ASIGNACIÓN ASIGNATURAS'!$U:$U,"",0)</f>
        <v>#N/A</v>
      </c>
      <c r="R37" s="443" t="e">
        <f>IF(P37="",,(P37+Q37)/48)</f>
        <v>#N/A</v>
      </c>
      <c r="S37" s="106"/>
      <c r="T37" s="444" t="e">
        <f>_xlfn.XLOOKUP('MAPEO MALLA'!T34,'ASIGNACIÓN ASIGNATURAS'!$AD:$AD,'ASIGNACIÓN ASIGNATURAS'!$T:$T,"",0)</f>
        <v>#N/A</v>
      </c>
      <c r="U37" s="459" t="e">
        <f>_xlfn.XLOOKUP('MAPEO MALLA'!T34,'ASIGNACIÓN ASIGNATURAS'!$AD:$AD,'ASIGNACIÓN ASIGNATURAS'!$U:$U,"",0)</f>
        <v>#N/A</v>
      </c>
      <c r="V37" s="443" t="e">
        <f>IF(T37="",,(T37+U37)/48)</f>
        <v>#N/A</v>
      </c>
      <c r="W37" s="30"/>
      <c r="X37" s="566"/>
      <c r="Y37" s="306"/>
      <c r="Z37" s="570"/>
      <c r="AA37" s="307"/>
      <c r="AB37" s="573"/>
      <c r="AC37" s="30"/>
      <c r="AD37" s="24"/>
      <c r="AE37" s="106"/>
      <c r="AF37" s="444" t="e">
        <f>_xlfn.XLOOKUP('MAPEO MALLA'!AF34,'ASIGNACIÓN ASIGNATURAS'!$AD:$AD,'ASIGNACIÓN ASIGNATURAS'!$T:$T,"",0)</f>
        <v>#N/A</v>
      </c>
      <c r="AG37" s="459" t="e">
        <f>_xlfn.XLOOKUP('MAPEO MALLA'!AF34,'ASIGNACIÓN ASIGNATURAS'!$AD:$AD,'ASIGNACIÓN ASIGNATURAS'!$U:$U,"",0)</f>
        <v>#N/A</v>
      </c>
      <c r="AH37" s="443" t="e">
        <f>IF(AF37="",,(AF37+AG37)/48)</f>
        <v>#N/A</v>
      </c>
      <c r="AI37" s="106"/>
      <c r="AJ37" s="444" t="e">
        <f>_xlfn.XLOOKUP('MAPEO MALLA'!AJ34,'ASIGNACIÓN ASIGNATURAS'!$AD:$AD,'ASIGNACIÓN ASIGNATURAS'!$T:$T,"",0)</f>
        <v>#N/A</v>
      </c>
      <c r="AK37" s="459" t="e">
        <f>_xlfn.XLOOKUP('MAPEO MALLA'!AJ34,'ASIGNACIÓN ASIGNATURAS'!$AD:$AD,'ASIGNACIÓN ASIGNATURAS'!$U:$U,"",0)</f>
        <v>#N/A</v>
      </c>
      <c r="AL37" s="443" t="e">
        <f>IF(AJ37="",,(AJ37+AK37)/48)</f>
        <v>#N/A</v>
      </c>
      <c r="AM37" s="401"/>
      <c r="AN37" s="401" t="e">
        <f>_xlfn.XLOOKUP('MAPEO MALLA'!AN34,'ASIGNACIÓN ASIGNATURAS'!$AD:$AD,'ASIGNACIÓN ASIGNATURAS'!$T:$T,"",0)</f>
        <v>#N/A</v>
      </c>
      <c r="AO37" s="401" t="e">
        <f>_xlfn.XLOOKUP('MAPEO MALLA'!AN34,'ASIGNACIÓN ASIGNATURAS'!$AD:$AD,'ASIGNACIÓN ASIGNATURAS'!$U:$U,"",0)</f>
        <v>#N/A</v>
      </c>
      <c r="AP37" s="401" t="e">
        <f>IF(AN37="",,(AN37+AO37)/48)</f>
        <v>#N/A</v>
      </c>
      <c r="AQ37" s="401"/>
      <c r="AR37" s="566"/>
      <c r="AS37" s="308"/>
      <c r="AT37" s="577"/>
      <c r="AU37" s="307"/>
      <c r="AV37" s="573"/>
      <c r="AW37" s="30"/>
      <c r="AX37" s="97"/>
      <c r="AY37" s="106"/>
      <c r="AZ37" s="444" t="e">
        <f>_xlfn.XLOOKUP('MAPEO MALLA'!AZ34,'ASIGNACIÓN ASIGNATURAS'!$AD:$AD,'ASIGNACIÓN ASIGNATURAS'!$T:$T,"",0)</f>
        <v>#N/A</v>
      </c>
      <c r="BA37" s="459" t="e">
        <f>_xlfn.XLOOKUP('MAPEO MALLA'!AZ34,'ASIGNACIÓN ASIGNATURAS'!$AD:$AD,'ASIGNACIÓN ASIGNATURAS'!$U:$U,"",0)</f>
        <v>#N/A</v>
      </c>
      <c r="BB37" s="443" t="e">
        <f>IF(AZ37="",,(AZ37+BA37)/48)</f>
        <v>#N/A</v>
      </c>
      <c r="BC37" s="106"/>
      <c r="BD37" s="444" t="e">
        <f>_xlfn.XLOOKUP('MAPEO MALLA'!BD34,'ASIGNACIÓN ASIGNATURAS'!$AD:$AD,'ASIGNACIÓN ASIGNATURAS'!$T:$T,"",0)</f>
        <v>#N/A</v>
      </c>
      <c r="BE37" s="459" t="e">
        <f>_xlfn.XLOOKUP('MAPEO MALLA'!BD34,'ASIGNACIÓN ASIGNATURAS'!$AD:$AD,'ASIGNACIÓN ASIGNATURAS'!$U:$U,"",0)</f>
        <v>#N/A</v>
      </c>
      <c r="BF37" s="443" t="e">
        <f>IF(BD37="",,(BD37+BE37)/48)</f>
        <v>#N/A</v>
      </c>
      <c r="BG37" s="106"/>
      <c r="BH37" s="444" t="e">
        <f>_xlfn.XLOOKUP('MAPEO MALLA'!BH34,'ASIGNACIÓN ASIGNATURAS'!$AD:$AD,'ASIGNACIÓN ASIGNATURAS'!$T:$T,"",0)</f>
        <v>#N/A</v>
      </c>
      <c r="BI37" s="459" t="e">
        <f>_xlfn.XLOOKUP('MAPEO MALLA'!BH34,'ASIGNACIÓN ASIGNATURAS'!$AD:$AD,'ASIGNACIÓN ASIGNATURAS'!$U:$U,"",0)</f>
        <v>#N/A</v>
      </c>
      <c r="BJ37" s="443" t="e">
        <f>IF(BH37="",,(BH37+BI37)/48)</f>
        <v>#N/A</v>
      </c>
      <c r="BK37" s="30"/>
      <c r="BL37" s="566"/>
      <c r="BM37" s="309"/>
      <c r="BN37" s="577"/>
      <c r="BO37" s="309"/>
      <c r="BP37" s="573"/>
      <c r="BQ37" s="18"/>
      <c r="BR37" s="49"/>
    </row>
    <row r="38" spans="1:70" ht="60.6" x14ac:dyDescent="0.75">
      <c r="A38" s="12"/>
      <c r="B38" s="14"/>
      <c r="C38" s="568"/>
      <c r="D38" s="10"/>
      <c r="E38" s="429"/>
      <c r="F38" s="18"/>
      <c r="G38" s="30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306"/>
      <c r="Z38" s="570"/>
      <c r="AA38" s="307"/>
      <c r="AB38" s="573"/>
      <c r="AC38" s="30"/>
      <c r="AD38" s="24"/>
      <c r="AE38" s="51"/>
      <c r="AF38" s="51"/>
      <c r="AG38" s="51"/>
      <c r="AH38" s="51"/>
      <c r="AI38" s="51"/>
      <c r="AJ38" s="51"/>
      <c r="AK38" s="51"/>
      <c r="AL38" s="51"/>
      <c r="AM38" s="401"/>
      <c r="AN38" s="401"/>
      <c r="AO38" s="401"/>
      <c r="AP38" s="401"/>
      <c r="AQ38" s="401"/>
      <c r="AR38" s="70"/>
      <c r="AS38" s="308"/>
      <c r="AT38" s="577"/>
      <c r="AU38" s="307"/>
      <c r="AV38" s="573"/>
      <c r="AW38" s="30"/>
      <c r="AX38" s="24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70"/>
      <c r="BM38" s="309"/>
      <c r="BN38" s="577"/>
      <c r="BO38" s="309"/>
      <c r="BP38" s="573"/>
      <c r="BQ38" s="18"/>
      <c r="BR38" s="49"/>
    </row>
    <row r="39" spans="1:70" ht="106.5" customHeight="1" x14ac:dyDescent="0.75">
      <c r="A39" s="12"/>
      <c r="B39" s="14"/>
      <c r="C39" s="568"/>
      <c r="D39" s="10"/>
      <c r="E39" s="566">
        <f>'MAPEO MALLA'!E39</f>
        <v>0</v>
      </c>
      <c r="F39" s="18"/>
      <c r="G39" s="30"/>
      <c r="H39" s="504" t="str">
        <f>_xlfn.XLOOKUP('MAPEO MALLA'!H39,'ASIGNACIÓN ASIGNATURAS'!$AD:$AD,'ASIGNACIÓN ASIGNATURAS'!$O:$O,"",0)</f>
        <v/>
      </c>
      <c r="I39" s="504"/>
      <c r="J39" s="504"/>
      <c r="K39" s="51"/>
      <c r="L39" s="504" t="str">
        <f>_xlfn.XLOOKUP('MAPEO MALLA'!L39,'ASIGNACIÓN ASIGNATURAS'!$AD:$AD,'ASIGNACIÓN ASIGNATURAS'!$O:$O,"",0)</f>
        <v/>
      </c>
      <c r="M39" s="504"/>
      <c r="N39" s="504"/>
      <c r="O39" s="51"/>
      <c r="P39" s="504" t="str">
        <f>_xlfn.XLOOKUP('MAPEO MALLA'!P39,'ASIGNACIÓN ASIGNATURAS'!$AD:$AD,'ASIGNACIÓN ASIGNATURAS'!$O:$O,"",0)</f>
        <v/>
      </c>
      <c r="Q39" s="504"/>
      <c r="R39" s="504"/>
      <c r="S39" s="51"/>
      <c r="T39" s="504" t="str">
        <f>_xlfn.XLOOKUP('MAPEO MALLA'!T39,'ASIGNACIÓN ASIGNATURAS'!$AD:$AD,'ASIGNACIÓN ASIGNATURAS'!$O:$O,"",0)</f>
        <v/>
      </c>
      <c r="U39" s="504"/>
      <c r="V39" s="504"/>
      <c r="W39" s="30"/>
      <c r="X39" s="566">
        <f ca="1">SUMIF('MAPEO MALLA'!$E$14:$E$58,'PLANTILLA MALLA PREGRADO'!$E39,'MAPEO MALLA'!$X$14:$X$57)</f>
        <v>0</v>
      </c>
      <c r="Y39" s="306"/>
      <c r="Z39" s="570"/>
      <c r="AA39" s="307"/>
      <c r="AB39" s="573"/>
      <c r="AC39" s="30"/>
      <c r="AD39" s="24"/>
      <c r="AE39" s="51"/>
      <c r="AF39" s="504" t="str">
        <f>_xlfn.XLOOKUP('MAPEO MALLA'!AF39,'ASIGNACIÓN ASIGNATURAS'!$AD:$AD,'ASIGNACIÓN ASIGNATURAS'!$O:$O,"",0)</f>
        <v/>
      </c>
      <c r="AG39" s="504"/>
      <c r="AH39" s="504"/>
      <c r="AI39" s="51"/>
      <c r="AJ39" s="504" t="str">
        <f>_xlfn.XLOOKUP('MAPEO MALLA'!AJ39,'ASIGNACIÓN ASIGNATURAS'!$AD:$AD,'ASIGNACIÓN ASIGNATURAS'!$O:$O,"",0)</f>
        <v/>
      </c>
      <c r="AK39" s="504"/>
      <c r="AL39" s="504"/>
      <c r="AM39" s="401"/>
      <c r="AN39" s="401" t="str">
        <f>_xlfn.XLOOKUP('MAPEO MALLA'!AN39,'ASIGNACIÓN ASIGNATURAS'!$AD:$AD,'ASIGNACIÓN ASIGNATURAS'!$O:$O,"",0)</f>
        <v/>
      </c>
      <c r="AO39" s="401"/>
      <c r="AP39" s="401"/>
      <c r="AQ39" s="401"/>
      <c r="AR39" s="566">
        <f ca="1">SUMIF('MAPEO MALLA'!$E$14:$E$58,'PLANTILLA MALLA PREGRADO'!$E39,'MAPEO MALLA'!$AR$14:$AR$57)+X39</f>
        <v>0</v>
      </c>
      <c r="AS39" s="308"/>
      <c r="AT39" s="577"/>
      <c r="AU39" s="307"/>
      <c r="AV39" s="573"/>
      <c r="AW39" s="30"/>
      <c r="AX39" s="24"/>
      <c r="AY39" s="51"/>
      <c r="AZ39" s="504" t="str">
        <f>_xlfn.XLOOKUP('MAPEO MALLA'!AZ39,'ASIGNACIÓN ASIGNATURAS'!$AD:$AD,'ASIGNACIÓN ASIGNATURAS'!$O:$O,"",0)</f>
        <v/>
      </c>
      <c r="BA39" s="504"/>
      <c r="BB39" s="504"/>
      <c r="BC39" s="51"/>
      <c r="BD39" s="504" t="str">
        <f>_xlfn.XLOOKUP('MAPEO MALLA'!BD39,'ASIGNACIÓN ASIGNATURAS'!$AD:$AD,'ASIGNACIÓN ASIGNATURAS'!$O:$O,"",0)</f>
        <v/>
      </c>
      <c r="BE39" s="504"/>
      <c r="BF39" s="504"/>
      <c r="BG39" s="51"/>
      <c r="BH39" s="504" t="str">
        <f>_xlfn.XLOOKUP('MAPEO MALLA'!BH39,'ASIGNACIÓN ASIGNATURAS'!$AD:$AD,'ASIGNACIÓN ASIGNATURAS'!$O:$O,"",0)</f>
        <v/>
      </c>
      <c r="BI39" s="504"/>
      <c r="BJ39" s="504"/>
      <c r="BK39" s="30"/>
      <c r="BL39" s="566">
        <f ca="1">SUMIF('MAPEO MALLA'!$E$14:$E$58,'PLANTILLA MALLA PREGRADO'!$E39,'MAPEO MALLA'!$BL$14:$BL$57)+AR39</f>
        <v>0</v>
      </c>
      <c r="BM39" s="309"/>
      <c r="BN39" s="577"/>
      <c r="BO39" s="309"/>
      <c r="BP39" s="573"/>
      <c r="BQ39" s="18"/>
      <c r="BR39" s="49"/>
    </row>
    <row r="40" spans="1:70" ht="60.45" customHeight="1" x14ac:dyDescent="0.75">
      <c r="A40" s="12"/>
      <c r="B40" s="14"/>
      <c r="C40" s="568"/>
      <c r="D40" s="10"/>
      <c r="E40" s="566"/>
      <c r="F40" s="18"/>
      <c r="G40" s="30"/>
      <c r="H40" s="505" t="str">
        <f>_xlfn.XLOOKUP('MAPEO MALLA'!H39,'ASIGNACIÓN ASIGNATURAS'!$AD:$AD,'ASIGNACIÓN ASIGNATURAS'!$AG:$AG,"",0)</f>
        <v/>
      </c>
      <c r="I40" s="505"/>
      <c r="J40" s="505"/>
      <c r="K40" s="106"/>
      <c r="L40" s="505" t="str">
        <f>_xlfn.XLOOKUP('MAPEO MALLA'!L39,'ASIGNACIÓN ASIGNATURAS'!$AD:$AD,'ASIGNACIÓN ASIGNATURAS'!$AG:$AG,"",0)</f>
        <v/>
      </c>
      <c r="M40" s="505"/>
      <c r="N40" s="505"/>
      <c r="O40" s="106"/>
      <c r="P40" s="505" t="str">
        <f>_xlfn.XLOOKUP('MAPEO MALLA'!P39,'ASIGNACIÓN ASIGNATURAS'!$AD:$AD,'ASIGNACIÓN ASIGNATURAS'!$AG:$AG,"",0)</f>
        <v/>
      </c>
      <c r="Q40" s="505"/>
      <c r="R40" s="505"/>
      <c r="S40" s="106"/>
      <c r="T40" s="505" t="str">
        <f>_xlfn.XLOOKUP('MAPEO MALLA'!T39,'ASIGNACIÓN ASIGNATURAS'!$AD:$AD,'ASIGNACIÓN ASIGNATURAS'!$AG:$AG,"",0)</f>
        <v/>
      </c>
      <c r="U40" s="505"/>
      <c r="V40" s="505"/>
      <c r="W40" s="30"/>
      <c r="X40" s="566"/>
      <c r="Y40" s="306"/>
      <c r="Z40" s="570"/>
      <c r="AA40" s="307"/>
      <c r="AB40" s="573"/>
      <c r="AC40" s="30"/>
      <c r="AD40" s="24"/>
      <c r="AE40" s="106"/>
      <c r="AF40" s="505" t="str">
        <f>_xlfn.XLOOKUP('MAPEO MALLA'!AF39,'ASIGNACIÓN ASIGNATURAS'!$AD:$AD,'ASIGNACIÓN ASIGNATURAS'!$AG:$AG,"",0)</f>
        <v/>
      </c>
      <c r="AG40" s="505"/>
      <c r="AH40" s="505"/>
      <c r="AI40" s="106"/>
      <c r="AJ40" s="505" t="str">
        <f>_xlfn.XLOOKUP('MAPEO MALLA'!AJ39,'ASIGNACIÓN ASIGNATURAS'!$AD:$AD,'ASIGNACIÓN ASIGNATURAS'!$AG:$AG,"",0)</f>
        <v/>
      </c>
      <c r="AK40" s="505"/>
      <c r="AL40" s="505"/>
      <c r="AM40" s="401"/>
      <c r="AN40" s="401" t="str">
        <f>_xlfn.XLOOKUP('MAPEO MALLA'!AN39,'ASIGNACIÓN ASIGNATURAS'!$AD:$AD,'ASIGNACIÓN ASIGNATURAS'!$AG:$AG,"",0)</f>
        <v/>
      </c>
      <c r="AO40" s="401"/>
      <c r="AP40" s="401"/>
      <c r="AQ40" s="401"/>
      <c r="AR40" s="566"/>
      <c r="AS40" s="308"/>
      <c r="AT40" s="577"/>
      <c r="AU40" s="307"/>
      <c r="AV40" s="573"/>
      <c r="AW40" s="30"/>
      <c r="AX40" s="24"/>
      <c r="AY40" s="106"/>
      <c r="AZ40" s="505" t="str">
        <f>_xlfn.XLOOKUP('MAPEO MALLA'!AZ39,'ASIGNACIÓN ASIGNATURAS'!$AD:$AD,'ASIGNACIÓN ASIGNATURAS'!$AG:$AG,"",0)</f>
        <v/>
      </c>
      <c r="BA40" s="505"/>
      <c r="BB40" s="505"/>
      <c r="BC40" s="106"/>
      <c r="BD40" s="505" t="str">
        <f>_xlfn.XLOOKUP('MAPEO MALLA'!BD39,'ASIGNACIÓN ASIGNATURAS'!$AD:$AD,'ASIGNACIÓN ASIGNATURAS'!$AG:$AG,"",0)</f>
        <v/>
      </c>
      <c r="BE40" s="505"/>
      <c r="BF40" s="505"/>
      <c r="BG40" s="106"/>
      <c r="BH40" s="505" t="str">
        <f>_xlfn.XLOOKUP('MAPEO MALLA'!BH39,'ASIGNACIÓN ASIGNATURAS'!$AD:$AD,'ASIGNACIÓN ASIGNATURAS'!$AG:$AG,"",0)</f>
        <v/>
      </c>
      <c r="BI40" s="505"/>
      <c r="BJ40" s="505"/>
      <c r="BK40" s="30"/>
      <c r="BL40" s="566"/>
      <c r="BM40" s="309"/>
      <c r="BN40" s="577"/>
      <c r="BO40" s="309"/>
      <c r="BP40" s="573"/>
      <c r="BQ40" s="18"/>
      <c r="BR40" s="49"/>
    </row>
    <row r="41" spans="1:70" ht="60.6" x14ac:dyDescent="0.75">
      <c r="A41" s="12"/>
      <c r="B41" s="14"/>
      <c r="C41" s="568"/>
      <c r="D41" s="10"/>
      <c r="E41" s="566"/>
      <c r="F41" s="18"/>
      <c r="G41" s="30"/>
      <c r="H41" s="505"/>
      <c r="I41" s="505"/>
      <c r="J41" s="505"/>
      <c r="K41" s="51"/>
      <c r="L41" s="505"/>
      <c r="M41" s="505"/>
      <c r="N41" s="505"/>
      <c r="O41" s="51"/>
      <c r="P41" s="505"/>
      <c r="Q41" s="505"/>
      <c r="R41" s="505"/>
      <c r="S41" s="51"/>
      <c r="T41" s="505"/>
      <c r="U41" s="505"/>
      <c r="V41" s="505"/>
      <c r="W41" s="30"/>
      <c r="X41" s="566"/>
      <c r="Y41" s="306"/>
      <c r="Z41" s="570"/>
      <c r="AA41" s="307"/>
      <c r="AB41" s="573"/>
      <c r="AC41" s="30"/>
      <c r="AD41" s="24"/>
      <c r="AE41" s="51"/>
      <c r="AF41" s="505"/>
      <c r="AG41" s="505"/>
      <c r="AH41" s="505"/>
      <c r="AI41" s="51"/>
      <c r="AJ41" s="505"/>
      <c r="AK41" s="505"/>
      <c r="AL41" s="505"/>
      <c r="AM41" s="401"/>
      <c r="AN41" s="401"/>
      <c r="AO41" s="401"/>
      <c r="AP41" s="401"/>
      <c r="AQ41" s="401"/>
      <c r="AR41" s="566"/>
      <c r="AS41" s="308"/>
      <c r="AT41" s="577"/>
      <c r="AU41" s="307"/>
      <c r="AV41" s="573"/>
      <c r="AW41" s="30"/>
      <c r="AX41" s="24"/>
      <c r="AY41" s="51"/>
      <c r="AZ41" s="505"/>
      <c r="BA41" s="505"/>
      <c r="BB41" s="505"/>
      <c r="BC41" s="51"/>
      <c r="BD41" s="505"/>
      <c r="BE41" s="505"/>
      <c r="BF41" s="505"/>
      <c r="BG41" s="51"/>
      <c r="BH41" s="505"/>
      <c r="BI41" s="505"/>
      <c r="BJ41" s="505"/>
      <c r="BK41" s="30"/>
      <c r="BL41" s="566"/>
      <c r="BM41" s="309"/>
      <c r="BN41" s="577"/>
      <c r="BO41" s="309"/>
      <c r="BP41" s="573"/>
      <c r="BQ41" s="18"/>
      <c r="BR41" s="49"/>
    </row>
    <row r="42" spans="1:70" ht="39" customHeight="1" x14ac:dyDescent="0.75">
      <c r="A42" s="12"/>
      <c r="B42" s="14"/>
      <c r="C42" s="568"/>
      <c r="D42" s="10"/>
      <c r="E42" s="566"/>
      <c r="F42" s="18"/>
      <c r="G42" s="30"/>
      <c r="H42" s="444" t="str">
        <f>_xlfn.XLOOKUP('MAPEO MALLA'!H39,'ASIGNACIÓN ASIGNATURAS'!$AD:$AD,'ASIGNACIÓN ASIGNATURAS'!$T:$T,"",0)</f>
        <v/>
      </c>
      <c r="I42" s="459" t="str">
        <f>_xlfn.XLOOKUP('MAPEO MALLA'!H39,'ASIGNACIÓN ASIGNATURAS'!$AD:$AD,'ASIGNACIÓN ASIGNATURAS'!$U:$U,"",0)</f>
        <v/>
      </c>
      <c r="J42" s="443">
        <f>IF(H42="",,(H42+I42)/48)</f>
        <v>0</v>
      </c>
      <c r="K42" s="106"/>
      <c r="L42" s="444" t="str">
        <f>_xlfn.XLOOKUP('MAPEO MALLA'!L39,'ASIGNACIÓN ASIGNATURAS'!$AD:$AD,'ASIGNACIÓN ASIGNATURAS'!$T:$T,"",0)</f>
        <v/>
      </c>
      <c r="M42" s="459" t="str">
        <f>_xlfn.XLOOKUP('MAPEO MALLA'!L39,'ASIGNACIÓN ASIGNATURAS'!$AD:$AD,'ASIGNACIÓN ASIGNATURAS'!$U:$U,"",0)</f>
        <v/>
      </c>
      <c r="N42" s="443">
        <f>IF(L42="",,(L42+M42)/48)</f>
        <v>0</v>
      </c>
      <c r="O42" s="106"/>
      <c r="P42" s="444" t="str">
        <f>_xlfn.XLOOKUP('MAPEO MALLA'!P39,'ASIGNACIÓN ASIGNATURAS'!$AD:$AD,'ASIGNACIÓN ASIGNATURAS'!$T:$T,"",0)</f>
        <v/>
      </c>
      <c r="Q42" s="459" t="str">
        <f>_xlfn.XLOOKUP('MAPEO MALLA'!P39,'ASIGNACIÓN ASIGNATURAS'!$AD:$AD,'ASIGNACIÓN ASIGNATURAS'!$U:$U,"",0)</f>
        <v/>
      </c>
      <c r="R42" s="443">
        <f>IF(P42="",,(P42+Q42)/48)</f>
        <v>0</v>
      </c>
      <c r="S42" s="106"/>
      <c r="T42" s="444" t="str">
        <f>_xlfn.XLOOKUP('MAPEO MALLA'!T39,'ASIGNACIÓN ASIGNATURAS'!$AD:$AD,'ASIGNACIÓN ASIGNATURAS'!$T:$T,"",0)</f>
        <v/>
      </c>
      <c r="U42" s="459" t="str">
        <f>_xlfn.XLOOKUP('MAPEO MALLA'!T39,'ASIGNACIÓN ASIGNATURAS'!$AD:$AD,'ASIGNACIÓN ASIGNATURAS'!$U:$U,"",0)</f>
        <v/>
      </c>
      <c r="V42" s="443">
        <f>IF(T42="",,(T42+U42)/48)</f>
        <v>0</v>
      </c>
      <c r="W42" s="30"/>
      <c r="X42" s="566"/>
      <c r="Y42" s="306"/>
      <c r="Z42" s="570"/>
      <c r="AA42" s="307"/>
      <c r="AB42" s="573"/>
      <c r="AC42" s="30"/>
      <c r="AD42" s="24"/>
      <c r="AE42" s="106"/>
      <c r="AF42" s="444" t="str">
        <f>_xlfn.XLOOKUP('MAPEO MALLA'!AF39,'ASIGNACIÓN ASIGNATURAS'!$AD:$AD,'ASIGNACIÓN ASIGNATURAS'!$T:$T,"",0)</f>
        <v/>
      </c>
      <c r="AG42" s="459" t="str">
        <f>_xlfn.XLOOKUP('MAPEO MALLA'!AF39,'ASIGNACIÓN ASIGNATURAS'!$AD:$AD,'ASIGNACIÓN ASIGNATURAS'!$U:$U,"",0)</f>
        <v/>
      </c>
      <c r="AH42" s="443">
        <f>IF(AF42="",,(AF42+AG42)/48)</f>
        <v>0</v>
      </c>
      <c r="AI42" s="106"/>
      <c r="AJ42" s="444" t="str">
        <f>_xlfn.XLOOKUP('MAPEO MALLA'!AJ39,'ASIGNACIÓN ASIGNATURAS'!$AD:$AD,'ASIGNACIÓN ASIGNATURAS'!$T:$T,"",0)</f>
        <v/>
      </c>
      <c r="AK42" s="459" t="str">
        <f>_xlfn.XLOOKUP('MAPEO MALLA'!AJ39,'ASIGNACIÓN ASIGNATURAS'!$AD:$AD,'ASIGNACIÓN ASIGNATURAS'!$U:$U,"",0)</f>
        <v/>
      </c>
      <c r="AL42" s="443">
        <f>IF(AJ42="",,(AJ42+AK42)/48)</f>
        <v>0</v>
      </c>
      <c r="AM42" s="401"/>
      <c r="AN42" s="401" t="str">
        <f>_xlfn.XLOOKUP('MAPEO MALLA'!AN39,'ASIGNACIÓN ASIGNATURAS'!$AD:$AD,'ASIGNACIÓN ASIGNATURAS'!$T:$T,"",0)</f>
        <v/>
      </c>
      <c r="AO42" s="401" t="str">
        <f>_xlfn.XLOOKUP('MAPEO MALLA'!AN39,'ASIGNACIÓN ASIGNATURAS'!$AD:$AD,'ASIGNACIÓN ASIGNATURAS'!$U:$U,"",0)</f>
        <v/>
      </c>
      <c r="AP42" s="401">
        <f>IF(AN42="",,(AN42+AO42)/48)</f>
        <v>0</v>
      </c>
      <c r="AQ42" s="401"/>
      <c r="AR42" s="566"/>
      <c r="AS42" s="308"/>
      <c r="AT42" s="577"/>
      <c r="AU42" s="307"/>
      <c r="AV42" s="573"/>
      <c r="AW42" s="30"/>
      <c r="AX42" s="24"/>
      <c r="AY42" s="106"/>
      <c r="AZ42" s="444" t="str">
        <f>_xlfn.XLOOKUP('MAPEO MALLA'!AZ39,'ASIGNACIÓN ASIGNATURAS'!$AD:$AD,'ASIGNACIÓN ASIGNATURAS'!$T:$T,"",0)</f>
        <v/>
      </c>
      <c r="BA42" s="459" t="str">
        <f>_xlfn.XLOOKUP('MAPEO MALLA'!AZ39,'ASIGNACIÓN ASIGNATURAS'!$AD:$AD,'ASIGNACIÓN ASIGNATURAS'!$U:$U,"",0)</f>
        <v/>
      </c>
      <c r="BB42" s="443">
        <f>IF(AZ42="",,(AZ42+BA42)/48)</f>
        <v>0</v>
      </c>
      <c r="BC42" s="106"/>
      <c r="BD42" s="444" t="str">
        <f>_xlfn.XLOOKUP('MAPEO MALLA'!BD39,'ASIGNACIÓN ASIGNATURAS'!$AD:$AD,'ASIGNACIÓN ASIGNATURAS'!$T:$T,"",0)</f>
        <v/>
      </c>
      <c r="BE42" s="459" t="str">
        <f>_xlfn.XLOOKUP('MAPEO MALLA'!BD39,'ASIGNACIÓN ASIGNATURAS'!$AD:$AD,'ASIGNACIÓN ASIGNATURAS'!$U:$U,"",0)</f>
        <v/>
      </c>
      <c r="BF42" s="443">
        <f>IF(BD42="",,(BD42+BE42)/48)</f>
        <v>0</v>
      </c>
      <c r="BG42" s="106"/>
      <c r="BH42" s="444" t="str">
        <f>_xlfn.XLOOKUP('MAPEO MALLA'!BH39,'ASIGNACIÓN ASIGNATURAS'!$AD:$AD,'ASIGNACIÓN ASIGNATURAS'!$T:$T,"",0)</f>
        <v/>
      </c>
      <c r="BI42" s="459" t="str">
        <f>_xlfn.XLOOKUP('MAPEO MALLA'!BH39,'ASIGNACIÓN ASIGNATURAS'!$AD:$AD,'ASIGNACIÓN ASIGNATURAS'!$U:$U,"",0)</f>
        <v/>
      </c>
      <c r="BJ42" s="443">
        <f>IF(BH42="",,(BH42+BI42)/48)</f>
        <v>0</v>
      </c>
      <c r="BK42" s="30"/>
      <c r="BL42" s="566"/>
      <c r="BM42" s="309"/>
      <c r="BN42" s="577"/>
      <c r="BO42" s="309"/>
      <c r="BP42" s="573"/>
      <c r="BQ42" s="18"/>
      <c r="BR42" s="49"/>
    </row>
    <row r="43" spans="1:70" ht="60.6" x14ac:dyDescent="0.75">
      <c r="A43" s="12"/>
      <c r="B43" s="14"/>
      <c r="C43" s="568"/>
      <c r="D43" s="10"/>
      <c r="E43" s="429"/>
      <c r="F43" s="18"/>
      <c r="G43" s="30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306"/>
      <c r="Z43" s="570"/>
      <c r="AA43" s="307"/>
      <c r="AB43" s="573"/>
      <c r="AC43" s="30"/>
      <c r="AD43" s="24"/>
      <c r="AE43" s="51"/>
      <c r="AF43" s="51"/>
      <c r="AG43" s="51"/>
      <c r="AH43" s="51"/>
      <c r="AI43" s="51"/>
      <c r="AJ43" s="51"/>
      <c r="AK43" s="51"/>
      <c r="AL43" s="51"/>
      <c r="AM43" s="401"/>
      <c r="AN43" s="401"/>
      <c r="AO43" s="401"/>
      <c r="AP43" s="401"/>
      <c r="AQ43" s="401"/>
      <c r="AR43" s="311"/>
      <c r="AS43" s="308"/>
      <c r="AT43" s="577"/>
      <c r="AU43" s="307"/>
      <c r="AV43" s="573"/>
      <c r="AW43" s="30"/>
      <c r="AX43" s="24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311"/>
      <c r="BM43" s="309"/>
      <c r="BN43" s="577"/>
      <c r="BO43" s="309"/>
      <c r="BP43" s="573"/>
      <c r="BQ43" s="18"/>
      <c r="BR43" s="49"/>
    </row>
    <row r="44" spans="1:70" ht="112.5" customHeight="1" x14ac:dyDescent="0.75">
      <c r="A44" s="12"/>
      <c r="B44" s="14"/>
      <c r="C44" s="568"/>
      <c r="D44" s="10"/>
      <c r="E44" s="566">
        <f>'MAPEO MALLA'!E44</f>
        <v>0</v>
      </c>
      <c r="F44" s="18"/>
      <c r="G44" s="30"/>
      <c r="H44" s="504" t="str">
        <f>_xlfn.XLOOKUP('MAPEO MALLA'!H44,'ASIGNACIÓN ASIGNATURAS'!$AD:$AD,'ASIGNACIÓN ASIGNATURAS'!$O:$O,"",0)</f>
        <v/>
      </c>
      <c r="I44" s="504"/>
      <c r="J44" s="504"/>
      <c r="K44" s="51"/>
      <c r="L44" s="504" t="str">
        <f>_xlfn.XLOOKUP('MAPEO MALLA'!L44,'ASIGNACIÓN ASIGNATURAS'!$AD:$AD,'ASIGNACIÓN ASIGNATURAS'!$O:$O,"",0)</f>
        <v/>
      </c>
      <c r="M44" s="504"/>
      <c r="N44" s="504"/>
      <c r="O44" s="51"/>
      <c r="P44" s="504" t="str">
        <f>_xlfn.XLOOKUP('MAPEO MALLA'!P44,'ASIGNACIÓN ASIGNATURAS'!$AD:$AD,'ASIGNACIÓN ASIGNATURAS'!$O:$O,"",0)</f>
        <v/>
      </c>
      <c r="Q44" s="504"/>
      <c r="R44" s="504"/>
      <c r="S44" s="51"/>
      <c r="T44" s="504" t="str">
        <f>_xlfn.XLOOKUP('MAPEO MALLA'!T44,'ASIGNACIÓN ASIGNATURAS'!$AD:$AD,'ASIGNACIÓN ASIGNATURAS'!$O:$O,"",0)</f>
        <v/>
      </c>
      <c r="U44" s="504"/>
      <c r="V44" s="504"/>
      <c r="W44" s="30"/>
      <c r="X44" s="566">
        <f ca="1">SUMIF('MAPEO MALLA'!$E$14:$E$58,'PLANTILLA MALLA PREGRADO'!$E44,'MAPEO MALLA'!$X$14:$X$57)</f>
        <v>0</v>
      </c>
      <c r="Y44" s="306"/>
      <c r="Z44" s="570"/>
      <c r="AA44" s="307"/>
      <c r="AB44" s="573"/>
      <c r="AC44" s="30"/>
      <c r="AD44" s="24"/>
      <c r="AE44" s="51"/>
      <c r="AF44" s="504" t="str">
        <f>_xlfn.XLOOKUP('MAPEO MALLA'!AF44,'ASIGNACIÓN ASIGNATURAS'!$AD:$AD,'ASIGNACIÓN ASIGNATURAS'!$O:$O,"",0)</f>
        <v/>
      </c>
      <c r="AG44" s="504"/>
      <c r="AH44" s="504"/>
      <c r="AI44" s="51"/>
      <c r="AJ44" s="504" t="str">
        <f>_xlfn.XLOOKUP('MAPEO MALLA'!AJ44,'ASIGNACIÓN ASIGNATURAS'!$AD:$AD,'ASIGNACIÓN ASIGNATURAS'!$O:$O,"",0)</f>
        <v/>
      </c>
      <c r="AK44" s="504"/>
      <c r="AL44" s="504"/>
      <c r="AM44" s="401"/>
      <c r="AN44" s="401" t="str">
        <f>_xlfn.XLOOKUP('MAPEO MALLA'!AN44,'ASIGNACIÓN ASIGNATURAS'!$AD:$AD,'ASIGNACIÓN ASIGNATURAS'!$O:$O,"",0)</f>
        <v/>
      </c>
      <c r="AO44" s="401"/>
      <c r="AP44" s="401"/>
      <c r="AQ44" s="401"/>
      <c r="AR44" s="566">
        <f ca="1">SUMIF('MAPEO MALLA'!$E$14:$E$58,'PLANTILLA MALLA PREGRADO'!$E44,'MAPEO MALLA'!$AR$14:$AR$57)+X44</f>
        <v>0</v>
      </c>
      <c r="AS44" s="308"/>
      <c r="AT44" s="577"/>
      <c r="AU44" s="307"/>
      <c r="AV44" s="573"/>
      <c r="AW44" s="30"/>
      <c r="AX44" s="24"/>
      <c r="AY44" s="51"/>
      <c r="AZ44" s="504" t="str">
        <f>_xlfn.XLOOKUP('MAPEO MALLA'!AZ44,'ASIGNACIÓN ASIGNATURAS'!$AD:$AD,'ASIGNACIÓN ASIGNATURAS'!$O:$O,"",0)</f>
        <v/>
      </c>
      <c r="BA44" s="504"/>
      <c r="BB44" s="504"/>
      <c r="BC44" s="51"/>
      <c r="BD44" s="504" t="str">
        <f>_xlfn.XLOOKUP('MAPEO MALLA'!BD44,'ASIGNACIÓN ASIGNATURAS'!$AD:$AD,'ASIGNACIÓN ASIGNATURAS'!$O:$O,"",0)</f>
        <v/>
      </c>
      <c r="BE44" s="504"/>
      <c r="BF44" s="504"/>
      <c r="BG44" s="51"/>
      <c r="BH44" s="504" t="str">
        <f>_xlfn.XLOOKUP('MAPEO MALLA'!BH44,'ASIGNACIÓN ASIGNATURAS'!$AD:$AD,'ASIGNACIÓN ASIGNATURAS'!$O:$O,"",0)</f>
        <v/>
      </c>
      <c r="BI44" s="504"/>
      <c r="BJ44" s="504"/>
      <c r="BK44" s="30"/>
      <c r="BL44" s="566">
        <f ca="1">SUMIF('MAPEO MALLA'!$E$14:$E$58,'PLANTILLA MALLA PREGRADO'!$E44,'MAPEO MALLA'!$BL$14:$BL$57)+AR44</f>
        <v>0</v>
      </c>
      <c r="BM44" s="309"/>
      <c r="BN44" s="577"/>
      <c r="BO44" s="309"/>
      <c r="BP44" s="573"/>
      <c r="BQ44" s="18"/>
      <c r="BR44" s="49"/>
    </row>
    <row r="45" spans="1:70" ht="60.45" customHeight="1" x14ac:dyDescent="0.75">
      <c r="A45" s="12"/>
      <c r="B45" s="14"/>
      <c r="C45" s="568"/>
      <c r="D45" s="10"/>
      <c r="E45" s="566"/>
      <c r="F45" s="18"/>
      <c r="G45" s="30"/>
      <c r="H45" s="505" t="str">
        <f>_xlfn.XLOOKUP('MAPEO MALLA'!H44,'ASIGNACIÓN ASIGNATURAS'!$AD:$AD,'ASIGNACIÓN ASIGNATURAS'!$AG:$AG,"",0)</f>
        <v/>
      </c>
      <c r="I45" s="505"/>
      <c r="J45" s="505"/>
      <c r="K45" s="106"/>
      <c r="L45" s="505" t="str">
        <f>_xlfn.XLOOKUP('MAPEO MALLA'!L44,'ASIGNACIÓN ASIGNATURAS'!$AD:$AD,'ASIGNACIÓN ASIGNATURAS'!$AG:$AG,"",0)</f>
        <v/>
      </c>
      <c r="M45" s="505"/>
      <c r="N45" s="505"/>
      <c r="O45" s="106"/>
      <c r="P45" s="505" t="str">
        <f>_xlfn.XLOOKUP('MAPEO MALLA'!P44,'ASIGNACIÓN ASIGNATURAS'!$AD:$AD,'ASIGNACIÓN ASIGNATURAS'!$AG:$AG,"",0)</f>
        <v/>
      </c>
      <c r="Q45" s="505"/>
      <c r="R45" s="505"/>
      <c r="S45" s="106"/>
      <c r="T45" s="505" t="str">
        <f>_xlfn.XLOOKUP('MAPEO MALLA'!T44,'ASIGNACIÓN ASIGNATURAS'!$AD:$AD,'ASIGNACIÓN ASIGNATURAS'!$AG:$AG,"",0)</f>
        <v/>
      </c>
      <c r="U45" s="505"/>
      <c r="V45" s="505"/>
      <c r="W45" s="30"/>
      <c r="X45" s="566"/>
      <c r="Y45" s="306"/>
      <c r="Z45" s="570"/>
      <c r="AA45" s="307"/>
      <c r="AB45" s="573"/>
      <c r="AC45" s="30"/>
      <c r="AD45" s="24"/>
      <c r="AE45" s="106"/>
      <c r="AF45" s="505" t="str">
        <f>_xlfn.XLOOKUP('MAPEO MALLA'!AF44,'ASIGNACIÓN ASIGNATURAS'!$AD:$AD,'ASIGNACIÓN ASIGNATURAS'!$AG:$AG,"",0)</f>
        <v/>
      </c>
      <c r="AG45" s="505"/>
      <c r="AH45" s="505"/>
      <c r="AI45" s="106"/>
      <c r="AJ45" s="505" t="str">
        <f>_xlfn.XLOOKUP('MAPEO MALLA'!AJ44,'ASIGNACIÓN ASIGNATURAS'!$AD:$AD,'ASIGNACIÓN ASIGNATURAS'!$AG:$AG,"",0)</f>
        <v/>
      </c>
      <c r="AK45" s="505"/>
      <c r="AL45" s="505"/>
      <c r="AM45" s="401"/>
      <c r="AN45" s="401" t="str">
        <f>_xlfn.XLOOKUP('MAPEO MALLA'!AN44,'ASIGNACIÓN ASIGNATURAS'!$AD:$AD,'ASIGNACIÓN ASIGNATURAS'!$AG:$AG,"",0)</f>
        <v/>
      </c>
      <c r="AO45" s="401"/>
      <c r="AP45" s="401"/>
      <c r="AQ45" s="401"/>
      <c r="AR45" s="566"/>
      <c r="AS45" s="308"/>
      <c r="AT45" s="577"/>
      <c r="AU45" s="307"/>
      <c r="AV45" s="573"/>
      <c r="AW45" s="30"/>
      <c r="AX45" s="24"/>
      <c r="AY45" s="106"/>
      <c r="AZ45" s="505" t="str">
        <f>_xlfn.XLOOKUP('MAPEO MALLA'!AZ44,'ASIGNACIÓN ASIGNATURAS'!$AD:$AD,'ASIGNACIÓN ASIGNATURAS'!$AG:$AG,"",0)</f>
        <v/>
      </c>
      <c r="BA45" s="505"/>
      <c r="BB45" s="505"/>
      <c r="BC45" s="106"/>
      <c r="BD45" s="505" t="str">
        <f>_xlfn.XLOOKUP('MAPEO MALLA'!BD44,'ASIGNACIÓN ASIGNATURAS'!$AD:$AD,'ASIGNACIÓN ASIGNATURAS'!$AG:$AG,"",0)</f>
        <v/>
      </c>
      <c r="BE45" s="505"/>
      <c r="BF45" s="505"/>
      <c r="BG45" s="106"/>
      <c r="BH45" s="505" t="str">
        <f>_xlfn.XLOOKUP('MAPEO MALLA'!BH44,'ASIGNACIÓN ASIGNATURAS'!$AD:$AD,'ASIGNACIÓN ASIGNATURAS'!$AG:$AG,"",0)</f>
        <v/>
      </c>
      <c r="BI45" s="505"/>
      <c r="BJ45" s="505"/>
      <c r="BK45" s="30"/>
      <c r="BL45" s="566"/>
      <c r="BM45" s="309"/>
      <c r="BN45" s="577"/>
      <c r="BO45" s="309"/>
      <c r="BP45" s="573"/>
      <c r="BQ45" s="18"/>
      <c r="BR45" s="49"/>
    </row>
    <row r="46" spans="1:70" ht="60.6" x14ac:dyDescent="0.75">
      <c r="A46" s="12"/>
      <c r="B46" s="14"/>
      <c r="C46" s="568"/>
      <c r="D46" s="10"/>
      <c r="E46" s="566"/>
      <c r="F46" s="18"/>
      <c r="G46" s="30"/>
      <c r="H46" s="505"/>
      <c r="I46" s="505"/>
      <c r="J46" s="505"/>
      <c r="K46" s="51"/>
      <c r="L46" s="505"/>
      <c r="M46" s="505"/>
      <c r="N46" s="505"/>
      <c r="O46" s="51"/>
      <c r="P46" s="505"/>
      <c r="Q46" s="505"/>
      <c r="R46" s="505"/>
      <c r="S46" s="51"/>
      <c r="T46" s="505"/>
      <c r="U46" s="505"/>
      <c r="V46" s="505"/>
      <c r="W46" s="30"/>
      <c r="X46" s="566"/>
      <c r="Y46" s="306"/>
      <c r="Z46" s="570"/>
      <c r="AA46" s="307"/>
      <c r="AB46" s="573"/>
      <c r="AC46" s="30"/>
      <c r="AD46" s="24"/>
      <c r="AE46" s="51"/>
      <c r="AF46" s="505"/>
      <c r="AG46" s="505"/>
      <c r="AH46" s="505"/>
      <c r="AI46" s="51"/>
      <c r="AJ46" s="505"/>
      <c r="AK46" s="505"/>
      <c r="AL46" s="505"/>
      <c r="AM46" s="401"/>
      <c r="AN46" s="401"/>
      <c r="AO46" s="401"/>
      <c r="AP46" s="401"/>
      <c r="AQ46" s="401"/>
      <c r="AR46" s="566"/>
      <c r="AS46" s="308"/>
      <c r="AT46" s="577"/>
      <c r="AU46" s="307"/>
      <c r="AV46" s="573"/>
      <c r="AW46" s="30"/>
      <c r="AX46" s="24"/>
      <c r="AY46" s="51"/>
      <c r="AZ46" s="505"/>
      <c r="BA46" s="505"/>
      <c r="BB46" s="505"/>
      <c r="BC46" s="51"/>
      <c r="BD46" s="505"/>
      <c r="BE46" s="505"/>
      <c r="BF46" s="505"/>
      <c r="BG46" s="51"/>
      <c r="BH46" s="505"/>
      <c r="BI46" s="505"/>
      <c r="BJ46" s="505"/>
      <c r="BK46" s="30"/>
      <c r="BL46" s="566"/>
      <c r="BM46" s="309"/>
      <c r="BN46" s="577"/>
      <c r="BO46" s="309"/>
      <c r="BP46" s="573"/>
      <c r="BQ46" s="18"/>
      <c r="BR46" s="49"/>
    </row>
    <row r="47" spans="1:70" ht="38.25" customHeight="1" x14ac:dyDescent="0.75">
      <c r="A47" s="12"/>
      <c r="B47" s="14"/>
      <c r="C47" s="568"/>
      <c r="D47" s="10"/>
      <c r="E47" s="566"/>
      <c r="F47" s="18"/>
      <c r="G47" s="30"/>
      <c r="H47" s="444" t="str">
        <f>_xlfn.XLOOKUP('MAPEO MALLA'!H44,'ASIGNACIÓN ASIGNATURAS'!$AD:$AD,'ASIGNACIÓN ASIGNATURAS'!$T:$T,"",0)</f>
        <v/>
      </c>
      <c r="I47" s="459" t="str">
        <f>_xlfn.XLOOKUP('MAPEO MALLA'!H44,'ASIGNACIÓN ASIGNATURAS'!$AD:$AD,'ASIGNACIÓN ASIGNATURAS'!$U:$U,"",0)</f>
        <v/>
      </c>
      <c r="J47" s="443">
        <f>IF(H47="",,(H47+I47)/48)</f>
        <v>0</v>
      </c>
      <c r="K47" s="106"/>
      <c r="L47" s="444" t="str">
        <f>_xlfn.XLOOKUP('MAPEO MALLA'!L44,'ASIGNACIÓN ASIGNATURAS'!$AD:$AD,'ASIGNACIÓN ASIGNATURAS'!$T:$T,"",0)</f>
        <v/>
      </c>
      <c r="M47" s="459" t="str">
        <f>_xlfn.XLOOKUP('MAPEO MALLA'!L44,'ASIGNACIÓN ASIGNATURAS'!$AD:$AD,'ASIGNACIÓN ASIGNATURAS'!$U:$U,"",0)</f>
        <v/>
      </c>
      <c r="N47" s="443">
        <f>IF(L47="",,(L47+M47)/48)</f>
        <v>0</v>
      </c>
      <c r="O47" s="106"/>
      <c r="P47" s="444" t="str">
        <f>_xlfn.XLOOKUP('MAPEO MALLA'!P44,'ASIGNACIÓN ASIGNATURAS'!$AD:$AD,'ASIGNACIÓN ASIGNATURAS'!$T:$T,"",0)</f>
        <v/>
      </c>
      <c r="Q47" s="459" t="str">
        <f>_xlfn.XLOOKUP('MAPEO MALLA'!P44,'ASIGNACIÓN ASIGNATURAS'!$AD:$AD,'ASIGNACIÓN ASIGNATURAS'!$U:$U,"",0)</f>
        <v/>
      </c>
      <c r="R47" s="443">
        <f>IF(P47="",,(P47+Q47)/48)</f>
        <v>0</v>
      </c>
      <c r="S47" s="106"/>
      <c r="T47" s="444" t="str">
        <f>_xlfn.XLOOKUP('MAPEO MALLA'!T44,'ASIGNACIÓN ASIGNATURAS'!$AD:$AD,'ASIGNACIÓN ASIGNATURAS'!$T:$T,"",0)</f>
        <v/>
      </c>
      <c r="U47" s="459" t="str">
        <f>_xlfn.XLOOKUP('MAPEO MALLA'!T44,'ASIGNACIÓN ASIGNATURAS'!$AD:$AD,'ASIGNACIÓN ASIGNATURAS'!$U:$U,"",0)</f>
        <v/>
      </c>
      <c r="V47" s="443">
        <f>IF(T47="",,(T47+U47)/48)</f>
        <v>0</v>
      </c>
      <c r="W47" s="30"/>
      <c r="X47" s="566"/>
      <c r="Y47" s="306"/>
      <c r="Z47" s="570"/>
      <c r="AA47" s="307"/>
      <c r="AB47" s="573"/>
      <c r="AC47" s="30"/>
      <c r="AD47" s="24"/>
      <c r="AE47" s="106"/>
      <c r="AF47" s="444" t="str">
        <f>_xlfn.XLOOKUP('MAPEO MALLA'!AF44,'ASIGNACIÓN ASIGNATURAS'!$AD:$AD,'ASIGNACIÓN ASIGNATURAS'!$T:$T,"",0)</f>
        <v/>
      </c>
      <c r="AG47" s="459" t="str">
        <f>_xlfn.XLOOKUP('MAPEO MALLA'!AF44,'ASIGNACIÓN ASIGNATURAS'!$AD:$AD,'ASIGNACIÓN ASIGNATURAS'!$U:$U,"",0)</f>
        <v/>
      </c>
      <c r="AH47" s="443">
        <f>IF(AF47="",,(AF47+AG47)/48)</f>
        <v>0</v>
      </c>
      <c r="AI47" s="106"/>
      <c r="AJ47" s="444" t="str">
        <f>_xlfn.XLOOKUP('MAPEO MALLA'!AJ44,'ASIGNACIÓN ASIGNATURAS'!$AD:$AD,'ASIGNACIÓN ASIGNATURAS'!$T:$T,"",0)</f>
        <v/>
      </c>
      <c r="AK47" s="459" t="str">
        <f>_xlfn.XLOOKUP('MAPEO MALLA'!AJ44,'ASIGNACIÓN ASIGNATURAS'!$AD:$AD,'ASIGNACIÓN ASIGNATURAS'!$U:$U,"",0)</f>
        <v/>
      </c>
      <c r="AL47" s="443">
        <f>IF(AJ47="",,(AJ47+AK47)/48)</f>
        <v>0</v>
      </c>
      <c r="AM47" s="401"/>
      <c r="AN47" s="401" t="str">
        <f>_xlfn.XLOOKUP('MAPEO MALLA'!AN44,'ASIGNACIÓN ASIGNATURAS'!$AD:$AD,'ASIGNACIÓN ASIGNATURAS'!$T:$T,"",0)</f>
        <v/>
      </c>
      <c r="AO47" s="401" t="str">
        <f>_xlfn.XLOOKUP('MAPEO MALLA'!AN44,'ASIGNACIÓN ASIGNATURAS'!$AD:$AD,'ASIGNACIÓN ASIGNATURAS'!$U:$U,"",0)</f>
        <v/>
      </c>
      <c r="AP47" s="401">
        <f>IF(AN47="",,(AN47+AO47)/48)</f>
        <v>0</v>
      </c>
      <c r="AQ47" s="401"/>
      <c r="AR47" s="566"/>
      <c r="AS47" s="308"/>
      <c r="AT47" s="577"/>
      <c r="AU47" s="307"/>
      <c r="AV47" s="573"/>
      <c r="AW47" s="30"/>
      <c r="AX47" s="24"/>
      <c r="AY47" s="106"/>
      <c r="AZ47" s="444" t="str">
        <f>_xlfn.XLOOKUP('MAPEO MALLA'!AZ44,'ASIGNACIÓN ASIGNATURAS'!$AD:$AD,'ASIGNACIÓN ASIGNATURAS'!$T:$T,"",0)</f>
        <v/>
      </c>
      <c r="BA47" s="459" t="str">
        <f>_xlfn.XLOOKUP('MAPEO MALLA'!AZ44,'ASIGNACIÓN ASIGNATURAS'!$AD:$AD,'ASIGNACIÓN ASIGNATURAS'!$U:$U,"",0)</f>
        <v/>
      </c>
      <c r="BB47" s="443">
        <f>IF(AZ47="",,(AZ47+BA47)/48)</f>
        <v>0</v>
      </c>
      <c r="BC47" s="106"/>
      <c r="BD47" s="444" t="str">
        <f>_xlfn.XLOOKUP('MAPEO MALLA'!BD44,'ASIGNACIÓN ASIGNATURAS'!$AD:$AD,'ASIGNACIÓN ASIGNATURAS'!$T:$T,"",0)</f>
        <v/>
      </c>
      <c r="BE47" s="459" t="str">
        <f>_xlfn.XLOOKUP('MAPEO MALLA'!BD44,'ASIGNACIÓN ASIGNATURAS'!$AD:$AD,'ASIGNACIÓN ASIGNATURAS'!$U:$U,"",0)</f>
        <v/>
      </c>
      <c r="BF47" s="443">
        <f>IF(BD47="",,(BD47+BE47)/48)</f>
        <v>0</v>
      </c>
      <c r="BG47" s="106"/>
      <c r="BH47" s="444" t="str">
        <f>_xlfn.XLOOKUP('MAPEO MALLA'!BH44,'ASIGNACIÓN ASIGNATURAS'!$AD:$AD,'ASIGNACIÓN ASIGNATURAS'!$T:$T,"",0)</f>
        <v/>
      </c>
      <c r="BI47" s="459" t="str">
        <f>_xlfn.XLOOKUP('MAPEO MALLA'!BH44,'ASIGNACIÓN ASIGNATURAS'!$AD:$AD,'ASIGNACIÓN ASIGNATURAS'!$U:$U,"",0)</f>
        <v/>
      </c>
      <c r="BJ47" s="443">
        <f>IF(BH47="",,(BH47+BI47)/48)</f>
        <v>0</v>
      </c>
      <c r="BK47" s="30"/>
      <c r="BL47" s="566"/>
      <c r="BM47" s="309"/>
      <c r="BN47" s="577"/>
      <c r="BO47" s="309"/>
      <c r="BP47" s="573"/>
      <c r="BQ47" s="18"/>
      <c r="BR47" s="49"/>
    </row>
    <row r="48" spans="1:70" ht="60.6" x14ac:dyDescent="0.75">
      <c r="A48" s="12"/>
      <c r="B48" s="14"/>
      <c r="C48" s="568"/>
      <c r="D48" s="10"/>
      <c r="E48" s="429"/>
      <c r="F48" s="18"/>
      <c r="G48" s="30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306"/>
      <c r="Z48" s="570"/>
      <c r="AA48" s="307"/>
      <c r="AB48" s="573"/>
      <c r="AC48" s="30"/>
      <c r="AD48" s="24"/>
      <c r="AE48" s="51"/>
      <c r="AF48" s="51"/>
      <c r="AG48" s="51"/>
      <c r="AH48" s="51"/>
      <c r="AI48" s="51"/>
      <c r="AJ48" s="51"/>
      <c r="AK48" s="51"/>
      <c r="AL48" s="51"/>
      <c r="AM48" s="401"/>
      <c r="AN48" s="401"/>
      <c r="AO48" s="401"/>
      <c r="AP48" s="401"/>
      <c r="AQ48" s="401"/>
      <c r="AR48" s="70"/>
      <c r="AS48" s="308"/>
      <c r="AT48" s="577"/>
      <c r="AU48" s="307"/>
      <c r="AV48" s="573"/>
      <c r="AW48" s="30"/>
      <c r="AX48" s="24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  <c r="BL48" s="70"/>
      <c r="BM48" s="309"/>
      <c r="BN48" s="577"/>
      <c r="BO48" s="309"/>
      <c r="BP48" s="573"/>
      <c r="BQ48" s="18"/>
      <c r="BR48" s="49"/>
    </row>
    <row r="49" spans="1:70" ht="117.75" customHeight="1" x14ac:dyDescent="0.75">
      <c r="A49" s="12"/>
      <c r="B49" s="14"/>
      <c r="C49" s="568"/>
      <c r="D49" s="10"/>
      <c r="E49" s="566">
        <f>'MAPEO MALLA'!E49</f>
        <v>0</v>
      </c>
      <c r="F49" s="18"/>
      <c r="G49" s="30"/>
      <c r="H49" s="504" t="str">
        <f>_xlfn.XLOOKUP('MAPEO MALLA'!H49,'ASIGNACIÓN ASIGNATURAS'!$AD:$AD,'ASIGNACIÓN ASIGNATURAS'!$O:$O,"",0)</f>
        <v/>
      </c>
      <c r="I49" s="504"/>
      <c r="J49" s="504"/>
      <c r="K49" s="51"/>
      <c r="L49" s="504" t="str">
        <f>_xlfn.XLOOKUP('MAPEO MALLA'!L49,'ASIGNACIÓN ASIGNATURAS'!$AD:$AD,'ASIGNACIÓN ASIGNATURAS'!$O:$O,"",0)</f>
        <v/>
      </c>
      <c r="M49" s="504"/>
      <c r="N49" s="504"/>
      <c r="O49" s="51"/>
      <c r="P49" s="504" t="str">
        <f>_xlfn.XLOOKUP('MAPEO MALLA'!P49,'ASIGNACIÓN ASIGNATURAS'!$AD:$AD,'ASIGNACIÓN ASIGNATURAS'!$O:$O,"",0)</f>
        <v/>
      </c>
      <c r="Q49" s="504"/>
      <c r="R49" s="504"/>
      <c r="S49" s="51"/>
      <c r="T49" s="504" t="str">
        <f>_xlfn.XLOOKUP('MAPEO MALLA'!T49,'ASIGNACIÓN ASIGNATURAS'!$AD:$AD,'ASIGNACIÓN ASIGNATURAS'!$O:$O,"",0)</f>
        <v/>
      </c>
      <c r="U49" s="504"/>
      <c r="V49" s="504"/>
      <c r="W49" s="30"/>
      <c r="X49" s="566">
        <f ca="1">SUMIF('MAPEO MALLA'!$E$14:$E$58,'PLANTILLA MALLA PREGRADO'!$E49,'MAPEO MALLA'!$X$14:$X$57)</f>
        <v>0</v>
      </c>
      <c r="Y49" s="306"/>
      <c r="Z49" s="570"/>
      <c r="AA49" s="307"/>
      <c r="AB49" s="573"/>
      <c r="AC49" s="30"/>
      <c r="AD49" s="24"/>
      <c r="AE49" s="51"/>
      <c r="AF49" s="504" t="str">
        <f>_xlfn.XLOOKUP('MAPEO MALLA'!AF49,'ASIGNACIÓN ASIGNATURAS'!$AD:$AD,'ASIGNACIÓN ASIGNATURAS'!$O:$O,"",0)</f>
        <v/>
      </c>
      <c r="AG49" s="504"/>
      <c r="AH49" s="504"/>
      <c r="AI49" s="51"/>
      <c r="AJ49" s="504" t="str">
        <f>_xlfn.XLOOKUP('MAPEO MALLA'!AJ49,'ASIGNACIÓN ASIGNATURAS'!$AD:$AD,'ASIGNACIÓN ASIGNATURAS'!$O:$O,"",0)</f>
        <v/>
      </c>
      <c r="AK49" s="504"/>
      <c r="AL49" s="504"/>
      <c r="AM49" s="401"/>
      <c r="AN49" s="401" t="str">
        <f>_xlfn.XLOOKUP('MAPEO MALLA'!AN49,'ASIGNACIÓN ASIGNATURAS'!$AD:$AD,'ASIGNACIÓN ASIGNATURAS'!$O:$O,"",0)</f>
        <v/>
      </c>
      <c r="AO49" s="401"/>
      <c r="AP49" s="401"/>
      <c r="AQ49" s="401"/>
      <c r="AR49" s="566">
        <f ca="1">SUMIF('MAPEO MALLA'!$E$14:$E$58,'PLANTILLA MALLA PREGRADO'!$E49,'MAPEO MALLA'!$AR$14:$AR$57)+X49</f>
        <v>0</v>
      </c>
      <c r="AS49" s="308"/>
      <c r="AT49" s="577"/>
      <c r="AU49" s="307"/>
      <c r="AV49" s="573"/>
      <c r="AW49" s="30"/>
      <c r="AX49" s="24"/>
      <c r="AY49" s="51"/>
      <c r="AZ49" s="504" t="str">
        <f>_xlfn.XLOOKUP('MAPEO MALLA'!AZ49,'ASIGNACIÓN ASIGNATURAS'!$AD:$AD,'ASIGNACIÓN ASIGNATURAS'!$O:$O,"",0)</f>
        <v/>
      </c>
      <c r="BA49" s="504"/>
      <c r="BB49" s="504"/>
      <c r="BC49" s="51"/>
      <c r="BD49" s="504" t="str">
        <f>_xlfn.XLOOKUP('MAPEO MALLA'!BD49,'ASIGNACIÓN ASIGNATURAS'!$AD:$AD,'ASIGNACIÓN ASIGNATURAS'!$O:$O,"",0)</f>
        <v/>
      </c>
      <c r="BE49" s="504"/>
      <c r="BF49" s="504"/>
      <c r="BG49" s="51"/>
      <c r="BH49" s="504" t="str">
        <f>_xlfn.XLOOKUP('MAPEO MALLA'!BH49,'ASIGNACIÓN ASIGNATURAS'!$AD:$AD,'ASIGNACIÓN ASIGNATURAS'!$O:$O,"",0)</f>
        <v/>
      </c>
      <c r="BI49" s="504"/>
      <c r="BJ49" s="504"/>
      <c r="BK49" s="30"/>
      <c r="BL49" s="566">
        <f ca="1">SUMIF('MAPEO MALLA'!$E$14:$E$58,'PLANTILLA MALLA PREGRADO'!$E49,'MAPEO MALLA'!$BL$14:$BL$57)+AR49</f>
        <v>0</v>
      </c>
      <c r="BM49" s="309"/>
      <c r="BN49" s="577"/>
      <c r="BO49" s="309"/>
      <c r="BP49" s="573"/>
      <c r="BQ49" s="18"/>
      <c r="BR49" s="49"/>
    </row>
    <row r="50" spans="1:70" ht="60.45" customHeight="1" x14ac:dyDescent="0.75">
      <c r="A50" s="12"/>
      <c r="B50" s="14"/>
      <c r="C50" s="568"/>
      <c r="D50" s="10"/>
      <c r="E50" s="566"/>
      <c r="F50" s="18"/>
      <c r="G50" s="30"/>
      <c r="H50" s="505" t="str">
        <f>_xlfn.XLOOKUP('MAPEO MALLA'!H49,'ASIGNACIÓN ASIGNATURAS'!$AD:$AD,'ASIGNACIÓN ASIGNATURAS'!$AG:$AG,"",0)</f>
        <v/>
      </c>
      <c r="I50" s="505"/>
      <c r="J50" s="505"/>
      <c r="K50" s="106"/>
      <c r="L50" s="505" t="str">
        <f>_xlfn.XLOOKUP('MAPEO MALLA'!L49,'ASIGNACIÓN ASIGNATURAS'!$AD:$AD,'ASIGNACIÓN ASIGNATURAS'!$AG:$AG,"",0)</f>
        <v/>
      </c>
      <c r="M50" s="505"/>
      <c r="N50" s="505"/>
      <c r="O50" s="106"/>
      <c r="P50" s="505" t="str">
        <f>_xlfn.XLOOKUP('MAPEO MALLA'!P49,'ASIGNACIÓN ASIGNATURAS'!$AD:$AD,'ASIGNACIÓN ASIGNATURAS'!$AG:$AG,"",0)</f>
        <v/>
      </c>
      <c r="Q50" s="505"/>
      <c r="R50" s="505"/>
      <c r="S50" s="106"/>
      <c r="T50" s="505" t="str">
        <f>_xlfn.XLOOKUP('MAPEO MALLA'!T49,'ASIGNACIÓN ASIGNATURAS'!$AD:$AD,'ASIGNACIÓN ASIGNATURAS'!$AG:$AG,"",0)</f>
        <v/>
      </c>
      <c r="U50" s="505"/>
      <c r="V50" s="505"/>
      <c r="W50" s="30"/>
      <c r="X50" s="566"/>
      <c r="Y50" s="306"/>
      <c r="Z50" s="570"/>
      <c r="AA50" s="307"/>
      <c r="AB50" s="573"/>
      <c r="AC50" s="30"/>
      <c r="AD50" s="24"/>
      <c r="AE50" s="106"/>
      <c r="AF50" s="505" t="str">
        <f>_xlfn.XLOOKUP('MAPEO MALLA'!AF49,'ASIGNACIÓN ASIGNATURAS'!$AD:$AD,'ASIGNACIÓN ASIGNATURAS'!$AG:$AG,"",0)</f>
        <v/>
      </c>
      <c r="AG50" s="505"/>
      <c r="AH50" s="505"/>
      <c r="AI50" s="106"/>
      <c r="AJ50" s="505" t="str">
        <f>_xlfn.XLOOKUP('MAPEO MALLA'!AJ49,'ASIGNACIÓN ASIGNATURAS'!$AD:$AD,'ASIGNACIÓN ASIGNATURAS'!$AG:$AG,"",0)</f>
        <v/>
      </c>
      <c r="AK50" s="505"/>
      <c r="AL50" s="505"/>
      <c r="AM50" s="401"/>
      <c r="AN50" s="401" t="str">
        <f>_xlfn.XLOOKUP('MAPEO MALLA'!AN49,'ASIGNACIÓN ASIGNATURAS'!$AD:$AD,'ASIGNACIÓN ASIGNATURAS'!$AG:$AG,"",0)</f>
        <v/>
      </c>
      <c r="AO50" s="401"/>
      <c r="AP50" s="401"/>
      <c r="AQ50" s="401"/>
      <c r="AR50" s="566"/>
      <c r="AS50" s="308"/>
      <c r="AT50" s="577"/>
      <c r="AU50" s="307"/>
      <c r="AV50" s="573"/>
      <c r="AW50" s="30"/>
      <c r="AX50" s="24"/>
      <c r="AY50" s="106"/>
      <c r="AZ50" s="505" t="str">
        <f>_xlfn.XLOOKUP('MAPEO MALLA'!AZ49,'ASIGNACIÓN ASIGNATURAS'!$AD:$AD,'ASIGNACIÓN ASIGNATURAS'!$AG:$AG,"",0)</f>
        <v/>
      </c>
      <c r="BA50" s="505"/>
      <c r="BB50" s="505"/>
      <c r="BC50" s="106"/>
      <c r="BD50" s="505" t="str">
        <f>_xlfn.XLOOKUP('MAPEO MALLA'!BD49,'ASIGNACIÓN ASIGNATURAS'!$AD:$AD,'ASIGNACIÓN ASIGNATURAS'!$AG:$AG,"",0)</f>
        <v/>
      </c>
      <c r="BE50" s="505"/>
      <c r="BF50" s="505"/>
      <c r="BG50" s="106"/>
      <c r="BH50" s="505" t="str">
        <f>_xlfn.XLOOKUP('MAPEO MALLA'!BH49,'ASIGNACIÓN ASIGNATURAS'!$AD:$AD,'ASIGNACIÓN ASIGNATURAS'!$AG:$AG,"",0)</f>
        <v/>
      </c>
      <c r="BI50" s="505"/>
      <c r="BJ50" s="505"/>
      <c r="BK50" s="30"/>
      <c r="BL50" s="566"/>
      <c r="BM50" s="309"/>
      <c r="BN50" s="577"/>
      <c r="BO50" s="309"/>
      <c r="BP50" s="573"/>
      <c r="BQ50" s="18"/>
      <c r="BR50" s="49"/>
    </row>
    <row r="51" spans="1:70" ht="60.6" x14ac:dyDescent="0.75">
      <c r="A51" s="12"/>
      <c r="B51" s="14"/>
      <c r="C51" s="568"/>
      <c r="D51" s="10"/>
      <c r="E51" s="566"/>
      <c r="F51" s="18"/>
      <c r="G51" s="30"/>
      <c r="H51" s="505"/>
      <c r="I51" s="505"/>
      <c r="J51" s="505"/>
      <c r="K51" s="51"/>
      <c r="L51" s="505"/>
      <c r="M51" s="505"/>
      <c r="N51" s="505"/>
      <c r="O51" s="51"/>
      <c r="P51" s="505"/>
      <c r="Q51" s="505"/>
      <c r="R51" s="505"/>
      <c r="S51" s="51"/>
      <c r="T51" s="505"/>
      <c r="U51" s="505"/>
      <c r="V51" s="505"/>
      <c r="W51" s="30"/>
      <c r="X51" s="566"/>
      <c r="Y51" s="306"/>
      <c r="Z51" s="570"/>
      <c r="AA51" s="307"/>
      <c r="AB51" s="573"/>
      <c r="AC51" s="30"/>
      <c r="AD51" s="24"/>
      <c r="AE51" s="51"/>
      <c r="AF51" s="505"/>
      <c r="AG51" s="505"/>
      <c r="AH51" s="505"/>
      <c r="AI51" s="51"/>
      <c r="AJ51" s="505"/>
      <c r="AK51" s="505"/>
      <c r="AL51" s="505"/>
      <c r="AM51" s="401"/>
      <c r="AN51" s="401"/>
      <c r="AO51" s="401"/>
      <c r="AP51" s="401"/>
      <c r="AQ51" s="401"/>
      <c r="AR51" s="566"/>
      <c r="AS51" s="308"/>
      <c r="AT51" s="577"/>
      <c r="AU51" s="307"/>
      <c r="AV51" s="573"/>
      <c r="AW51" s="30"/>
      <c r="AX51" s="24"/>
      <c r="AY51" s="51"/>
      <c r="AZ51" s="505"/>
      <c r="BA51" s="505"/>
      <c r="BB51" s="505"/>
      <c r="BC51" s="51"/>
      <c r="BD51" s="505"/>
      <c r="BE51" s="505"/>
      <c r="BF51" s="505"/>
      <c r="BG51" s="51"/>
      <c r="BH51" s="505"/>
      <c r="BI51" s="505"/>
      <c r="BJ51" s="505"/>
      <c r="BK51" s="30"/>
      <c r="BL51" s="566"/>
      <c r="BM51" s="309"/>
      <c r="BN51" s="577"/>
      <c r="BO51" s="309"/>
      <c r="BP51" s="573"/>
      <c r="BQ51" s="18"/>
      <c r="BR51" s="49"/>
    </row>
    <row r="52" spans="1:70" ht="42.75" customHeight="1" x14ac:dyDescent="0.75">
      <c r="A52" s="12"/>
      <c r="B52" s="14"/>
      <c r="C52" s="568"/>
      <c r="D52" s="10"/>
      <c r="E52" s="566"/>
      <c r="F52" s="18"/>
      <c r="G52" s="30"/>
      <c r="H52" s="444" t="str">
        <f>_xlfn.XLOOKUP('MAPEO MALLA'!H49,'ASIGNACIÓN ASIGNATURAS'!$AD:$AD,'ASIGNACIÓN ASIGNATURAS'!$T:$T,"",0)</f>
        <v/>
      </c>
      <c r="I52" s="459" t="str">
        <f>_xlfn.XLOOKUP('MAPEO MALLA'!H49,'ASIGNACIÓN ASIGNATURAS'!$AD:$AD,'ASIGNACIÓN ASIGNATURAS'!$U:$U,"",0)</f>
        <v/>
      </c>
      <c r="J52" s="443">
        <f>IF(H52="",,(H52+I52)/48)</f>
        <v>0</v>
      </c>
      <c r="K52" s="106"/>
      <c r="L52" s="444" t="str">
        <f>_xlfn.XLOOKUP('MAPEO MALLA'!L49,'ASIGNACIÓN ASIGNATURAS'!$AD:$AD,'ASIGNACIÓN ASIGNATURAS'!$T:$T,"",0)</f>
        <v/>
      </c>
      <c r="M52" s="459" t="str">
        <f>_xlfn.XLOOKUP('MAPEO MALLA'!L49,'ASIGNACIÓN ASIGNATURAS'!$AD:$AD,'ASIGNACIÓN ASIGNATURAS'!$U:$U,"",0)</f>
        <v/>
      </c>
      <c r="N52" s="443">
        <f>IF(L52="",,(L52+M52)/48)</f>
        <v>0</v>
      </c>
      <c r="O52" s="106"/>
      <c r="P52" s="444" t="str">
        <f>_xlfn.XLOOKUP('MAPEO MALLA'!P49,'ASIGNACIÓN ASIGNATURAS'!$AD:$AD,'ASIGNACIÓN ASIGNATURAS'!$T:$T,"",0)</f>
        <v/>
      </c>
      <c r="Q52" s="459" t="str">
        <f>_xlfn.XLOOKUP('MAPEO MALLA'!P49,'ASIGNACIÓN ASIGNATURAS'!$AD:$AD,'ASIGNACIÓN ASIGNATURAS'!$U:$U,"",0)</f>
        <v/>
      </c>
      <c r="R52" s="443">
        <f>IF(P52="",,(P52+Q52)/48)</f>
        <v>0</v>
      </c>
      <c r="S52" s="106"/>
      <c r="T52" s="444" t="str">
        <f>_xlfn.XLOOKUP('MAPEO MALLA'!T49,'ASIGNACIÓN ASIGNATURAS'!$AD:$AD,'ASIGNACIÓN ASIGNATURAS'!$T:$T,"",0)</f>
        <v/>
      </c>
      <c r="U52" s="459" t="str">
        <f>_xlfn.XLOOKUP('MAPEO MALLA'!T49,'ASIGNACIÓN ASIGNATURAS'!$AD:$AD,'ASIGNACIÓN ASIGNATURAS'!$U:$U,"",0)</f>
        <v/>
      </c>
      <c r="V52" s="443">
        <f>IF(T52="",,(T52+U52)/48)</f>
        <v>0</v>
      </c>
      <c r="W52" s="30"/>
      <c r="X52" s="566"/>
      <c r="Y52" s="306"/>
      <c r="Z52" s="570"/>
      <c r="AA52" s="307"/>
      <c r="AB52" s="573"/>
      <c r="AC52" s="30"/>
      <c r="AD52" s="24"/>
      <c r="AE52" s="106"/>
      <c r="AF52" s="444" t="str">
        <f>_xlfn.XLOOKUP('MAPEO MALLA'!AF49,'ASIGNACIÓN ASIGNATURAS'!$AD:$AD,'ASIGNACIÓN ASIGNATURAS'!$T:$T,"",0)</f>
        <v/>
      </c>
      <c r="AG52" s="459" t="str">
        <f>_xlfn.XLOOKUP('MAPEO MALLA'!AF49,'ASIGNACIÓN ASIGNATURAS'!$AD:$AD,'ASIGNACIÓN ASIGNATURAS'!$U:$U,"",0)</f>
        <v/>
      </c>
      <c r="AH52" s="443">
        <f>IF(AF52="",,(AF52+AG52)/48)</f>
        <v>0</v>
      </c>
      <c r="AI52" s="106"/>
      <c r="AJ52" s="444" t="str">
        <f>_xlfn.XLOOKUP('MAPEO MALLA'!AJ49,'ASIGNACIÓN ASIGNATURAS'!$AD:$AD,'ASIGNACIÓN ASIGNATURAS'!$T:$T,"",0)</f>
        <v/>
      </c>
      <c r="AK52" s="459" t="str">
        <f>_xlfn.XLOOKUP('MAPEO MALLA'!AJ49,'ASIGNACIÓN ASIGNATURAS'!$AD:$AD,'ASIGNACIÓN ASIGNATURAS'!$U:$U,"",0)</f>
        <v/>
      </c>
      <c r="AL52" s="443">
        <f>IF(AJ52="",,(AJ52+AK52)/48)</f>
        <v>0</v>
      </c>
      <c r="AM52" s="30"/>
      <c r="AN52" s="83" t="str">
        <f>_xlfn.XLOOKUP('MAPEO MALLA'!AN49,'ASIGNACIÓN ASIGNATURAS'!$AD:$AD,'ASIGNACIÓN ASIGNATURAS'!$T:$T,"",0)</f>
        <v/>
      </c>
      <c r="AO52" s="84" t="str">
        <f>_xlfn.XLOOKUP('MAPEO MALLA'!AN49,'ASIGNACIÓN ASIGNATURAS'!$AD:$AD,'ASIGNACIÓN ASIGNATURAS'!$U:$U,"",0)</f>
        <v/>
      </c>
      <c r="AP52" s="85">
        <f>IF(AN52="",,(AN52+AO52)/48)</f>
        <v>0</v>
      </c>
      <c r="AQ52" s="12"/>
      <c r="AR52" s="566"/>
      <c r="AS52" s="308"/>
      <c r="AT52" s="577"/>
      <c r="AU52" s="307"/>
      <c r="AV52" s="573"/>
      <c r="AW52" s="30"/>
      <c r="AX52" s="24"/>
      <c r="AY52" s="106"/>
      <c r="AZ52" s="444" t="str">
        <f>_xlfn.XLOOKUP('MAPEO MALLA'!AZ49,'ASIGNACIÓN ASIGNATURAS'!$AD:$AD,'ASIGNACIÓN ASIGNATURAS'!$T:$T,"",0)</f>
        <v/>
      </c>
      <c r="BA52" s="459" t="str">
        <f>_xlfn.XLOOKUP('MAPEO MALLA'!AZ49,'ASIGNACIÓN ASIGNATURAS'!$AD:$AD,'ASIGNACIÓN ASIGNATURAS'!$U:$U,"",0)</f>
        <v/>
      </c>
      <c r="BB52" s="443">
        <f>IF(AZ52="",,(AZ52+BA52)/48)</f>
        <v>0</v>
      </c>
      <c r="BC52" s="106"/>
      <c r="BD52" s="444" t="str">
        <f>_xlfn.XLOOKUP('MAPEO MALLA'!BD49,'ASIGNACIÓN ASIGNATURAS'!$AD:$AD,'ASIGNACIÓN ASIGNATURAS'!$T:$T,"",0)</f>
        <v/>
      </c>
      <c r="BE52" s="459" t="str">
        <f>_xlfn.XLOOKUP('MAPEO MALLA'!BD49,'ASIGNACIÓN ASIGNATURAS'!$AD:$AD,'ASIGNACIÓN ASIGNATURAS'!$U:$U,"",0)</f>
        <v/>
      </c>
      <c r="BF52" s="443">
        <f>IF(BD52="",,(BD52+BE52)/48)</f>
        <v>0</v>
      </c>
      <c r="BG52" s="106"/>
      <c r="BH52" s="444" t="str">
        <f>_xlfn.XLOOKUP('MAPEO MALLA'!BH49,'ASIGNACIÓN ASIGNATURAS'!$AD:$AD,'ASIGNACIÓN ASIGNATURAS'!$T:$T,"",0)</f>
        <v/>
      </c>
      <c r="BI52" s="459" t="str">
        <f>_xlfn.XLOOKUP('MAPEO MALLA'!BH49,'ASIGNACIÓN ASIGNATURAS'!$AD:$AD,'ASIGNACIÓN ASIGNATURAS'!$U:$U,"",0)</f>
        <v/>
      </c>
      <c r="BJ52" s="443">
        <f>IF(BH52="",,(BH52+BI52)/48)</f>
        <v>0</v>
      </c>
      <c r="BK52" s="30"/>
      <c r="BL52" s="566"/>
      <c r="BM52" s="309"/>
      <c r="BN52" s="577"/>
      <c r="BO52" s="309"/>
      <c r="BP52" s="573"/>
      <c r="BQ52" s="18"/>
      <c r="BR52" s="49"/>
    </row>
    <row r="53" spans="1:70" ht="60.6" x14ac:dyDescent="0.75">
      <c r="A53" s="12"/>
      <c r="B53" s="14"/>
      <c r="C53" s="568"/>
      <c r="D53" s="10"/>
      <c r="E53" s="429"/>
      <c r="F53" s="18"/>
      <c r="G53" s="30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20"/>
      <c r="Y53" s="306"/>
      <c r="Z53" s="570"/>
      <c r="AA53" s="307"/>
      <c r="AB53" s="573"/>
      <c r="AC53" s="30"/>
      <c r="AD53" s="24"/>
      <c r="AE53" s="51"/>
      <c r="AF53" s="51"/>
      <c r="AG53" s="51"/>
      <c r="AH53" s="51"/>
      <c r="AI53" s="51"/>
      <c r="AJ53" s="51"/>
      <c r="AK53" s="51"/>
      <c r="AL53" s="51"/>
      <c r="AM53" s="51"/>
      <c r="AN53" s="88"/>
      <c r="AO53" s="88"/>
      <c r="AP53" s="88"/>
      <c r="AQ53" s="12"/>
      <c r="AR53" s="70"/>
      <c r="AS53" s="308"/>
      <c r="AT53" s="577"/>
      <c r="AU53" s="307"/>
      <c r="AV53" s="573"/>
      <c r="AW53" s="30"/>
      <c r="AX53" s="24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70"/>
      <c r="BM53" s="309"/>
      <c r="BN53" s="577"/>
      <c r="BO53" s="309"/>
      <c r="BP53" s="573"/>
      <c r="BQ53" s="18"/>
      <c r="BR53" s="49"/>
    </row>
    <row r="54" spans="1:70" ht="134.25" customHeight="1" x14ac:dyDescent="0.75">
      <c r="A54" s="12"/>
      <c r="B54" s="14"/>
      <c r="C54" s="568"/>
      <c r="D54" s="10"/>
      <c r="E54" s="566">
        <f>'MAPEO MALLA'!E54</f>
        <v>0</v>
      </c>
      <c r="F54" s="18"/>
      <c r="G54" s="30"/>
      <c r="H54" s="504" t="str">
        <f>_xlfn.XLOOKUP('MAPEO MALLA'!H54,'ASIGNACIÓN ASIGNATURAS'!$AD:$AD,'ASIGNACIÓN ASIGNATURAS'!$O:$O,"",0)</f>
        <v/>
      </c>
      <c r="I54" s="504"/>
      <c r="J54" s="504"/>
      <c r="K54" s="51"/>
      <c r="L54" s="504" t="str">
        <f>_xlfn.XLOOKUP('MAPEO MALLA'!L54,'ASIGNACIÓN ASIGNATURAS'!$AD:$AD,'ASIGNACIÓN ASIGNATURAS'!$O:$O,"",0)</f>
        <v/>
      </c>
      <c r="M54" s="504"/>
      <c r="N54" s="504"/>
      <c r="O54" s="51"/>
      <c r="P54" s="504" t="str">
        <f>_xlfn.XLOOKUP('MAPEO MALLA'!P54,'ASIGNACIÓN ASIGNATURAS'!$AD:$AD,'ASIGNACIÓN ASIGNATURAS'!$O:$O,"",0)</f>
        <v/>
      </c>
      <c r="Q54" s="504"/>
      <c r="R54" s="504"/>
      <c r="S54" s="51"/>
      <c r="T54" s="504" t="str">
        <f>_xlfn.XLOOKUP('MAPEO MALLA'!T54,'ASIGNACIÓN ASIGNATURAS'!$AD:$AD,'ASIGNACIÓN ASIGNATURAS'!$O:$O,"",0)</f>
        <v/>
      </c>
      <c r="U54" s="504"/>
      <c r="V54" s="504"/>
      <c r="W54" s="30"/>
      <c r="X54" s="566">
        <f ca="1">SUMIF('MAPEO MALLA'!$E$14:$E$58,'PLANTILLA MALLA PREGRADO'!$E54,'MAPEO MALLA'!$X$14:$X$57)</f>
        <v>0</v>
      </c>
      <c r="Y54" s="306"/>
      <c r="Z54" s="570"/>
      <c r="AA54" s="307"/>
      <c r="AB54" s="573"/>
      <c r="AC54" s="30"/>
      <c r="AD54" s="24"/>
      <c r="AE54" s="51"/>
      <c r="AF54" s="504" t="str">
        <f>_xlfn.XLOOKUP('MAPEO MALLA'!AF54,'ASIGNACIÓN ASIGNATURAS'!$AD:$AD,'ASIGNACIÓN ASIGNATURAS'!$O:$O,"",0)</f>
        <v/>
      </c>
      <c r="AG54" s="504"/>
      <c r="AH54" s="504"/>
      <c r="AI54" s="51"/>
      <c r="AJ54" s="504" t="str">
        <f>_xlfn.XLOOKUP('MAPEO MALLA'!AJ54,'ASIGNACIÓN ASIGNATURAS'!$AD:$AD,'ASIGNACIÓN ASIGNATURAS'!$O:$O,"",0)</f>
        <v/>
      </c>
      <c r="AK54" s="504"/>
      <c r="AL54" s="504"/>
      <c r="AM54" s="30"/>
      <c r="AN54" s="553" t="str">
        <f>_xlfn.XLOOKUP('MAPEO MALLA'!AN54,'ASIGNACIÓN ASIGNATURAS'!$AD:$AD,'ASIGNACIÓN ASIGNATURAS'!$O:$O,"",0)</f>
        <v/>
      </c>
      <c r="AO54" s="554"/>
      <c r="AP54" s="555"/>
      <c r="AQ54" s="12"/>
      <c r="AR54" s="566">
        <f ca="1">SUMIF('MAPEO MALLA'!$E$14:$E$58,'PLANTILLA MALLA PREGRADO'!$E54,'MAPEO MALLA'!$AR$14:$AR$57)+X54</f>
        <v>0</v>
      </c>
      <c r="AS54" s="308"/>
      <c r="AT54" s="577"/>
      <c r="AU54" s="307"/>
      <c r="AV54" s="573"/>
      <c r="AW54" s="30"/>
      <c r="AX54" s="24"/>
      <c r="AY54" s="51"/>
      <c r="AZ54" s="504" t="str">
        <f>_xlfn.XLOOKUP('MAPEO MALLA'!AZ54,'ASIGNACIÓN ASIGNATURAS'!$AD:$AD,'ASIGNACIÓN ASIGNATURAS'!$O:$O,"",0)</f>
        <v/>
      </c>
      <c r="BA54" s="504"/>
      <c r="BB54" s="504"/>
      <c r="BC54" s="51"/>
      <c r="BD54" s="504" t="str">
        <f>_xlfn.XLOOKUP('MAPEO MALLA'!BD54,'ASIGNACIÓN ASIGNATURAS'!$AD:$AD,'ASIGNACIÓN ASIGNATURAS'!$O:$O,"",0)</f>
        <v/>
      </c>
      <c r="BE54" s="504"/>
      <c r="BF54" s="504"/>
      <c r="BG54" s="51"/>
      <c r="BH54" s="504" t="str">
        <f>_xlfn.XLOOKUP('MAPEO MALLA'!BH54,'ASIGNACIÓN ASIGNATURAS'!$AD:$AD,'ASIGNACIÓN ASIGNATURAS'!$O:$O,"",0)</f>
        <v/>
      </c>
      <c r="BI54" s="504"/>
      <c r="BJ54" s="504"/>
      <c r="BK54" s="30"/>
      <c r="BL54" s="566">
        <f ca="1">SUMIF('MAPEO MALLA'!$E$14:$E$58,'PLANTILLA MALLA PREGRADO'!$E54,'MAPEO MALLA'!$BL$14:$BL$57)+AR54</f>
        <v>0</v>
      </c>
      <c r="BM54" s="309"/>
      <c r="BN54" s="577"/>
      <c r="BO54" s="309"/>
      <c r="BP54" s="573"/>
      <c r="BQ54" s="18"/>
      <c r="BR54" s="49"/>
    </row>
    <row r="55" spans="1:70" ht="60.45" customHeight="1" x14ac:dyDescent="0.75">
      <c r="A55" s="12"/>
      <c r="B55" s="14"/>
      <c r="C55" s="568"/>
      <c r="D55" s="10"/>
      <c r="E55" s="566"/>
      <c r="F55" s="18"/>
      <c r="G55" s="30"/>
      <c r="H55" s="505" t="str">
        <f>_xlfn.XLOOKUP('MAPEO MALLA'!H54,'ASIGNACIÓN ASIGNATURAS'!$AD:$AD,'ASIGNACIÓN ASIGNATURAS'!$AG:$AG,"",0)</f>
        <v/>
      </c>
      <c r="I55" s="505"/>
      <c r="J55" s="505"/>
      <c r="K55" s="106"/>
      <c r="L55" s="505" t="str">
        <f>_xlfn.XLOOKUP('MAPEO MALLA'!L54,'ASIGNACIÓN ASIGNATURAS'!$AD:$AD,'ASIGNACIÓN ASIGNATURAS'!$AG:$AG,"",0)</f>
        <v/>
      </c>
      <c r="M55" s="505"/>
      <c r="N55" s="505"/>
      <c r="O55" s="106"/>
      <c r="P55" s="505" t="str">
        <f>_xlfn.XLOOKUP('MAPEO MALLA'!P54,'ASIGNACIÓN ASIGNATURAS'!$AD:$AD,'ASIGNACIÓN ASIGNATURAS'!$AG:$AG,"",0)</f>
        <v/>
      </c>
      <c r="Q55" s="505"/>
      <c r="R55" s="505"/>
      <c r="S55" s="106"/>
      <c r="T55" s="505" t="str">
        <f>_xlfn.XLOOKUP('MAPEO MALLA'!T54,'ASIGNACIÓN ASIGNATURAS'!$AD:$AD,'ASIGNACIÓN ASIGNATURAS'!$AG:$AG,"",0)</f>
        <v/>
      </c>
      <c r="U55" s="505"/>
      <c r="V55" s="505"/>
      <c r="W55" s="30"/>
      <c r="X55" s="566"/>
      <c r="Y55" s="306"/>
      <c r="Z55" s="570"/>
      <c r="AA55" s="307"/>
      <c r="AB55" s="573"/>
      <c r="AC55" s="30"/>
      <c r="AD55" s="24"/>
      <c r="AE55" s="106"/>
      <c r="AF55" s="505" t="str">
        <f>_xlfn.XLOOKUP('MAPEO MALLA'!AF54,'ASIGNACIÓN ASIGNATURAS'!$AD:$AD,'ASIGNACIÓN ASIGNATURAS'!$AG:$AG,"",0)</f>
        <v/>
      </c>
      <c r="AG55" s="505"/>
      <c r="AH55" s="505"/>
      <c r="AI55" s="106"/>
      <c r="AJ55" s="505" t="str">
        <f>_xlfn.XLOOKUP('MAPEO MALLA'!AJ54,'ASIGNACIÓN ASIGNATURAS'!$AD:$AD,'ASIGNACIÓN ASIGNATURAS'!$AG:$AG,"",0)</f>
        <v/>
      </c>
      <c r="AK55" s="505"/>
      <c r="AL55" s="505"/>
      <c r="AM55" s="30"/>
      <c r="AN55" s="556" t="str">
        <f>_xlfn.XLOOKUP('MAPEO MALLA'!AN54,'ASIGNACIÓN ASIGNATURAS'!$AD:$AD,'ASIGNACIÓN ASIGNATURAS'!$AG:$AG,"",0)</f>
        <v/>
      </c>
      <c r="AO55" s="557"/>
      <c r="AP55" s="558"/>
      <c r="AQ55" s="12"/>
      <c r="AR55" s="566"/>
      <c r="AS55" s="308"/>
      <c r="AT55" s="577"/>
      <c r="AU55" s="307"/>
      <c r="AV55" s="573"/>
      <c r="AW55" s="30"/>
      <c r="AX55" s="24"/>
      <c r="AY55" s="106"/>
      <c r="AZ55" s="505" t="str">
        <f>_xlfn.XLOOKUP('MAPEO MALLA'!AZ54,'ASIGNACIÓN ASIGNATURAS'!$AD:$AD,'ASIGNACIÓN ASIGNATURAS'!$AG:$AG,"",0)</f>
        <v/>
      </c>
      <c r="BA55" s="505"/>
      <c r="BB55" s="505"/>
      <c r="BC55" s="106"/>
      <c r="BD55" s="505" t="str">
        <f>_xlfn.XLOOKUP('MAPEO MALLA'!BD54,'ASIGNACIÓN ASIGNATURAS'!$AD:$AD,'ASIGNACIÓN ASIGNATURAS'!$AG:$AG,"",0)</f>
        <v/>
      </c>
      <c r="BE55" s="505"/>
      <c r="BF55" s="505"/>
      <c r="BG55" s="106"/>
      <c r="BH55" s="505" t="str">
        <f>_xlfn.XLOOKUP('MAPEO MALLA'!BH54,'ASIGNACIÓN ASIGNATURAS'!$AD:$AD,'ASIGNACIÓN ASIGNATURAS'!$AG:$AG,"",0)</f>
        <v/>
      </c>
      <c r="BI55" s="505"/>
      <c r="BJ55" s="505"/>
      <c r="BK55" s="30"/>
      <c r="BL55" s="566"/>
      <c r="BM55" s="309"/>
      <c r="BN55" s="577"/>
      <c r="BO55" s="309"/>
      <c r="BP55" s="573"/>
      <c r="BQ55" s="18"/>
      <c r="BR55" s="49"/>
    </row>
    <row r="56" spans="1:70" ht="60.6" x14ac:dyDescent="0.75">
      <c r="A56" s="12"/>
      <c r="B56" s="14"/>
      <c r="C56" s="568"/>
      <c r="D56" s="10"/>
      <c r="E56" s="566"/>
      <c r="F56" s="18"/>
      <c r="G56" s="30"/>
      <c r="H56" s="505"/>
      <c r="I56" s="505"/>
      <c r="J56" s="505"/>
      <c r="K56" s="51"/>
      <c r="L56" s="505"/>
      <c r="M56" s="505"/>
      <c r="N56" s="505"/>
      <c r="O56" s="51"/>
      <c r="P56" s="505"/>
      <c r="Q56" s="505"/>
      <c r="R56" s="505"/>
      <c r="S56" s="51"/>
      <c r="T56" s="505"/>
      <c r="U56" s="505"/>
      <c r="V56" s="505"/>
      <c r="W56" s="30"/>
      <c r="X56" s="566"/>
      <c r="Y56" s="306"/>
      <c r="Z56" s="570"/>
      <c r="AA56" s="307"/>
      <c r="AB56" s="573"/>
      <c r="AC56" s="30"/>
      <c r="AD56" s="24"/>
      <c r="AE56" s="51"/>
      <c r="AF56" s="505"/>
      <c r="AG56" s="505"/>
      <c r="AH56" s="505"/>
      <c r="AI56" s="51"/>
      <c r="AJ56" s="505"/>
      <c r="AK56" s="505"/>
      <c r="AL56" s="505"/>
      <c r="AM56" s="30"/>
      <c r="AN56" s="559"/>
      <c r="AO56" s="560"/>
      <c r="AP56" s="561"/>
      <c r="AQ56" s="12"/>
      <c r="AR56" s="566"/>
      <c r="AS56" s="308"/>
      <c r="AT56" s="577"/>
      <c r="AU56" s="307"/>
      <c r="AV56" s="573"/>
      <c r="AW56" s="30"/>
      <c r="AX56" s="24"/>
      <c r="AY56" s="51"/>
      <c r="AZ56" s="505"/>
      <c r="BA56" s="505"/>
      <c r="BB56" s="505"/>
      <c r="BC56" s="51"/>
      <c r="BD56" s="505"/>
      <c r="BE56" s="505"/>
      <c r="BF56" s="505"/>
      <c r="BG56" s="51"/>
      <c r="BH56" s="505"/>
      <c r="BI56" s="505"/>
      <c r="BJ56" s="505"/>
      <c r="BK56" s="30"/>
      <c r="BL56" s="566"/>
      <c r="BM56" s="309"/>
      <c r="BN56" s="577"/>
      <c r="BO56" s="309"/>
      <c r="BP56" s="573"/>
      <c r="BQ56" s="18"/>
      <c r="BR56" s="49"/>
    </row>
    <row r="57" spans="1:70" ht="39" customHeight="1" x14ac:dyDescent="0.75">
      <c r="A57" s="12"/>
      <c r="B57" s="14"/>
      <c r="C57" s="568"/>
      <c r="D57" s="10"/>
      <c r="E57" s="566"/>
      <c r="F57" s="18"/>
      <c r="G57" s="30"/>
      <c r="H57" s="444" t="str">
        <f>_xlfn.XLOOKUP('MAPEO MALLA'!H54,'ASIGNACIÓN ASIGNATURAS'!$AD:$AD,'ASIGNACIÓN ASIGNATURAS'!$T:$T,"",0)</f>
        <v/>
      </c>
      <c r="I57" s="459" t="str">
        <f>_xlfn.XLOOKUP('MAPEO MALLA'!H54,'ASIGNACIÓN ASIGNATURAS'!$AD:$AD,'ASIGNACIÓN ASIGNATURAS'!$U:$U,"",0)</f>
        <v/>
      </c>
      <c r="J57" s="443">
        <f>IF(H57="",,(H57+I57)/48)</f>
        <v>0</v>
      </c>
      <c r="K57" s="106"/>
      <c r="L57" s="444" t="str">
        <f>_xlfn.XLOOKUP('MAPEO MALLA'!L54,'ASIGNACIÓN ASIGNATURAS'!$AD:$AD,'ASIGNACIÓN ASIGNATURAS'!$T:$T,"",0)</f>
        <v/>
      </c>
      <c r="M57" s="459" t="str">
        <f>_xlfn.XLOOKUP('MAPEO MALLA'!L54,'ASIGNACIÓN ASIGNATURAS'!$AD:$AD,'ASIGNACIÓN ASIGNATURAS'!$U:$U,"",0)</f>
        <v/>
      </c>
      <c r="N57" s="443">
        <f>IF(L57="",,(L57+M57)/48)</f>
        <v>0</v>
      </c>
      <c r="O57" s="106"/>
      <c r="P57" s="444" t="str">
        <f>_xlfn.XLOOKUP('MAPEO MALLA'!P54,'ASIGNACIÓN ASIGNATURAS'!$AD:$AD,'ASIGNACIÓN ASIGNATURAS'!$T:$T,"",0)</f>
        <v/>
      </c>
      <c r="Q57" s="459" t="str">
        <f>_xlfn.XLOOKUP('MAPEO MALLA'!P54,'ASIGNACIÓN ASIGNATURAS'!$AD:$AD,'ASIGNACIÓN ASIGNATURAS'!$U:$U,"",0)</f>
        <v/>
      </c>
      <c r="R57" s="443">
        <f>IF(P57="",,(P57+Q57)/48)</f>
        <v>0</v>
      </c>
      <c r="S57" s="106"/>
      <c r="T57" s="444" t="str">
        <f>_xlfn.XLOOKUP('MAPEO MALLA'!T54,'ASIGNACIÓN ASIGNATURAS'!$AD:$AD,'ASIGNACIÓN ASIGNATURAS'!$T:$T,"",0)</f>
        <v/>
      </c>
      <c r="U57" s="459" t="str">
        <f>_xlfn.XLOOKUP('MAPEO MALLA'!T54,'ASIGNACIÓN ASIGNATURAS'!$AD:$AD,'ASIGNACIÓN ASIGNATURAS'!$U:$U,"",0)</f>
        <v/>
      </c>
      <c r="V57" s="443">
        <f>IF(T57="",,(T57+U57)/48)</f>
        <v>0</v>
      </c>
      <c r="W57" s="30"/>
      <c r="X57" s="566"/>
      <c r="Y57" s="306"/>
      <c r="Z57" s="570"/>
      <c r="AA57" s="307"/>
      <c r="AB57" s="573"/>
      <c r="AC57" s="30"/>
      <c r="AD57" s="24"/>
      <c r="AE57" s="106"/>
      <c r="AF57" s="444" t="str">
        <f>_xlfn.XLOOKUP('MAPEO MALLA'!AF54,'ASIGNACIÓN ASIGNATURAS'!$AD:$AD,'ASIGNACIÓN ASIGNATURAS'!$T:$T,"",0)</f>
        <v/>
      </c>
      <c r="AG57" s="459" t="str">
        <f>_xlfn.XLOOKUP('MAPEO MALLA'!AF54,'ASIGNACIÓN ASIGNATURAS'!$AD:$AD,'ASIGNACIÓN ASIGNATURAS'!$U:$U,"",0)</f>
        <v/>
      </c>
      <c r="AH57" s="443">
        <f>IF(AF57="",,(AF57+AG57)/48)</f>
        <v>0</v>
      </c>
      <c r="AI57" s="106"/>
      <c r="AJ57" s="444" t="str">
        <f>_xlfn.XLOOKUP('MAPEO MALLA'!AJ54,'ASIGNACIÓN ASIGNATURAS'!$AD:$AD,'ASIGNACIÓN ASIGNATURAS'!$T:$T,"",0)</f>
        <v/>
      </c>
      <c r="AK57" s="459" t="str">
        <f>_xlfn.XLOOKUP('MAPEO MALLA'!AJ54,'ASIGNACIÓN ASIGNATURAS'!$AD:$AD,'ASIGNACIÓN ASIGNATURAS'!$U:$U,"",0)</f>
        <v/>
      </c>
      <c r="AL57" s="443">
        <f>IF(AJ57="",,(AJ57+AK57)/48)</f>
        <v>0</v>
      </c>
      <c r="AM57" s="30"/>
      <c r="AN57" s="83" t="str">
        <f>_xlfn.XLOOKUP('MAPEO MALLA'!AN54,'ASIGNACIÓN ASIGNATURAS'!$AD:$AD,'ASIGNACIÓN ASIGNATURAS'!$T:$T,"",0)</f>
        <v/>
      </c>
      <c r="AO57" s="84" t="str">
        <f>_xlfn.XLOOKUP('MAPEO MALLA'!AN54,'ASIGNACIÓN ASIGNATURAS'!$AD:$AD,'ASIGNACIÓN ASIGNATURAS'!$U:$U,"",0)</f>
        <v/>
      </c>
      <c r="AP57" s="85">
        <f>IF(AN57="",,(AN57+AO57)/48)</f>
        <v>0</v>
      </c>
      <c r="AQ57" s="12"/>
      <c r="AR57" s="566"/>
      <c r="AS57" s="308"/>
      <c r="AT57" s="577"/>
      <c r="AU57" s="307"/>
      <c r="AV57" s="573"/>
      <c r="AW57" s="30"/>
      <c r="AX57" s="24"/>
      <c r="AY57" s="106"/>
      <c r="AZ57" s="444" t="str">
        <f>_xlfn.XLOOKUP('MAPEO MALLA'!AZ54,'ASIGNACIÓN ASIGNATURAS'!$AD:$AD,'ASIGNACIÓN ASIGNATURAS'!$T:$T,"",0)</f>
        <v/>
      </c>
      <c r="BA57" s="459" t="str">
        <f>_xlfn.XLOOKUP('MAPEO MALLA'!AZ54,'ASIGNACIÓN ASIGNATURAS'!$AD:$AD,'ASIGNACIÓN ASIGNATURAS'!$U:$U,"",0)</f>
        <v/>
      </c>
      <c r="BB57" s="443">
        <f>IF(AZ57="",,(AZ57+BA57)/48)</f>
        <v>0</v>
      </c>
      <c r="BC57" s="106"/>
      <c r="BD57" s="444" t="str">
        <f>_xlfn.XLOOKUP('MAPEO MALLA'!BD54,'ASIGNACIÓN ASIGNATURAS'!$AD:$AD,'ASIGNACIÓN ASIGNATURAS'!$T:$T,"",0)</f>
        <v/>
      </c>
      <c r="BE57" s="459" t="str">
        <f>_xlfn.XLOOKUP('MAPEO MALLA'!BD54,'ASIGNACIÓN ASIGNATURAS'!$AD:$AD,'ASIGNACIÓN ASIGNATURAS'!$U:$U,"",0)</f>
        <v/>
      </c>
      <c r="BF57" s="443">
        <f>IF(BD57="",,(BD57+BE57)/48)</f>
        <v>0</v>
      </c>
      <c r="BG57" s="106"/>
      <c r="BH57" s="444" t="str">
        <f>_xlfn.XLOOKUP('MAPEO MALLA'!BH54,'ASIGNACIÓN ASIGNATURAS'!$AD:$AD,'ASIGNACIÓN ASIGNATURAS'!$T:$T,"",0)</f>
        <v/>
      </c>
      <c r="BI57" s="459" t="str">
        <f>_xlfn.XLOOKUP('MAPEO MALLA'!BH54,'ASIGNACIÓN ASIGNATURAS'!$AD:$AD,'ASIGNACIÓN ASIGNATURAS'!$U:$U,"",0)</f>
        <v/>
      </c>
      <c r="BJ57" s="443">
        <f>IF(BH57="",,(BH57+BI57)/48)</f>
        <v>0</v>
      </c>
      <c r="BK57" s="30"/>
      <c r="BL57" s="566"/>
      <c r="BM57" s="309"/>
      <c r="BN57" s="577"/>
      <c r="BO57" s="309"/>
      <c r="BP57" s="573"/>
      <c r="BQ57" s="18"/>
      <c r="BR57" s="49"/>
    </row>
    <row r="58" spans="1:70" ht="60.6" x14ac:dyDescent="0.75">
      <c r="A58" s="12"/>
      <c r="B58" s="14"/>
      <c r="C58" s="568"/>
      <c r="D58" s="10"/>
      <c r="E58" s="429"/>
      <c r="F58" s="18"/>
      <c r="G58" s="30"/>
      <c r="H58" s="51"/>
      <c r="I58" s="51"/>
      <c r="J58" s="51"/>
      <c r="K58" s="51"/>
      <c r="L58" s="51"/>
      <c r="M58" s="51"/>
      <c r="N58" s="51"/>
      <c r="O58" s="106"/>
      <c r="P58" s="51"/>
      <c r="Q58" s="51"/>
      <c r="R58" s="51"/>
      <c r="S58" s="106"/>
      <c r="T58" s="51"/>
      <c r="U58" s="51"/>
      <c r="V58" s="51"/>
      <c r="W58" s="30"/>
      <c r="X58" s="20"/>
      <c r="Y58" s="334"/>
      <c r="Z58" s="570"/>
      <c r="AA58" s="307"/>
      <c r="AB58" s="573"/>
      <c r="AC58" s="30"/>
      <c r="AD58" s="24"/>
      <c r="AE58" s="106"/>
      <c r="AF58" s="51"/>
      <c r="AG58" s="51"/>
      <c r="AH58" s="51"/>
      <c r="AI58" s="106"/>
      <c r="AJ58" s="51"/>
      <c r="AK58" s="51"/>
      <c r="AL58" s="51"/>
      <c r="AM58" s="401"/>
      <c r="AN58" s="401"/>
      <c r="AO58" s="401"/>
      <c r="AP58" s="401"/>
      <c r="AQ58" s="401"/>
      <c r="AR58" s="315"/>
      <c r="AS58" s="316"/>
      <c r="AT58" s="577"/>
      <c r="AU58" s="307"/>
      <c r="AV58" s="573"/>
      <c r="AW58" s="30"/>
      <c r="AX58" s="24"/>
      <c r="AY58" s="51"/>
      <c r="AZ58" s="51"/>
      <c r="BA58" s="51"/>
      <c r="BB58" s="51"/>
      <c r="BC58" s="106"/>
      <c r="BD58" s="51"/>
      <c r="BE58" s="51"/>
      <c r="BF58" s="51"/>
      <c r="BG58" s="106"/>
      <c r="BH58" s="51"/>
      <c r="BI58" s="51"/>
      <c r="BJ58" s="51"/>
      <c r="BK58" s="30"/>
      <c r="BL58" s="315"/>
      <c r="BM58" s="317"/>
      <c r="BN58" s="577"/>
      <c r="BO58" s="309"/>
      <c r="BP58" s="573"/>
      <c r="BQ58" s="18"/>
      <c r="BR58" s="49"/>
    </row>
    <row r="59" spans="1:70" ht="107.25" customHeight="1" x14ac:dyDescent="0.75">
      <c r="A59" s="12"/>
      <c r="B59" s="14"/>
      <c r="C59" s="568"/>
      <c r="D59" s="10"/>
      <c r="E59" s="566">
        <f>'MAPEO MALLA'!E59</f>
        <v>0</v>
      </c>
      <c r="F59" s="18"/>
      <c r="G59" s="30"/>
      <c r="H59" s="504" t="str">
        <f>_xlfn.XLOOKUP('MAPEO MALLA'!H59,'ASIGNACIÓN ASIGNATURAS'!$AD:$AD,'ASIGNACIÓN ASIGNATURAS'!$O:$O,"",0)</f>
        <v/>
      </c>
      <c r="I59" s="504"/>
      <c r="J59" s="504"/>
      <c r="K59" s="51"/>
      <c r="L59" s="504" t="str">
        <f>_xlfn.XLOOKUP('MAPEO MALLA'!L59,'ASIGNACIÓN ASIGNATURAS'!$AD:$AD,'ASIGNACIÓN ASIGNATURAS'!$O:$O,"",0)</f>
        <v/>
      </c>
      <c r="M59" s="504"/>
      <c r="N59" s="504"/>
      <c r="O59" s="51"/>
      <c r="P59" s="504" t="str">
        <f>_xlfn.XLOOKUP('MAPEO MALLA'!P59,'ASIGNACIÓN ASIGNATURAS'!$AD:$AD,'ASIGNACIÓN ASIGNATURAS'!$O:$O,"",0)</f>
        <v/>
      </c>
      <c r="Q59" s="504"/>
      <c r="R59" s="504"/>
      <c r="S59" s="51"/>
      <c r="T59" s="504" t="str">
        <f>_xlfn.XLOOKUP('MAPEO MALLA'!T59,'ASIGNACIÓN ASIGNATURAS'!$AD:$AD,'ASIGNACIÓN ASIGNATURAS'!$O:$O,"",0)</f>
        <v/>
      </c>
      <c r="U59" s="504"/>
      <c r="V59" s="504"/>
      <c r="X59" s="566">
        <f ca="1">SUMIF('MAPEO MALLA'!$E$14:$E$58,'PLANTILLA MALLA PREGRADO'!$E64,'MAPEO MALLA'!$X$14:$X$57)</f>
        <v>0</v>
      </c>
      <c r="Y59" s="306"/>
      <c r="Z59" s="570"/>
      <c r="AA59" s="307"/>
      <c r="AB59" s="573"/>
      <c r="AC59" s="30"/>
      <c r="AD59" s="24"/>
      <c r="AE59" s="30"/>
      <c r="AF59" s="504" t="str">
        <f>_xlfn.XLOOKUP('MAPEO MALLA'!AF59,'ASIGNACIÓN ASIGNATURAS'!$AD:$AD,'ASIGNACIÓN ASIGNATURAS'!$O:$O,"",0)</f>
        <v/>
      </c>
      <c r="AG59" s="504"/>
      <c r="AH59" s="504"/>
      <c r="AI59" s="51"/>
      <c r="AJ59" s="504" t="str">
        <f>_xlfn.XLOOKUP('MAPEO MALLA'!AJ59,'ASIGNACIÓN ASIGNATURAS'!$AD:$AD,'ASIGNACIÓN ASIGNATURAS'!$O:$O,"",0)</f>
        <v/>
      </c>
      <c r="AK59" s="504"/>
      <c r="AL59" s="504"/>
      <c r="AM59" s="401"/>
      <c r="AN59" s="401" t="str">
        <f>_xlfn.XLOOKUP('MAPEO MALLA'!AN59,'ASIGNACIÓN ASIGNATURAS'!$AD:$AD,'ASIGNACIÓN ASIGNATURAS'!$O:$O,"",0)</f>
        <v/>
      </c>
      <c r="AO59" s="401"/>
      <c r="AP59" s="401"/>
      <c r="AQ59" s="401"/>
      <c r="AR59" s="566">
        <f ca="1">SUMIF('MAPEO MALLA'!$E$14:$E$58,'PLANTILLA MALLA PREGRADO'!$E59,'MAPEO MALLA'!$AR$14:$AR$57)+X59</f>
        <v>0</v>
      </c>
      <c r="AS59" s="308"/>
      <c r="AT59" s="577"/>
      <c r="AU59" s="307"/>
      <c r="AV59" s="573"/>
      <c r="AW59" s="30"/>
      <c r="AX59" s="24"/>
      <c r="AY59" s="30"/>
      <c r="AZ59" s="504" t="str">
        <f>_xlfn.XLOOKUP('MAPEO MALLA'!AZ59,'ASIGNACIÓN ASIGNATURAS'!$AD:$AD,'ASIGNACIÓN ASIGNATURAS'!$O:$O,"",0)</f>
        <v/>
      </c>
      <c r="BA59" s="504"/>
      <c r="BB59" s="504"/>
      <c r="BC59" s="51"/>
      <c r="BD59" s="504" t="str">
        <f>_xlfn.XLOOKUP('MAPEO MALLA'!BD59,'ASIGNACIÓN ASIGNATURAS'!$AD:$AD,'ASIGNACIÓN ASIGNATURAS'!$O:$O,"",0)</f>
        <v/>
      </c>
      <c r="BE59" s="504"/>
      <c r="BF59" s="504"/>
      <c r="BG59" s="51"/>
      <c r="BH59" s="504" t="str">
        <f>_xlfn.XLOOKUP('MAPEO MALLA'!BH59,'ASIGNACIÓN ASIGNATURAS'!$AD:$AD,'ASIGNACIÓN ASIGNATURAS'!$O:$O,"",0)</f>
        <v/>
      </c>
      <c r="BI59" s="504"/>
      <c r="BJ59" s="504"/>
      <c r="BK59" s="30"/>
      <c r="BL59" s="566">
        <f ca="1">SUMIF('MAPEO MALLA'!$E$14:$E$58,'PLANTILLA MALLA PREGRADO'!$E59,'MAPEO MALLA'!$BL$14:$BL$57)+AR59</f>
        <v>0</v>
      </c>
      <c r="BM59" s="309"/>
      <c r="BN59" s="577"/>
      <c r="BO59" s="309"/>
      <c r="BP59" s="573"/>
      <c r="BQ59" s="18"/>
      <c r="BR59" s="49"/>
    </row>
    <row r="60" spans="1:70" ht="138.44999999999999" customHeight="1" x14ac:dyDescent="0.75">
      <c r="A60" s="12"/>
      <c r="B60" s="14"/>
      <c r="C60" s="568"/>
      <c r="D60" s="10"/>
      <c r="E60" s="566"/>
      <c r="F60" s="18"/>
      <c r="G60" s="30"/>
      <c r="H60" s="505" t="str">
        <f>_xlfn.XLOOKUP('MAPEO MALLA'!H59,'ASIGNACIÓN ASIGNATURAS'!$AD:$AD,'ASIGNACIÓN ASIGNATURAS'!$AG:$AG,"",0)</f>
        <v/>
      </c>
      <c r="I60" s="505"/>
      <c r="J60" s="505"/>
      <c r="K60" s="106"/>
      <c r="L60" s="505" t="str">
        <f>_xlfn.XLOOKUP('MAPEO MALLA'!L59,'ASIGNACIÓN ASIGNATURAS'!$AD:$AD,'ASIGNACIÓN ASIGNATURAS'!$AG:$AG,"",0)</f>
        <v/>
      </c>
      <c r="M60" s="505"/>
      <c r="N60" s="505"/>
      <c r="O60" s="106"/>
      <c r="P60" s="505" t="str">
        <f>_xlfn.XLOOKUP('MAPEO MALLA'!P59,'ASIGNACIÓN ASIGNATURAS'!$AD:$AD,'ASIGNACIÓN ASIGNATURAS'!$AG:$AG,"",0)</f>
        <v/>
      </c>
      <c r="Q60" s="505"/>
      <c r="R60" s="505"/>
      <c r="S60" s="106"/>
      <c r="T60" s="505" t="str">
        <f>_xlfn.XLOOKUP('MAPEO MALLA'!T59,'ASIGNACIÓN ASIGNATURAS'!$AD:$AD,'ASIGNACIÓN ASIGNATURAS'!$AG:$AG,"",0)</f>
        <v/>
      </c>
      <c r="U60" s="505"/>
      <c r="V60" s="505"/>
      <c r="X60" s="566"/>
      <c r="Y60" s="306"/>
      <c r="Z60" s="570"/>
      <c r="AA60" s="307"/>
      <c r="AB60" s="573"/>
      <c r="AC60" s="30"/>
      <c r="AD60" s="24"/>
      <c r="AE60" s="30"/>
      <c r="AF60" s="505" t="str">
        <f>_xlfn.XLOOKUP('MAPEO MALLA'!AF59,'ASIGNACIÓN ASIGNATURAS'!$AD:$AD,'ASIGNACIÓN ASIGNATURAS'!$AG:$AG,"",0)</f>
        <v/>
      </c>
      <c r="AG60" s="505"/>
      <c r="AH60" s="505"/>
      <c r="AI60" s="106"/>
      <c r="AJ60" s="505" t="str">
        <f>_xlfn.XLOOKUP('MAPEO MALLA'!AJ59,'ASIGNACIÓN ASIGNATURAS'!$AD:$AD,'ASIGNACIÓN ASIGNATURAS'!$AG:$AG,"",0)</f>
        <v/>
      </c>
      <c r="AK60" s="505"/>
      <c r="AL60" s="505"/>
      <c r="AM60" s="401"/>
      <c r="AN60" s="401" t="str">
        <f>_xlfn.XLOOKUP('MAPEO MALLA'!AN59,'ASIGNACIÓN ASIGNATURAS'!$AD:$AD,'ASIGNACIÓN ASIGNATURAS'!$AG:$AG,"",0)</f>
        <v/>
      </c>
      <c r="AO60" s="401"/>
      <c r="AP60" s="401"/>
      <c r="AQ60" s="401"/>
      <c r="AR60" s="566"/>
      <c r="AS60" s="308"/>
      <c r="AT60" s="577"/>
      <c r="AU60" s="307"/>
      <c r="AV60" s="573"/>
      <c r="AW60" s="30"/>
      <c r="AX60" s="24"/>
      <c r="AY60" s="30"/>
      <c r="AZ60" s="505" t="str">
        <f>_xlfn.XLOOKUP('MAPEO MALLA'!AZ59,'ASIGNACIÓN ASIGNATURAS'!$AD:$AD,'ASIGNACIÓN ASIGNATURAS'!$AG:$AG,"",0)</f>
        <v/>
      </c>
      <c r="BA60" s="505"/>
      <c r="BB60" s="505"/>
      <c r="BC60" s="106"/>
      <c r="BD60" s="505" t="str">
        <f>_xlfn.XLOOKUP('MAPEO MALLA'!BD59,'ASIGNACIÓN ASIGNATURAS'!$AD:$AD,'ASIGNACIÓN ASIGNATURAS'!$AG:$AG,"",0)</f>
        <v/>
      </c>
      <c r="BE60" s="505"/>
      <c r="BF60" s="505"/>
      <c r="BG60" s="106"/>
      <c r="BH60" s="505" t="str">
        <f>_xlfn.XLOOKUP('MAPEO MALLA'!BH59,'ASIGNACIÓN ASIGNATURAS'!$AD:$AD,'ASIGNACIÓN ASIGNATURAS'!$AG:$AG,"",0)</f>
        <v/>
      </c>
      <c r="BI60" s="505"/>
      <c r="BJ60" s="505"/>
      <c r="BK60" s="30"/>
      <c r="BL60" s="566"/>
      <c r="BM60" s="309"/>
      <c r="BN60" s="577"/>
      <c r="BO60" s="309"/>
      <c r="BP60" s="573"/>
      <c r="BQ60" s="18"/>
      <c r="BR60" s="49"/>
    </row>
    <row r="61" spans="1:70" ht="1.5" customHeight="1" x14ac:dyDescent="0.75">
      <c r="A61" s="12"/>
      <c r="B61" s="14"/>
      <c r="C61" s="568"/>
      <c r="D61" s="10"/>
      <c r="E61" s="566"/>
      <c r="F61" s="18"/>
      <c r="G61" s="30"/>
      <c r="H61" s="505"/>
      <c r="I61" s="505"/>
      <c r="J61" s="505"/>
      <c r="K61" s="51"/>
      <c r="L61" s="505"/>
      <c r="M61" s="505"/>
      <c r="N61" s="505"/>
      <c r="O61" s="51"/>
      <c r="P61" s="505"/>
      <c r="Q61" s="505"/>
      <c r="R61" s="505"/>
      <c r="S61" s="51"/>
      <c r="T61" s="505"/>
      <c r="U61" s="505"/>
      <c r="V61" s="505"/>
      <c r="X61" s="566"/>
      <c r="Y61" s="306"/>
      <c r="Z61" s="570"/>
      <c r="AA61" s="307"/>
      <c r="AB61" s="573"/>
      <c r="AC61" s="30"/>
      <c r="AD61" s="24"/>
      <c r="AE61" s="30"/>
      <c r="AF61" s="505"/>
      <c r="AG61" s="505"/>
      <c r="AH61" s="505"/>
      <c r="AI61" s="51"/>
      <c r="AJ61" s="505"/>
      <c r="AK61" s="505"/>
      <c r="AL61" s="505"/>
      <c r="AM61" s="401"/>
      <c r="AN61" s="401"/>
      <c r="AO61" s="401"/>
      <c r="AP61" s="401"/>
      <c r="AQ61" s="401"/>
      <c r="AR61" s="566"/>
      <c r="AS61" s="308"/>
      <c r="AT61" s="577"/>
      <c r="AU61" s="307"/>
      <c r="AV61" s="573"/>
      <c r="AW61" s="30"/>
      <c r="AX61" s="24"/>
      <c r="AY61" s="30"/>
      <c r="AZ61" s="505"/>
      <c r="BA61" s="505"/>
      <c r="BB61" s="505"/>
      <c r="BC61" s="51"/>
      <c r="BD61" s="505"/>
      <c r="BE61" s="505"/>
      <c r="BF61" s="505"/>
      <c r="BG61" s="51"/>
      <c r="BH61" s="505"/>
      <c r="BI61" s="505"/>
      <c r="BJ61" s="505"/>
      <c r="BK61" s="30"/>
      <c r="BL61" s="566"/>
      <c r="BM61" s="309"/>
      <c r="BN61" s="577"/>
      <c r="BO61" s="309"/>
      <c r="BP61" s="573"/>
      <c r="BQ61" s="18"/>
      <c r="BR61" s="49"/>
    </row>
    <row r="62" spans="1:70" ht="60.6" x14ac:dyDescent="0.75">
      <c r="A62" s="12"/>
      <c r="B62" s="14"/>
      <c r="C62" s="568"/>
      <c r="D62" s="10"/>
      <c r="E62" s="566"/>
      <c r="F62" s="18"/>
      <c r="G62" s="30"/>
      <c r="H62" s="444" t="str">
        <f>_xlfn.XLOOKUP('MAPEO MALLA'!H59,'ASIGNACIÓN ASIGNATURAS'!$AD:$AD,'ASIGNACIÓN ASIGNATURAS'!$T:$T,"",0)</f>
        <v/>
      </c>
      <c r="I62" s="459" t="str">
        <f>_xlfn.XLOOKUP('MAPEO MALLA'!H59,'ASIGNACIÓN ASIGNATURAS'!$AD:$AD,'ASIGNACIÓN ASIGNATURAS'!$U:$U,"",0)</f>
        <v/>
      </c>
      <c r="J62" s="443">
        <f>IF(H62="",,(H62+I62)/48)</f>
        <v>0</v>
      </c>
      <c r="K62" s="106"/>
      <c r="L62" s="444" t="str">
        <f>_xlfn.XLOOKUP('MAPEO MALLA'!L59,'ASIGNACIÓN ASIGNATURAS'!$AD:$AD,'ASIGNACIÓN ASIGNATURAS'!$T:$T,"",0)</f>
        <v/>
      </c>
      <c r="M62" s="459" t="str">
        <f>_xlfn.XLOOKUP('MAPEO MALLA'!L59,'ASIGNACIÓN ASIGNATURAS'!$AD:$AD,'ASIGNACIÓN ASIGNATURAS'!$U:$U,"",0)</f>
        <v/>
      </c>
      <c r="N62" s="443">
        <f>IF(L62="",,(L62+M62)/48)</f>
        <v>0</v>
      </c>
      <c r="O62" s="106"/>
      <c r="P62" s="444" t="str">
        <f>_xlfn.XLOOKUP('MAPEO MALLA'!P59,'ASIGNACIÓN ASIGNATURAS'!$AD:$AD,'ASIGNACIÓN ASIGNATURAS'!$T:$T,"",0)</f>
        <v/>
      </c>
      <c r="Q62" s="459" t="str">
        <f>_xlfn.XLOOKUP('MAPEO MALLA'!P59,'ASIGNACIÓN ASIGNATURAS'!$AD:$AD,'ASIGNACIÓN ASIGNATURAS'!$U:$U,"",0)</f>
        <v/>
      </c>
      <c r="R62" s="443">
        <f>IF(P62="",,(P62+Q62)/48)</f>
        <v>0</v>
      </c>
      <c r="S62" s="106"/>
      <c r="T62" s="444" t="str">
        <f>_xlfn.XLOOKUP('MAPEO MALLA'!T59,'ASIGNACIÓN ASIGNATURAS'!$AD:$AD,'ASIGNACIÓN ASIGNATURAS'!$T:$T,"",0)</f>
        <v/>
      </c>
      <c r="U62" s="459" t="str">
        <f>_xlfn.XLOOKUP('MAPEO MALLA'!T59,'ASIGNACIÓN ASIGNATURAS'!$AD:$AD,'ASIGNACIÓN ASIGNATURAS'!$U:$U,"",0)</f>
        <v/>
      </c>
      <c r="V62" s="443">
        <f>IF(T62="",,(T62+U62)/48)</f>
        <v>0</v>
      </c>
      <c r="X62" s="566"/>
      <c r="Y62" s="306"/>
      <c r="Z62" s="570"/>
      <c r="AA62" s="307"/>
      <c r="AB62" s="573"/>
      <c r="AC62" s="30"/>
      <c r="AD62" s="24"/>
      <c r="AE62" s="30"/>
      <c r="AF62" s="444" t="str">
        <f>_xlfn.XLOOKUP('MAPEO MALLA'!AF59,'ASIGNACIÓN ASIGNATURAS'!$AD:$AD,'ASIGNACIÓN ASIGNATURAS'!$T:$T,"",0)</f>
        <v/>
      </c>
      <c r="AG62" s="459" t="str">
        <f>_xlfn.XLOOKUP('MAPEO MALLA'!AF59,'ASIGNACIÓN ASIGNATURAS'!$AD:$AD,'ASIGNACIÓN ASIGNATURAS'!$U:$U,"",0)</f>
        <v/>
      </c>
      <c r="AH62" s="443">
        <f>IF(AF62="",,(AF62+AG62)/48)</f>
        <v>0</v>
      </c>
      <c r="AI62" s="106"/>
      <c r="AJ62" s="444" t="str">
        <f>_xlfn.XLOOKUP('MAPEO MALLA'!AJ59,'ASIGNACIÓN ASIGNATURAS'!$AD:$AD,'ASIGNACIÓN ASIGNATURAS'!$T:$T,"",0)</f>
        <v/>
      </c>
      <c r="AK62" s="459" t="str">
        <f>_xlfn.XLOOKUP('MAPEO MALLA'!AJ59,'ASIGNACIÓN ASIGNATURAS'!$AD:$AD,'ASIGNACIÓN ASIGNATURAS'!$U:$U,"",0)</f>
        <v/>
      </c>
      <c r="AL62" s="443">
        <f>IF(AJ62="",,(AJ62+AK62)/48)</f>
        <v>0</v>
      </c>
      <c r="AM62" s="401"/>
      <c r="AN62" s="401" t="str">
        <f>_xlfn.XLOOKUP('MAPEO MALLA'!AN59,'ASIGNACIÓN ASIGNATURAS'!$AD:$AD,'ASIGNACIÓN ASIGNATURAS'!$T:$T,"",0)</f>
        <v/>
      </c>
      <c r="AO62" s="401" t="str">
        <f>_xlfn.XLOOKUP('MAPEO MALLA'!AN59,'ASIGNACIÓN ASIGNATURAS'!$AD:$AD,'ASIGNACIÓN ASIGNATURAS'!$U:$U,"",0)</f>
        <v/>
      </c>
      <c r="AP62" s="401">
        <f>IF(AN62="",,(AN62+AO62)/48)</f>
        <v>0</v>
      </c>
      <c r="AQ62" s="401"/>
      <c r="AR62" s="566"/>
      <c r="AS62" s="308"/>
      <c r="AT62" s="577"/>
      <c r="AU62" s="307"/>
      <c r="AV62" s="573"/>
      <c r="AW62" s="30"/>
      <c r="AX62" s="94"/>
      <c r="AY62" s="30"/>
      <c r="AZ62" s="444" t="str">
        <f>_xlfn.XLOOKUP('MAPEO MALLA'!AZ59,'ASIGNACIÓN ASIGNATURAS'!$AD:$AD,'ASIGNACIÓN ASIGNATURAS'!$T:$T,"",0)</f>
        <v/>
      </c>
      <c r="BA62" s="459" t="str">
        <f>_xlfn.XLOOKUP('MAPEO MALLA'!AZ59,'ASIGNACIÓN ASIGNATURAS'!$AD:$AD,'ASIGNACIÓN ASIGNATURAS'!$U:$U,"",0)</f>
        <v/>
      </c>
      <c r="BB62" s="443">
        <f>IF(AZ62="",,(AZ62+BA62)/48)</f>
        <v>0</v>
      </c>
      <c r="BC62" s="106"/>
      <c r="BD62" s="444" t="str">
        <f>_xlfn.XLOOKUP('MAPEO MALLA'!BD59,'ASIGNACIÓN ASIGNATURAS'!$AD:$AD,'ASIGNACIÓN ASIGNATURAS'!$T:$T,"",0)</f>
        <v/>
      </c>
      <c r="BE62" s="459" t="str">
        <f>_xlfn.XLOOKUP('MAPEO MALLA'!BD59,'ASIGNACIÓN ASIGNATURAS'!$AD:$AD,'ASIGNACIÓN ASIGNATURAS'!$U:$U,"",0)</f>
        <v/>
      </c>
      <c r="BF62" s="443">
        <f>IF(BD62="",,(BD62+BE62)/48)</f>
        <v>0</v>
      </c>
      <c r="BG62" s="106"/>
      <c r="BH62" s="444" t="str">
        <f>_xlfn.XLOOKUP('MAPEO MALLA'!BH59,'ASIGNACIÓN ASIGNATURAS'!$AD:$AD,'ASIGNACIÓN ASIGNATURAS'!$T:$T,"",0)</f>
        <v/>
      </c>
      <c r="BI62" s="459" t="str">
        <f>_xlfn.XLOOKUP('MAPEO MALLA'!BH59,'ASIGNACIÓN ASIGNATURAS'!$AD:$AD,'ASIGNACIÓN ASIGNATURAS'!$U:$U,"",0)</f>
        <v/>
      </c>
      <c r="BJ62" s="443">
        <f>IF(BH62="",,(BH62+BI62)/48)</f>
        <v>0</v>
      </c>
      <c r="BK62" s="30"/>
      <c r="BL62" s="566"/>
      <c r="BM62" s="309"/>
      <c r="BN62" s="577"/>
      <c r="BO62" s="309"/>
      <c r="BP62" s="573"/>
      <c r="BQ62" s="18"/>
      <c r="BR62" s="49"/>
    </row>
    <row r="63" spans="1:70" ht="60.6" x14ac:dyDescent="0.75">
      <c r="A63" s="12"/>
      <c r="B63" s="14"/>
      <c r="C63" s="568"/>
      <c r="D63" s="10"/>
      <c r="F63" s="18"/>
      <c r="G63" s="30"/>
      <c r="Y63" s="306"/>
      <c r="Z63" s="570"/>
      <c r="AA63" s="307"/>
      <c r="AB63" s="573"/>
      <c r="AC63" s="30"/>
      <c r="AD63" s="24"/>
      <c r="AE63" s="30"/>
      <c r="AM63" s="401"/>
      <c r="AN63" s="401"/>
      <c r="AO63" s="401"/>
      <c r="AP63" s="401"/>
      <c r="AQ63" s="401"/>
      <c r="AS63" s="308"/>
      <c r="AT63" s="577"/>
      <c r="AU63" s="307"/>
      <c r="AV63" s="573"/>
      <c r="AW63" s="30"/>
      <c r="AX63" s="97"/>
      <c r="AY63" s="30"/>
      <c r="BM63" s="309"/>
      <c r="BN63" s="577"/>
      <c r="BO63" s="309"/>
      <c r="BP63" s="573"/>
      <c r="BQ63" s="18"/>
      <c r="BR63" s="49"/>
    </row>
    <row r="64" spans="1:70" ht="105.75" customHeight="1" x14ac:dyDescent="0.75">
      <c r="A64" s="12"/>
      <c r="B64" s="14"/>
      <c r="C64" s="568"/>
      <c r="D64" s="20"/>
      <c r="E64" s="566" t="str">
        <f>'MAPEO MALLA'!$E$64</f>
        <v>PRÁCTICA</v>
      </c>
      <c r="F64" s="18"/>
      <c r="G64" s="41"/>
      <c r="H64" s="504" t="str">
        <f>_xlfn.XLOOKUP('MAPEO MALLA'!H64,'ASIGNACIÓN ASIGNATURAS'!$AD:$AD,'ASIGNACIÓN ASIGNATURAS'!$O:$O,"",0)</f>
        <v/>
      </c>
      <c r="I64" s="504"/>
      <c r="J64" s="504"/>
      <c r="K64" s="30"/>
      <c r="L64" s="504" t="str">
        <f>_xlfn.XLOOKUP('MAPEO MALLA'!L64,'ASIGNACIÓN ASIGNATURAS'!$AD:$AD,'ASIGNACIÓN ASIGNATURAS'!$O:$O,"",0)</f>
        <v/>
      </c>
      <c r="M64" s="504"/>
      <c r="N64" s="504"/>
      <c r="O64" s="30"/>
      <c r="P64" s="504" t="str">
        <f>_xlfn.XLOOKUP('MAPEO MALLA'!P64,'ASIGNACIÓN ASIGNATURAS'!$AD:$AD,'ASIGNACIÓN ASIGNATURAS'!$O:$O,"",0)</f>
        <v/>
      </c>
      <c r="Q64" s="504"/>
      <c r="R64" s="504"/>
      <c r="S64" s="30"/>
      <c r="T64" s="504" t="str">
        <f>_xlfn.XLOOKUP('MAPEO MALLA'!T64,'ASIGNACIÓN ASIGNATURAS'!$AD:$AD,'ASIGNACIÓN ASIGNATURAS'!$O:$O,"",0)</f>
        <v/>
      </c>
      <c r="U64" s="504"/>
      <c r="V64" s="504"/>
      <c r="W64" s="30"/>
      <c r="X64" s="565">
        <f>+V67+R67+N67+J67</f>
        <v>0</v>
      </c>
      <c r="Y64" s="475"/>
      <c r="Z64" s="570"/>
      <c r="AA64" s="334"/>
      <c r="AB64" s="573"/>
      <c r="AC64" s="30"/>
      <c r="AD64" s="24"/>
      <c r="AE64" s="51"/>
      <c r="AF64" s="504" t="str">
        <f>_xlfn.XLOOKUP('MAPEO MALLA'!AF64,'ASIGNACIÓN ASIGNATURAS'!$AD:$AD,'ASIGNACIÓN ASIGNATURAS'!$O:$O,"",0)</f>
        <v/>
      </c>
      <c r="AG64" s="504"/>
      <c r="AH64" s="504"/>
      <c r="AI64" s="30"/>
      <c r="AJ64" s="504" t="str">
        <f>_xlfn.XLOOKUP('MAPEO MALLA'!AJ64,'ASIGNACIÓN ASIGNATURAS'!$AD:$AD,'ASIGNACIÓN ASIGNATURAS'!$O:$O,"",0)</f>
        <v/>
      </c>
      <c r="AK64" s="504"/>
      <c r="AL64" s="504"/>
      <c r="AM64" s="401"/>
      <c r="AN64" s="401"/>
      <c r="AO64" s="401"/>
      <c r="AP64" s="401"/>
      <c r="AQ64" s="401"/>
      <c r="AR64" s="565">
        <f>+X64+AH67+AL67+AP62</f>
        <v>0</v>
      </c>
      <c r="AS64" s="322"/>
      <c r="AT64" s="577"/>
      <c r="AU64" s="334"/>
      <c r="AV64" s="573"/>
      <c r="AW64" s="30"/>
      <c r="AX64" s="24"/>
      <c r="AY64" s="106"/>
      <c r="AZ64" s="504" t="str">
        <f>_xlfn.XLOOKUP('MAPEO MALLA'!AZ64,'ASIGNACIÓN ASIGNATURAS'!$AD:$AD,'ASIGNACIÓN ASIGNATURAS'!$O:$O,"",0)</f>
        <v/>
      </c>
      <c r="BA64" s="504"/>
      <c r="BB64" s="504"/>
      <c r="BC64" s="30"/>
      <c r="BD64" s="504" t="str">
        <f>_xlfn.XLOOKUP('MAPEO MALLA'!BD64,'ASIGNACIÓN ASIGNATURAS'!$AD:$AD,'ASIGNACIÓN ASIGNATURAS'!$O:$O,"",0)</f>
        <v/>
      </c>
      <c r="BE64" s="504"/>
      <c r="BF64" s="504"/>
      <c r="BG64" s="30"/>
      <c r="BH64" s="504" t="str">
        <f>_xlfn.XLOOKUP('MAPEO MALLA'!BH64,'ASIGNACIÓN ASIGNATURAS'!$AD:$AD,'ASIGNACIÓN ASIGNATURAS'!$O:$O,"",0)</f>
        <v/>
      </c>
      <c r="BI64" s="504"/>
      <c r="BJ64" s="504"/>
      <c r="BK64" s="30"/>
      <c r="BL64" s="565">
        <f>+AR64+BB67+BF67+BJ67</f>
        <v>0</v>
      </c>
      <c r="BM64" s="476"/>
      <c r="BN64" s="577"/>
      <c r="BO64" s="309"/>
      <c r="BP64" s="573"/>
      <c r="BQ64" s="18"/>
      <c r="BR64" s="49"/>
    </row>
    <row r="65" spans="1:70" ht="105.75" customHeight="1" x14ac:dyDescent="0.75">
      <c r="A65" s="12"/>
      <c r="B65" s="14"/>
      <c r="C65" s="568"/>
      <c r="D65" s="20"/>
      <c r="E65" s="566"/>
      <c r="F65" s="18"/>
      <c r="G65" s="41"/>
      <c r="H65" s="505" t="str">
        <f>_xlfn.XLOOKUP('MAPEO MALLA'!H64,'ASIGNACIÓN ASIGNATURAS'!$AD:$AD,'ASIGNACIÓN ASIGNATURAS'!$AG:$AG,"",0)</f>
        <v/>
      </c>
      <c r="I65" s="505"/>
      <c r="J65" s="505"/>
      <c r="K65" s="30"/>
      <c r="L65" s="505" t="str">
        <f>_xlfn.XLOOKUP('MAPEO MALLA'!L64,'ASIGNACIÓN ASIGNATURAS'!$AD:$AD,'ASIGNACIÓN ASIGNATURAS'!$AG:$AG,"",0)</f>
        <v/>
      </c>
      <c r="M65" s="505"/>
      <c r="N65" s="505"/>
      <c r="O65" s="30"/>
      <c r="P65" s="505" t="str">
        <f>_xlfn.XLOOKUP('MAPEO MALLA'!P64,'ASIGNACIÓN ASIGNATURAS'!$AD:$AD,'ASIGNACIÓN ASIGNATURAS'!$AG:$AG,"",0)</f>
        <v/>
      </c>
      <c r="Q65" s="505"/>
      <c r="R65" s="505"/>
      <c r="S65" s="30"/>
      <c r="T65" s="505" t="str">
        <f>_xlfn.XLOOKUP('MAPEO MALLA'!T64,'ASIGNACIÓN ASIGNATURAS'!$AD:$AD,'ASIGNACIÓN ASIGNATURAS'!$AG:$AG,"",0)</f>
        <v/>
      </c>
      <c r="U65" s="505"/>
      <c r="V65" s="505"/>
      <c r="W65" s="30"/>
      <c r="X65" s="566"/>
      <c r="Z65" s="570"/>
      <c r="AA65" s="334"/>
      <c r="AB65" s="573"/>
      <c r="AC65" s="30"/>
      <c r="AD65" s="24"/>
      <c r="AE65" s="51"/>
      <c r="AF65" s="505" t="str">
        <f>_xlfn.XLOOKUP('MAPEO MALLA'!AF64,'ASIGNACIÓN ASIGNATURAS'!$AD:$AD,'ASIGNACIÓN ASIGNATURAS'!$AG:$AG,"",0)</f>
        <v/>
      </c>
      <c r="AG65" s="505"/>
      <c r="AH65" s="505"/>
      <c r="AI65" s="30"/>
      <c r="AJ65" s="505" t="str">
        <f>_xlfn.XLOOKUP('MAPEO MALLA'!AJ64,'ASIGNACIÓN ASIGNATURAS'!$AD:$AD,'ASIGNACIÓN ASIGNATURAS'!$AG:$AG,"",0)</f>
        <v/>
      </c>
      <c r="AK65" s="505"/>
      <c r="AL65" s="505"/>
      <c r="AM65" s="401"/>
      <c r="AN65" s="401"/>
      <c r="AO65" s="401"/>
      <c r="AP65" s="401"/>
      <c r="AQ65" s="401"/>
      <c r="AR65" s="566"/>
      <c r="AS65" s="322"/>
      <c r="AT65" s="577"/>
      <c r="AU65" s="334"/>
      <c r="AV65" s="573"/>
      <c r="AW65" s="30"/>
      <c r="AX65" s="24"/>
      <c r="AY65" s="106"/>
      <c r="AZ65" s="505" t="str">
        <f>_xlfn.XLOOKUP('MAPEO MALLA'!AZ64,'ASIGNACIÓN ASIGNATURAS'!$AD:$AD,'ASIGNACIÓN ASIGNATURAS'!$AG:$AG,"",0)</f>
        <v/>
      </c>
      <c r="BA65" s="505"/>
      <c r="BB65" s="505"/>
      <c r="BC65" s="30"/>
      <c r="BD65" s="505" t="str">
        <f>_xlfn.XLOOKUP('MAPEO MALLA'!BD64,'ASIGNACIÓN ASIGNATURAS'!$AD:$AD,'ASIGNACIÓN ASIGNATURAS'!$AG:$AG,"",0)</f>
        <v/>
      </c>
      <c r="BE65" s="505"/>
      <c r="BF65" s="505"/>
      <c r="BG65" s="30"/>
      <c r="BH65" s="505" t="str">
        <f>_xlfn.XLOOKUP('MAPEO MALLA'!BH64,'ASIGNACIÓN ASIGNATURAS'!$AD:$AD,'ASIGNACIÓN ASIGNATURAS'!$AG:$AG,"",0)</f>
        <v/>
      </c>
      <c r="BI65" s="505"/>
      <c r="BJ65" s="505"/>
      <c r="BK65" s="30"/>
      <c r="BL65" s="566"/>
      <c r="BM65" s="476"/>
      <c r="BN65" s="577"/>
      <c r="BO65" s="309"/>
      <c r="BP65" s="573"/>
      <c r="BQ65" s="18"/>
      <c r="BR65" s="49"/>
    </row>
    <row r="66" spans="1:70" ht="31.2" customHeight="1" x14ac:dyDescent="0.75">
      <c r="A66" s="12"/>
      <c r="B66" s="14"/>
      <c r="C66" s="568"/>
      <c r="D66" s="20"/>
      <c r="E66" s="566"/>
      <c r="F66" s="18"/>
      <c r="G66" s="41"/>
      <c r="H66" s="505"/>
      <c r="I66" s="505"/>
      <c r="J66" s="505"/>
      <c r="K66" s="30"/>
      <c r="L66" s="505"/>
      <c r="M66" s="505"/>
      <c r="N66" s="505"/>
      <c r="O66" s="30"/>
      <c r="P66" s="505"/>
      <c r="Q66" s="505"/>
      <c r="R66" s="505"/>
      <c r="S66" s="30"/>
      <c r="T66" s="505"/>
      <c r="U66" s="505"/>
      <c r="V66" s="505"/>
      <c r="W66" s="30"/>
      <c r="X66" s="566"/>
      <c r="Y66" s="475"/>
      <c r="Z66" s="570"/>
      <c r="AA66" s="334"/>
      <c r="AB66" s="573"/>
      <c r="AC66" s="30"/>
      <c r="AD66" s="24"/>
      <c r="AE66" s="51"/>
      <c r="AF66" s="505"/>
      <c r="AG66" s="505"/>
      <c r="AH66" s="505"/>
      <c r="AI66" s="30"/>
      <c r="AJ66" s="505"/>
      <c r="AK66" s="505"/>
      <c r="AL66" s="505"/>
      <c r="AM66" s="401"/>
      <c r="AN66" s="401"/>
      <c r="AO66" s="401"/>
      <c r="AP66" s="401"/>
      <c r="AQ66" s="401"/>
      <c r="AR66" s="566"/>
      <c r="AS66" s="322"/>
      <c r="AT66" s="577"/>
      <c r="AU66" s="334"/>
      <c r="AV66" s="573"/>
      <c r="AW66" s="30"/>
      <c r="AX66" s="24"/>
      <c r="AY66" s="106"/>
      <c r="AZ66" s="505"/>
      <c r="BA66" s="505"/>
      <c r="BB66" s="505"/>
      <c r="BC66" s="30"/>
      <c r="BD66" s="505"/>
      <c r="BE66" s="505"/>
      <c r="BF66" s="505"/>
      <c r="BG66" s="30"/>
      <c r="BH66" s="505"/>
      <c r="BI66" s="505"/>
      <c r="BJ66" s="505"/>
      <c r="BK66" s="30"/>
      <c r="BL66" s="566"/>
      <c r="BM66" s="476"/>
      <c r="BN66" s="577"/>
      <c r="BO66" s="309"/>
      <c r="BP66" s="573"/>
      <c r="BQ66" s="18"/>
      <c r="BR66" s="49"/>
    </row>
    <row r="67" spans="1:70" ht="64.95" customHeight="1" thickBot="1" x14ac:dyDescent="0.8">
      <c r="A67" s="12"/>
      <c r="B67" s="14"/>
      <c r="C67" s="568"/>
      <c r="D67" s="20"/>
      <c r="E67" s="566"/>
      <c r="F67" s="18"/>
      <c r="G67" s="41"/>
      <c r="H67" s="575" t="str">
        <f>_xlfn.XLOOKUP('MAPEO MALLA'!H64,'ASIGNACIÓN ASIGNATURAS'!$AD:$AD,'ASIGNACIÓN ASIGNATURAS'!$T:$T,"",0)</f>
        <v/>
      </c>
      <c r="I67" s="502" t="str">
        <f>_xlfn.XLOOKUP('MAPEO MALLA'!H64,'ASIGNACIÓN ASIGNATURAS'!$AD:$AD,'ASIGNACIÓN ASIGNATURAS'!$U:$U,"",0)</f>
        <v/>
      </c>
      <c r="J67" s="503">
        <f>IF(H67="",,(H67+I67)/48)</f>
        <v>0</v>
      </c>
      <c r="K67" s="30"/>
      <c r="L67" s="575" t="str">
        <f>_xlfn.XLOOKUP('MAPEO MALLA'!L64,'ASIGNACIÓN ASIGNATURAS'!$AD:$AD,'ASIGNACIÓN ASIGNATURAS'!$T:$T,"",0)</f>
        <v/>
      </c>
      <c r="M67" s="502" t="str">
        <f>_xlfn.XLOOKUP('MAPEO MALLA'!L64,'ASIGNACIÓN ASIGNATURAS'!$AD:$AD,'ASIGNACIÓN ASIGNATURAS'!$U:$U,"",0)</f>
        <v/>
      </c>
      <c r="N67" s="503">
        <f>IF(L67="",,(L67+M67)/48)</f>
        <v>0</v>
      </c>
      <c r="O67" s="30"/>
      <c r="P67" s="575" t="str">
        <f>_xlfn.XLOOKUP('MAPEO MALLA'!P64,'ASIGNACIÓN ASIGNATURAS'!$AD:$AD,'ASIGNACIÓN ASIGNATURAS'!$T:$T,"",0)</f>
        <v/>
      </c>
      <c r="Q67" s="502" t="str">
        <f>_xlfn.XLOOKUP('MAPEO MALLA'!P64,'ASIGNACIÓN ASIGNATURAS'!$AD:$AD,'ASIGNACIÓN ASIGNATURAS'!$U:$U,"",0)</f>
        <v/>
      </c>
      <c r="R67" s="503">
        <f>IF(P67="",,(P67+Q67)/48)</f>
        <v>0</v>
      </c>
      <c r="S67" s="30"/>
      <c r="T67" s="575" t="str">
        <f>_xlfn.XLOOKUP('MAPEO MALLA'!T64,'ASIGNACIÓN ASIGNATURAS'!$AD:$AD,'ASIGNACIÓN ASIGNATURAS'!$T:$T,"",0)</f>
        <v/>
      </c>
      <c r="U67" s="502" t="str">
        <f>_xlfn.XLOOKUP('MAPEO MALLA'!T64,'ASIGNACIÓN ASIGNATURAS'!$AD:$AD,'ASIGNACIÓN ASIGNATURAS'!$U:$U,"",0)</f>
        <v/>
      </c>
      <c r="V67" s="503">
        <f>IF(T67="",,(T67+U67)/48)</f>
        <v>0</v>
      </c>
      <c r="W67" s="30"/>
      <c r="X67" s="566"/>
      <c r="Y67" s="475"/>
      <c r="Z67" s="570"/>
      <c r="AA67" s="334"/>
      <c r="AB67" s="574"/>
      <c r="AC67" s="30"/>
      <c r="AD67" s="24"/>
      <c r="AE67" s="51"/>
      <c r="AF67" s="575" t="str">
        <f>_xlfn.XLOOKUP('MAPEO MALLA'!AF64,'ASIGNACIÓN ASIGNATURAS'!$AD:$AD,'ASIGNACIÓN ASIGNATURAS'!$T:$T,"",0)</f>
        <v/>
      </c>
      <c r="AG67" s="502" t="str">
        <f>_xlfn.XLOOKUP('MAPEO MALLA'!AF64,'ASIGNACIÓN ASIGNATURAS'!$AD:$AD,'ASIGNACIÓN ASIGNATURAS'!$U:$U,"",0)</f>
        <v/>
      </c>
      <c r="AH67" s="503">
        <f>IF(AF67="",,(AF67+AG67)/48)</f>
        <v>0</v>
      </c>
      <c r="AI67" s="30"/>
      <c r="AJ67" s="575" t="str">
        <f>_xlfn.XLOOKUP('MAPEO MALLA'!AJ64,'ASIGNACIÓN ASIGNATURAS'!$AD:$AD,'ASIGNACIÓN ASIGNATURAS'!$T:$T,"",0)</f>
        <v/>
      </c>
      <c r="AK67" s="502" t="str">
        <f>_xlfn.XLOOKUP('MAPEO MALLA'!AJ64,'ASIGNACIÓN ASIGNATURAS'!$AD:$AD,'ASIGNACIÓN ASIGNATURAS'!$U:$U,"",0)</f>
        <v/>
      </c>
      <c r="AL67" s="503">
        <f>IF(AJ67="",,(AJ67+AK67)/48)</f>
        <v>0</v>
      </c>
      <c r="AM67" s="401"/>
      <c r="AN67" s="401"/>
      <c r="AO67" s="401"/>
      <c r="AP67" s="401"/>
      <c r="AQ67" s="401"/>
      <c r="AR67" s="566"/>
      <c r="AS67" s="322"/>
      <c r="AT67" s="577"/>
      <c r="AU67" s="334"/>
      <c r="AV67" s="574"/>
      <c r="AW67" s="30"/>
      <c r="AX67" s="24"/>
      <c r="AY67" s="106"/>
      <c r="AZ67" s="575" t="str">
        <f>_xlfn.XLOOKUP('MAPEO MALLA'!AZ64,'ASIGNACIÓN ASIGNATURAS'!$AD:$AD,'ASIGNACIÓN ASIGNATURAS'!$T:$T,"",0)</f>
        <v/>
      </c>
      <c r="BA67" s="502" t="str">
        <f>_xlfn.XLOOKUP('MAPEO MALLA'!AZ64,'ASIGNACIÓN ASIGNATURAS'!$AD:$AD,'ASIGNACIÓN ASIGNATURAS'!$U:$U,"",0)</f>
        <v/>
      </c>
      <c r="BB67" s="503">
        <f>IF(AZ67="",,(AZ67+BA67)/48)</f>
        <v>0</v>
      </c>
      <c r="BC67" s="30"/>
      <c r="BD67" s="575" t="str">
        <f>_xlfn.XLOOKUP('MAPEO MALLA'!BD64,'ASIGNACIÓN ASIGNATURAS'!$AD:$AD,'ASIGNACIÓN ASIGNATURAS'!$T:$T,"",0)</f>
        <v/>
      </c>
      <c r="BE67" s="502" t="str">
        <f>_xlfn.XLOOKUP('MAPEO MALLA'!BD64,'ASIGNACIÓN ASIGNATURAS'!$AD:$AD,'ASIGNACIÓN ASIGNATURAS'!$U:$U,"",0)</f>
        <v/>
      </c>
      <c r="BF67" s="503">
        <f>IF(BD67="",,(BD67+BE67)/48)</f>
        <v>0</v>
      </c>
      <c r="BG67" s="30"/>
      <c r="BH67" s="575" t="str">
        <f>_xlfn.XLOOKUP('MAPEO MALLA'!BH64,'ASIGNACIÓN ASIGNATURAS'!$AD:$AD,'ASIGNACIÓN ASIGNATURAS'!$T:$T,"",0)</f>
        <v/>
      </c>
      <c r="BI67" s="502" t="str">
        <f>_xlfn.XLOOKUP('MAPEO MALLA'!BH64,'ASIGNACIÓN ASIGNATURAS'!$AD:$AD,'ASIGNACIÓN ASIGNATURAS'!$U:$U,"",0)</f>
        <v/>
      </c>
      <c r="BJ67" s="503">
        <f>IF(BH67="",,(BH67+BI67)/48)</f>
        <v>0</v>
      </c>
      <c r="BK67" s="30"/>
      <c r="BL67" s="566"/>
      <c r="BM67" s="476"/>
      <c r="BN67" s="578"/>
      <c r="BO67" s="309"/>
      <c r="BP67" s="574"/>
      <c r="BQ67" s="18"/>
      <c r="BR67" s="49"/>
    </row>
    <row r="68" spans="1:70" ht="9.6" customHeight="1" thickBot="1" x14ac:dyDescent="0.8">
      <c r="A68" s="12"/>
      <c r="B68" s="14"/>
      <c r="C68" s="568"/>
      <c r="D68" s="20"/>
      <c r="E68" s="566"/>
      <c r="F68" s="18"/>
      <c r="G68" s="41"/>
      <c r="H68" s="575"/>
      <c r="I68" s="502"/>
      <c r="J68" s="503"/>
      <c r="K68" s="30"/>
      <c r="L68" s="575"/>
      <c r="M68" s="502"/>
      <c r="N68" s="503"/>
      <c r="O68" s="30"/>
      <c r="P68" s="575"/>
      <c r="Q68" s="502"/>
      <c r="R68" s="503"/>
      <c r="S68" s="30"/>
      <c r="T68" s="575"/>
      <c r="U68" s="502"/>
      <c r="V68" s="503"/>
      <c r="W68" s="30"/>
      <c r="X68" s="566"/>
      <c r="Y68" s="475"/>
      <c r="Z68" s="571"/>
      <c r="AA68" s="368"/>
      <c r="AB68" s="321"/>
      <c r="AC68" s="30"/>
      <c r="AD68" s="24"/>
      <c r="AE68" s="51"/>
      <c r="AF68" s="575"/>
      <c r="AG68" s="502"/>
      <c r="AH68" s="503"/>
      <c r="AI68" s="30"/>
      <c r="AJ68" s="575"/>
      <c r="AK68" s="502"/>
      <c r="AL68" s="503"/>
      <c r="AM68" s="401"/>
      <c r="AN68" s="401"/>
      <c r="AO68" s="401"/>
      <c r="AP68" s="401"/>
      <c r="AQ68" s="401"/>
      <c r="AR68" s="566"/>
      <c r="AS68" s="322"/>
      <c r="AT68" s="578"/>
      <c r="AU68" s="368"/>
      <c r="AV68" s="321"/>
      <c r="AW68" s="30"/>
      <c r="AX68" s="24"/>
      <c r="AY68" s="106"/>
      <c r="AZ68" s="575"/>
      <c r="BA68" s="502"/>
      <c r="BB68" s="503"/>
      <c r="BC68" s="30"/>
      <c r="BD68" s="575"/>
      <c r="BE68" s="502"/>
      <c r="BF68" s="503"/>
      <c r="BG68" s="30"/>
      <c r="BH68" s="575"/>
      <c r="BI68" s="502"/>
      <c r="BJ68" s="503"/>
      <c r="BK68" s="30"/>
      <c r="BL68" s="566"/>
      <c r="BM68" s="325"/>
      <c r="BN68" s="326"/>
      <c r="BO68" s="327"/>
      <c r="BP68" s="328"/>
      <c r="BQ68" s="18"/>
      <c r="BR68" s="49"/>
    </row>
    <row r="69" spans="1:70" ht="105.75" customHeight="1" thickBot="1" x14ac:dyDescent="0.8">
      <c r="A69" s="12"/>
      <c r="B69" s="14"/>
      <c r="C69" s="129"/>
      <c r="D69" s="20"/>
      <c r="E69" s="20"/>
      <c r="F69" s="18"/>
      <c r="G69" s="41"/>
      <c r="H69" s="567"/>
      <c r="I69" s="567"/>
      <c r="J69" s="567"/>
      <c r="K69" s="106"/>
      <c r="L69" s="567"/>
      <c r="M69" s="567"/>
      <c r="N69" s="567"/>
      <c r="O69" s="51"/>
      <c r="P69" s="567"/>
      <c r="Q69" s="567"/>
      <c r="R69" s="567"/>
      <c r="S69" s="51"/>
      <c r="T69" s="460"/>
      <c r="U69" s="460"/>
      <c r="V69" s="460"/>
      <c r="W69" s="13"/>
      <c r="X69" s="20"/>
      <c r="Y69" s="319"/>
      <c r="Z69" s="320"/>
      <c r="AA69" s="312"/>
      <c r="AB69" s="321"/>
      <c r="AC69" s="30"/>
      <c r="AD69" s="24"/>
      <c r="AE69" s="51"/>
      <c r="AF69" s="567"/>
      <c r="AG69" s="567"/>
      <c r="AH69" s="567"/>
      <c r="AI69" s="51"/>
      <c r="AJ69" s="460"/>
      <c r="AK69" s="460"/>
      <c r="AL69" s="460"/>
      <c r="AM69" s="401"/>
      <c r="AN69" s="401"/>
      <c r="AO69" s="401"/>
      <c r="AP69" s="401"/>
      <c r="AQ69" s="401"/>
      <c r="AR69" s="318"/>
      <c r="AS69" s="322"/>
      <c r="AT69" s="323"/>
      <c r="AU69" s="312"/>
      <c r="AV69" s="321"/>
      <c r="AW69" s="30"/>
      <c r="AX69" s="24"/>
      <c r="AY69" s="106"/>
      <c r="AZ69" s="567"/>
      <c r="BA69" s="523"/>
      <c r="BB69" s="523"/>
      <c r="BC69" s="51"/>
      <c r="BD69" s="567"/>
      <c r="BE69" s="523"/>
      <c r="BF69" s="523"/>
      <c r="BG69" s="51"/>
      <c r="BH69" s="460"/>
      <c r="BI69" s="460"/>
      <c r="BJ69" s="460"/>
      <c r="BK69" s="13"/>
      <c r="BL69" s="324"/>
      <c r="BM69" s="325"/>
      <c r="BN69" s="326"/>
      <c r="BO69" s="327"/>
      <c r="BP69" s="328"/>
      <c r="BQ69" s="18"/>
      <c r="BR69" s="49"/>
    </row>
    <row r="70" spans="1:70" ht="103.5" customHeight="1" x14ac:dyDescent="0.75">
      <c r="A70" s="12"/>
      <c r="B70" s="14"/>
      <c r="C70" s="564" t="s">
        <v>54</v>
      </c>
      <c r="D70" s="10"/>
      <c r="E70" s="563" t="e">
        <f>'MAPEO MALLA'!$E$69</f>
        <v>#N/A</v>
      </c>
      <c r="F70" s="18"/>
      <c r="G70" s="30"/>
      <c r="H70" s="504" t="e">
        <f>_xlfn.XLOOKUP('MAPEO MALLA'!H69,'ASIGNACIÓN ASIGNATURAS'!$AD:$AD,'ASIGNACIÓN ASIGNATURAS'!$O:$O,"",0)</f>
        <v>#N/A</v>
      </c>
      <c r="I70" s="504"/>
      <c r="J70" s="504"/>
      <c r="K70" s="51"/>
      <c r="L70" s="504" t="e">
        <f>_xlfn.XLOOKUP('MAPEO MALLA'!L69,'ASIGNACIÓN ASIGNATURAS'!$AD:$AD,'ASIGNACIÓN ASIGNATURAS'!$O:$O,"",0)</f>
        <v>#N/A</v>
      </c>
      <c r="M70" s="504"/>
      <c r="N70" s="504"/>
      <c r="O70" s="51"/>
      <c r="P70" s="504" t="e">
        <f>_xlfn.XLOOKUP('MAPEO MALLA'!P69,'ASIGNACIÓN ASIGNATURAS'!$AD:$AD,'ASIGNACIÓN ASIGNATURAS'!$O:$O,"",0)</f>
        <v>#N/A</v>
      </c>
      <c r="Q70" s="504"/>
      <c r="R70" s="504"/>
      <c r="S70" s="51"/>
      <c r="T70" s="504" t="e">
        <f>_xlfn.XLOOKUP('MAPEO MALLA'!T69,'ASIGNACIÓN ASIGNATURAS'!$AD:$AD,'ASIGNACIÓN ASIGNATURAS'!$O:$O,"",0)</f>
        <v>#N/A</v>
      </c>
      <c r="U70" s="504"/>
      <c r="V70" s="504"/>
      <c r="W70" s="30"/>
      <c r="X70" s="563" t="e">
        <f>J73+N73+R73+V73</f>
        <v>#N/A</v>
      </c>
      <c r="Y70" s="329"/>
      <c r="Z70" s="515" t="e">
        <f>X70+X75</f>
        <v>#N/A</v>
      </c>
      <c r="AA70" s="307"/>
      <c r="AB70" s="506" t="e">
        <f>+Z70/X109</f>
        <v>#N/A</v>
      </c>
      <c r="AC70" s="30"/>
      <c r="AD70" s="24"/>
      <c r="AE70" s="51"/>
      <c r="AF70" s="504" t="e">
        <f>_xlfn.XLOOKUP('MAPEO MALLA'!AF69,'ASIGNACIÓN ASIGNATURAS'!$AD:$AD,'ASIGNACIÓN ASIGNATURAS'!$O:$O,"",0)</f>
        <v>#N/A</v>
      </c>
      <c r="AG70" s="504"/>
      <c r="AH70" s="504"/>
      <c r="AI70" s="51"/>
      <c r="AJ70" s="504" t="e">
        <f>_xlfn.XLOOKUP('MAPEO MALLA'!AJ69,'ASIGNACIÓN ASIGNATURAS'!$AD:$AD,'ASIGNACIÓN ASIGNATURAS'!$O:$O,"",0)</f>
        <v>#N/A</v>
      </c>
      <c r="AK70" s="504"/>
      <c r="AL70" s="504"/>
      <c r="AM70" s="401"/>
      <c r="AN70" s="401" t="e">
        <f>_xlfn.XLOOKUP('MAPEO MALLA'!AN69,'ASIGNACIÓN ASIGNATURAS'!$AD:$AD,'ASIGNACIÓN ASIGNATURAS'!$O:$O,"",0)</f>
        <v>#N/A</v>
      </c>
      <c r="AO70" s="401"/>
      <c r="AP70" s="401"/>
      <c r="AQ70" s="401"/>
      <c r="AR70" s="562" t="e">
        <f>+X70+AH73+AL73+AP73</f>
        <v>#N/A</v>
      </c>
      <c r="AS70" s="308"/>
      <c r="AT70" s="515" t="e">
        <f>+AR70+AR75</f>
        <v>#N/A</v>
      </c>
      <c r="AU70" s="307"/>
      <c r="AV70" s="506" t="e">
        <f>+AT70/AR109</f>
        <v>#N/A</v>
      </c>
      <c r="AW70" s="30"/>
      <c r="AX70" s="94"/>
      <c r="AY70" s="51"/>
      <c r="AZ70" s="504" t="e">
        <f>_xlfn.XLOOKUP('MAPEO MALLA'!AZ69,'ASIGNACIÓN ASIGNATURAS'!$AD:$AD,'ASIGNACIÓN ASIGNATURAS'!$O:$O,"",0)</f>
        <v>#N/A</v>
      </c>
      <c r="BA70" s="504"/>
      <c r="BB70" s="504"/>
      <c r="BC70" s="51"/>
      <c r="BD70" s="504" t="e">
        <f>_xlfn.XLOOKUP('MAPEO MALLA'!BD69,'ASIGNACIÓN ASIGNATURAS'!$AD:$AD,'ASIGNACIÓN ASIGNATURAS'!$O:$O,"",0)</f>
        <v>#N/A</v>
      </c>
      <c r="BE70" s="504"/>
      <c r="BF70" s="504"/>
      <c r="BG70" s="51"/>
      <c r="BH70" s="504" t="e">
        <f>_xlfn.XLOOKUP('MAPEO MALLA'!BH69,'ASIGNACIÓN ASIGNATURAS'!$AD:$AD,'ASIGNACIÓN ASIGNATURAS'!$O:$O,"",0)</f>
        <v>#N/A</v>
      </c>
      <c r="BI70" s="504"/>
      <c r="BJ70" s="504"/>
      <c r="BK70" s="30"/>
      <c r="BL70" s="562" t="e">
        <f>+AR70+BB73+BF73+BJ73</f>
        <v>#N/A</v>
      </c>
      <c r="BM70" s="309"/>
      <c r="BN70" s="515" t="e">
        <f>BL70+BL75</f>
        <v>#N/A</v>
      </c>
      <c r="BO70" s="309"/>
      <c r="BP70" s="506" t="e">
        <f>BN70/BL109</f>
        <v>#N/A</v>
      </c>
      <c r="BQ70" s="18"/>
      <c r="BR70" s="49"/>
    </row>
    <row r="71" spans="1:70" ht="60.45" customHeight="1" x14ac:dyDescent="0.75">
      <c r="A71" s="12"/>
      <c r="B71" s="14"/>
      <c r="C71" s="523"/>
      <c r="D71" s="10"/>
      <c r="E71" s="523"/>
      <c r="F71" s="18"/>
      <c r="G71" s="30"/>
      <c r="H71" s="505" t="e">
        <f>_xlfn.XLOOKUP('MAPEO MALLA'!H69,'ASIGNACIÓN ASIGNATURAS'!$AD:$AD,'ASIGNACIÓN ASIGNATURAS'!$AG:$AG,"",0)</f>
        <v>#N/A</v>
      </c>
      <c r="I71" s="505"/>
      <c r="J71" s="505"/>
      <c r="K71" s="106"/>
      <c r="L71" s="505" t="e">
        <f>_xlfn.XLOOKUP('MAPEO MALLA'!L69,'ASIGNACIÓN ASIGNATURAS'!$AD:$AD,'ASIGNACIÓN ASIGNATURAS'!$AG:$AG,"",0)</f>
        <v>#N/A</v>
      </c>
      <c r="M71" s="505"/>
      <c r="N71" s="505"/>
      <c r="O71" s="106"/>
      <c r="P71" s="505" t="e">
        <f>_xlfn.XLOOKUP('MAPEO MALLA'!P69,'ASIGNACIÓN ASIGNATURAS'!$AD:$AD,'ASIGNACIÓN ASIGNATURAS'!$AG:$AG,"",0)</f>
        <v>#N/A</v>
      </c>
      <c r="Q71" s="505"/>
      <c r="R71" s="505"/>
      <c r="S71" s="106"/>
      <c r="T71" s="505" t="e">
        <f>_xlfn.XLOOKUP('MAPEO MALLA'!T69,'ASIGNACIÓN ASIGNATURAS'!$AD:$AD,'ASIGNACIÓN ASIGNATURAS'!$AG:$AG,"",0)</f>
        <v>#N/A</v>
      </c>
      <c r="U71" s="505"/>
      <c r="V71" s="505"/>
      <c r="W71" s="30"/>
      <c r="X71" s="523"/>
      <c r="Y71" s="329"/>
      <c r="Z71" s="510"/>
      <c r="AA71" s="307"/>
      <c r="AB71" s="507"/>
      <c r="AC71" s="30"/>
      <c r="AD71" s="24"/>
      <c r="AE71" s="106"/>
      <c r="AF71" s="505" t="e">
        <f>_xlfn.XLOOKUP('MAPEO MALLA'!AF69,'ASIGNACIÓN ASIGNATURAS'!$AD:$AD,'ASIGNACIÓN ASIGNATURAS'!$AG:$AG,"",0)</f>
        <v>#N/A</v>
      </c>
      <c r="AG71" s="505"/>
      <c r="AH71" s="505"/>
      <c r="AI71" s="106"/>
      <c r="AJ71" s="505" t="e">
        <f>_xlfn.XLOOKUP('MAPEO MALLA'!AJ69,'ASIGNACIÓN ASIGNATURAS'!$AD:$AD,'ASIGNACIÓN ASIGNATURAS'!$AG:$AG,"",0)</f>
        <v>#N/A</v>
      </c>
      <c r="AK71" s="505"/>
      <c r="AL71" s="505"/>
      <c r="AM71" s="401"/>
      <c r="AN71" s="401" t="e">
        <f>_xlfn.XLOOKUP('MAPEO MALLA'!AN69,'ASIGNACIÓN ASIGNATURAS'!$AD:$AD,'ASIGNACIÓN ASIGNATURAS'!$AG:$AG,"",0)</f>
        <v>#N/A</v>
      </c>
      <c r="AO71" s="401"/>
      <c r="AP71" s="401"/>
      <c r="AQ71" s="401"/>
      <c r="AR71" s="523"/>
      <c r="AS71" s="308"/>
      <c r="AT71" s="510"/>
      <c r="AU71" s="307"/>
      <c r="AV71" s="507"/>
      <c r="AW71" s="30"/>
      <c r="AX71" s="94"/>
      <c r="AY71" s="106"/>
      <c r="AZ71" s="505" t="e">
        <f>_xlfn.XLOOKUP('MAPEO MALLA'!AZ69,'ASIGNACIÓN ASIGNATURAS'!$AD:$AD,'ASIGNACIÓN ASIGNATURAS'!$AG:$AG,"",0)</f>
        <v>#N/A</v>
      </c>
      <c r="BA71" s="505"/>
      <c r="BB71" s="505"/>
      <c r="BC71" s="106"/>
      <c r="BD71" s="505" t="e">
        <f>_xlfn.XLOOKUP('MAPEO MALLA'!BD69,'ASIGNACIÓN ASIGNATURAS'!$AD:$AD,'ASIGNACIÓN ASIGNATURAS'!$AG:$AG,"",0)</f>
        <v>#N/A</v>
      </c>
      <c r="BE71" s="505"/>
      <c r="BF71" s="505"/>
      <c r="BG71" s="106"/>
      <c r="BH71" s="505" t="e">
        <f>_xlfn.XLOOKUP('MAPEO MALLA'!BH69,'ASIGNACIÓN ASIGNATURAS'!$AD:$AD,'ASIGNACIÓN ASIGNATURAS'!$AG:$AG,"",0)</f>
        <v>#N/A</v>
      </c>
      <c r="BI71" s="505"/>
      <c r="BJ71" s="505"/>
      <c r="BK71" s="30"/>
      <c r="BL71" s="523"/>
      <c r="BM71" s="309"/>
      <c r="BN71" s="510"/>
      <c r="BO71" s="309"/>
      <c r="BP71" s="507"/>
      <c r="BQ71" s="18"/>
      <c r="BR71" s="49"/>
    </row>
    <row r="72" spans="1:70" ht="60.6" x14ac:dyDescent="0.75">
      <c r="A72" s="12"/>
      <c r="B72" s="14"/>
      <c r="C72" s="523"/>
      <c r="D72" s="10"/>
      <c r="E72" s="523"/>
      <c r="F72" s="18"/>
      <c r="G72" s="30"/>
      <c r="H72" s="505"/>
      <c r="I72" s="505"/>
      <c r="J72" s="505"/>
      <c r="K72" s="51"/>
      <c r="L72" s="505"/>
      <c r="M72" s="505"/>
      <c r="N72" s="505"/>
      <c r="O72" s="51"/>
      <c r="P72" s="505"/>
      <c r="Q72" s="505"/>
      <c r="R72" s="505"/>
      <c r="S72" s="51"/>
      <c r="T72" s="505"/>
      <c r="U72" s="505"/>
      <c r="V72" s="505"/>
      <c r="W72" s="30"/>
      <c r="X72" s="523"/>
      <c r="Y72" s="329"/>
      <c r="Z72" s="510"/>
      <c r="AA72" s="307"/>
      <c r="AB72" s="507"/>
      <c r="AC72" s="30"/>
      <c r="AD72" s="24"/>
      <c r="AE72" s="51"/>
      <c r="AF72" s="505"/>
      <c r="AG72" s="505"/>
      <c r="AH72" s="505"/>
      <c r="AI72" s="51"/>
      <c r="AJ72" s="505"/>
      <c r="AK72" s="505"/>
      <c r="AL72" s="505"/>
      <c r="AM72" s="401"/>
      <c r="AN72" s="401"/>
      <c r="AO72" s="401"/>
      <c r="AP72" s="401"/>
      <c r="AQ72" s="401"/>
      <c r="AR72" s="523"/>
      <c r="AS72" s="308"/>
      <c r="AT72" s="510"/>
      <c r="AU72" s="307"/>
      <c r="AV72" s="507"/>
      <c r="AW72" s="30"/>
      <c r="AX72" s="94"/>
      <c r="AY72" s="51"/>
      <c r="AZ72" s="505"/>
      <c r="BA72" s="505"/>
      <c r="BB72" s="505"/>
      <c r="BC72" s="51"/>
      <c r="BD72" s="505"/>
      <c r="BE72" s="505"/>
      <c r="BF72" s="505"/>
      <c r="BG72" s="51"/>
      <c r="BH72" s="505"/>
      <c r="BI72" s="505"/>
      <c r="BJ72" s="505"/>
      <c r="BK72" s="30"/>
      <c r="BL72" s="523"/>
      <c r="BM72" s="309"/>
      <c r="BN72" s="510"/>
      <c r="BO72" s="309"/>
      <c r="BP72" s="507"/>
      <c r="BQ72" s="18"/>
      <c r="BR72" s="49"/>
    </row>
    <row r="73" spans="1:70" ht="48" customHeight="1" x14ac:dyDescent="0.75">
      <c r="A73" s="12"/>
      <c r="B73" s="14"/>
      <c r="C73" s="523"/>
      <c r="D73" s="10"/>
      <c r="E73" s="523"/>
      <c r="F73" s="18"/>
      <c r="G73" s="30"/>
      <c r="H73" s="444" t="e">
        <f>_xlfn.XLOOKUP('MAPEO MALLA'!H69,'ASIGNACIÓN ASIGNATURAS'!$AD:$AD,'ASIGNACIÓN ASIGNATURAS'!$T:$T,"",0)</f>
        <v>#N/A</v>
      </c>
      <c r="I73" s="459" t="e">
        <f>_xlfn.XLOOKUP('MAPEO MALLA'!H69,'ASIGNACIÓN ASIGNATURAS'!$AD:$AD,'ASIGNACIÓN ASIGNATURAS'!$U:$U,"",0)</f>
        <v>#N/A</v>
      </c>
      <c r="J73" s="443" t="e">
        <f>IF(H73="",,(H73+I73)/48)</f>
        <v>#N/A</v>
      </c>
      <c r="K73" s="106"/>
      <c r="L73" s="444" t="e">
        <f>_xlfn.XLOOKUP('MAPEO MALLA'!L69,'ASIGNACIÓN ASIGNATURAS'!$AD:$AD,'ASIGNACIÓN ASIGNATURAS'!$T:$T,"",0)</f>
        <v>#N/A</v>
      </c>
      <c r="M73" s="459" t="e">
        <f>_xlfn.XLOOKUP('MAPEO MALLA'!L69,'ASIGNACIÓN ASIGNATURAS'!$AD:$AD,'ASIGNACIÓN ASIGNATURAS'!$U:$U,"",0)</f>
        <v>#N/A</v>
      </c>
      <c r="N73" s="443" t="e">
        <f>IF(L73="",,(L73+M73)/48)</f>
        <v>#N/A</v>
      </c>
      <c r="O73" s="106"/>
      <c r="P73" s="444" t="e">
        <f>_xlfn.XLOOKUP('MAPEO MALLA'!P69,'ASIGNACIÓN ASIGNATURAS'!$AD:$AD,'ASIGNACIÓN ASIGNATURAS'!$T:$T,"",0)</f>
        <v>#N/A</v>
      </c>
      <c r="Q73" s="459" t="e">
        <f>_xlfn.XLOOKUP('MAPEO MALLA'!P69,'ASIGNACIÓN ASIGNATURAS'!$AD:$AD,'ASIGNACIÓN ASIGNATURAS'!$U:$U,"",0)</f>
        <v>#N/A</v>
      </c>
      <c r="R73" s="443" t="e">
        <f>IF(P73="",,(P73+Q73)/48)</f>
        <v>#N/A</v>
      </c>
      <c r="S73" s="106"/>
      <c r="T73" s="444" t="e">
        <f>_xlfn.XLOOKUP('MAPEO MALLA'!T69,'ASIGNACIÓN ASIGNATURAS'!$AD:$AD,'ASIGNACIÓN ASIGNATURAS'!$T:$T,"",0)</f>
        <v>#N/A</v>
      </c>
      <c r="U73" s="459" t="e">
        <f>_xlfn.XLOOKUP('MAPEO MALLA'!T69,'ASIGNACIÓN ASIGNATURAS'!$AD:$AD,'ASIGNACIÓN ASIGNATURAS'!$U:$U,"",0)</f>
        <v>#N/A</v>
      </c>
      <c r="V73" s="443" t="e">
        <f>IF(T73="",,(T73+U73)/48)</f>
        <v>#N/A</v>
      </c>
      <c r="W73" s="30"/>
      <c r="X73" s="523"/>
      <c r="Y73" s="329"/>
      <c r="Z73" s="510"/>
      <c r="AA73" s="307"/>
      <c r="AB73" s="507"/>
      <c r="AC73" s="30"/>
      <c r="AD73" s="24"/>
      <c r="AE73" s="106"/>
      <c r="AF73" s="444" t="e">
        <f>_xlfn.XLOOKUP('MAPEO MALLA'!AF69,'ASIGNACIÓN ASIGNATURAS'!$AD:$AD,'ASIGNACIÓN ASIGNATURAS'!$T:$T,"",0)</f>
        <v>#N/A</v>
      </c>
      <c r="AG73" s="459" t="e">
        <f>_xlfn.XLOOKUP('MAPEO MALLA'!AF69,'ASIGNACIÓN ASIGNATURAS'!$AD:$AD,'ASIGNACIÓN ASIGNATURAS'!$U:$U,"",0)</f>
        <v>#N/A</v>
      </c>
      <c r="AH73" s="443" t="e">
        <f>IF(AF73="",,(AF73+AG73)/48)</f>
        <v>#N/A</v>
      </c>
      <c r="AI73" s="106"/>
      <c r="AJ73" s="444" t="e">
        <f>_xlfn.XLOOKUP('MAPEO MALLA'!AJ69,'ASIGNACIÓN ASIGNATURAS'!$AD:$AD,'ASIGNACIÓN ASIGNATURAS'!$T:$T,"",0)</f>
        <v>#N/A</v>
      </c>
      <c r="AK73" s="459" t="e">
        <f>_xlfn.XLOOKUP('MAPEO MALLA'!AJ69,'ASIGNACIÓN ASIGNATURAS'!$AD:$AD,'ASIGNACIÓN ASIGNATURAS'!$U:$U,"",0)</f>
        <v>#N/A</v>
      </c>
      <c r="AL73" s="443" t="e">
        <f>IF(AJ73="",,(AJ73+AK73)/48)</f>
        <v>#N/A</v>
      </c>
      <c r="AM73" s="401"/>
      <c r="AN73" s="401" t="e">
        <f>_xlfn.XLOOKUP('MAPEO MALLA'!AN69,'ASIGNACIÓN ASIGNATURAS'!$AD:$AD,'ASIGNACIÓN ASIGNATURAS'!$T:$T,"",0)</f>
        <v>#N/A</v>
      </c>
      <c r="AO73" s="401" t="e">
        <f>_xlfn.XLOOKUP('MAPEO MALLA'!AN69,'ASIGNACIÓN ASIGNATURAS'!$AD:$AD,'ASIGNACIÓN ASIGNATURAS'!$U:$U,"",0)</f>
        <v>#N/A</v>
      </c>
      <c r="AP73" s="401" t="e">
        <f>IF(AN73="",,(AN73+AO73)/48)</f>
        <v>#N/A</v>
      </c>
      <c r="AQ73" s="401"/>
      <c r="AR73" s="523"/>
      <c r="AS73" s="308"/>
      <c r="AT73" s="510"/>
      <c r="AU73" s="307"/>
      <c r="AV73" s="507"/>
      <c r="AW73" s="30"/>
      <c r="AX73" s="94"/>
      <c r="AY73" s="106"/>
      <c r="AZ73" s="444" t="e">
        <f>_xlfn.XLOOKUP('MAPEO MALLA'!AZ69,'ASIGNACIÓN ASIGNATURAS'!$AD:$AD,'ASIGNACIÓN ASIGNATURAS'!$T:$T,"",0)</f>
        <v>#N/A</v>
      </c>
      <c r="BA73" s="459" t="e">
        <f>_xlfn.XLOOKUP('MAPEO MALLA'!AZ69,'ASIGNACIÓN ASIGNATURAS'!$AD:$AD,'ASIGNACIÓN ASIGNATURAS'!$U:$U,"",0)</f>
        <v>#N/A</v>
      </c>
      <c r="BB73" s="443" t="e">
        <f>IF(AZ73="",,(AZ73+BA73)/48)</f>
        <v>#N/A</v>
      </c>
      <c r="BC73" s="106"/>
      <c r="BD73" s="444" t="e">
        <f>_xlfn.XLOOKUP('MAPEO MALLA'!BD69,'ASIGNACIÓN ASIGNATURAS'!$AD:$AD,'ASIGNACIÓN ASIGNATURAS'!$T:$T,"",0)</f>
        <v>#N/A</v>
      </c>
      <c r="BE73" s="459" t="e">
        <f>_xlfn.XLOOKUP('MAPEO MALLA'!BD69,'ASIGNACIÓN ASIGNATURAS'!$AD:$AD,'ASIGNACIÓN ASIGNATURAS'!$U:$U,"",0)</f>
        <v>#N/A</v>
      </c>
      <c r="BF73" s="443" t="e">
        <f>IF(BD73="",,(BD73+BE73)/48)</f>
        <v>#N/A</v>
      </c>
      <c r="BG73" s="106"/>
      <c r="BH73" s="444" t="e">
        <f>_xlfn.XLOOKUP('MAPEO MALLA'!BH69,'ASIGNACIÓN ASIGNATURAS'!$AD:$AD,'ASIGNACIÓN ASIGNATURAS'!$T:$T,"",0)</f>
        <v>#N/A</v>
      </c>
      <c r="BI73" s="459" t="e">
        <f>_xlfn.XLOOKUP('MAPEO MALLA'!BH69,'ASIGNACIÓN ASIGNATURAS'!$AD:$AD,'ASIGNACIÓN ASIGNATURAS'!$U:$U,"",0)</f>
        <v>#N/A</v>
      </c>
      <c r="BJ73" s="443" t="e">
        <f>IF(BH73="",,(BH73+BI73)/48)</f>
        <v>#N/A</v>
      </c>
      <c r="BK73" s="30"/>
      <c r="BL73" s="523"/>
      <c r="BM73" s="309"/>
      <c r="BN73" s="510"/>
      <c r="BO73" s="309"/>
      <c r="BP73" s="507"/>
      <c r="BQ73" s="18"/>
      <c r="BR73" s="49"/>
    </row>
    <row r="74" spans="1:70" ht="60.6" x14ac:dyDescent="0.75">
      <c r="A74" s="12"/>
      <c r="B74" s="14"/>
      <c r="C74" s="523"/>
      <c r="D74" s="10"/>
      <c r="E74" s="461"/>
      <c r="F74" s="18"/>
      <c r="G74" s="30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462"/>
      <c r="Y74" s="329"/>
      <c r="Z74" s="510"/>
      <c r="AA74" s="307"/>
      <c r="AB74" s="507"/>
      <c r="AC74" s="30"/>
      <c r="AD74" s="24"/>
      <c r="AE74" s="51"/>
      <c r="AF74" s="51"/>
      <c r="AG74" s="51"/>
      <c r="AH74" s="51"/>
      <c r="AI74" s="51"/>
      <c r="AJ74" s="51"/>
      <c r="AK74" s="51"/>
      <c r="AL74" s="51"/>
      <c r="AM74" s="401"/>
      <c r="AN74" s="401"/>
      <c r="AO74" s="401"/>
      <c r="AP74" s="401"/>
      <c r="AQ74" s="401"/>
      <c r="AR74" s="324"/>
      <c r="AS74" s="316"/>
      <c r="AT74" s="510"/>
      <c r="AU74" s="307"/>
      <c r="AV74" s="507"/>
      <c r="AW74" s="30"/>
      <c r="AX74" s="94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324"/>
      <c r="BM74" s="330"/>
      <c r="BN74" s="510"/>
      <c r="BO74" s="309"/>
      <c r="BP74" s="507"/>
      <c r="BQ74" s="18"/>
      <c r="BR74" s="49"/>
    </row>
    <row r="75" spans="1:70" ht="108" customHeight="1" x14ac:dyDescent="0.75">
      <c r="A75" s="12"/>
      <c r="B75" s="14"/>
      <c r="C75" s="523"/>
      <c r="D75" s="10"/>
      <c r="E75" s="563" t="str">
        <f>'MAPEO MALLA'!$E$74</f>
        <v>Complementaria</v>
      </c>
      <c r="F75" s="18"/>
      <c r="G75" s="30"/>
      <c r="H75" s="504" t="str">
        <f>_xlfn.XLOOKUP('MAPEO MALLA'!H74,'ASIGNACIÓN ASIGNATURAS'!$AD:$AD,'ASIGNACIÓN ASIGNATURAS'!$O:$O,"",0)</f>
        <v/>
      </c>
      <c r="I75" s="504"/>
      <c r="J75" s="504"/>
      <c r="K75" s="51"/>
      <c r="L75" s="504" t="str">
        <f>_xlfn.XLOOKUP('MAPEO MALLA'!L74,'ASIGNACIÓN ASIGNATURAS'!$AD:$AD,'ASIGNACIÓN ASIGNATURAS'!$O:$O,"",0)</f>
        <v/>
      </c>
      <c r="M75" s="504"/>
      <c r="N75" s="504"/>
      <c r="O75" s="51"/>
      <c r="P75" s="504" t="str">
        <f>_xlfn.XLOOKUP('MAPEO MALLA'!P74,'ASIGNACIÓN ASIGNATURAS'!$AD:$AD,'ASIGNACIÓN ASIGNATURAS'!$O:$O,"",0)</f>
        <v/>
      </c>
      <c r="Q75" s="504"/>
      <c r="R75" s="504"/>
      <c r="S75" s="51"/>
      <c r="T75" s="504" t="str">
        <f>_xlfn.XLOOKUP('MAPEO MALLA'!T74,'ASIGNACIÓN ASIGNATURAS'!$AD:$AD,'ASIGNACIÓN ASIGNATURAS'!$O:$O,"",0)</f>
        <v/>
      </c>
      <c r="U75" s="504"/>
      <c r="V75" s="504"/>
      <c r="W75" s="30"/>
      <c r="X75" s="562">
        <f>J78+N78+R78+V78</f>
        <v>0</v>
      </c>
      <c r="Y75" s="329"/>
      <c r="Z75" s="510"/>
      <c r="AA75" s="307"/>
      <c r="AB75" s="507"/>
      <c r="AC75" s="30"/>
      <c r="AD75" s="24"/>
      <c r="AE75" s="51"/>
      <c r="AF75" s="504" t="str">
        <f>_xlfn.XLOOKUP('MAPEO MALLA'!AF74,'ASIGNACIÓN ASIGNATURAS'!$AD:$AD,'ASIGNACIÓN ASIGNATURAS'!$O:$O,"",0)</f>
        <v/>
      </c>
      <c r="AG75" s="504"/>
      <c r="AH75" s="504"/>
      <c r="AI75" s="51"/>
      <c r="AJ75" s="504" t="str">
        <f>_xlfn.XLOOKUP('MAPEO MALLA'!AJ74,'ASIGNACIÓN ASIGNATURAS'!$AD:$AD,'ASIGNACIÓN ASIGNATURAS'!$O:$O,"",0)</f>
        <v/>
      </c>
      <c r="AK75" s="504"/>
      <c r="AL75" s="504"/>
      <c r="AM75" s="401"/>
      <c r="AN75" s="401" t="str">
        <f>_xlfn.XLOOKUP('MAPEO MALLA'!AN74,'ASIGNACIÓN ASIGNATURAS'!$AD:$AD,'ASIGNACIÓN ASIGNATURAS'!$O:$O,"",0)</f>
        <v/>
      </c>
      <c r="AO75" s="401"/>
      <c r="AP75" s="401"/>
      <c r="AQ75" s="401"/>
      <c r="AR75" s="562">
        <f>+X75+AH78+AL78+AP78</f>
        <v>0</v>
      </c>
      <c r="AS75" s="308"/>
      <c r="AT75" s="510"/>
      <c r="AU75" s="307"/>
      <c r="AV75" s="507"/>
      <c r="AW75" s="30"/>
      <c r="AX75" s="91"/>
      <c r="AY75" s="51"/>
      <c r="AZ75" s="504" t="str">
        <f>_xlfn.XLOOKUP('MAPEO MALLA'!AZ74,'ASIGNACIÓN ASIGNATURAS'!$AD:$AD,'ASIGNACIÓN ASIGNATURAS'!$O:$O,"",0)</f>
        <v/>
      </c>
      <c r="BA75" s="504"/>
      <c r="BB75" s="504"/>
      <c r="BC75" s="51"/>
      <c r="BD75" s="504" t="str">
        <f>_xlfn.XLOOKUP('MAPEO MALLA'!BD74,'ASIGNACIÓN ASIGNATURAS'!$AD:$AD,'ASIGNACIÓN ASIGNATURAS'!$O:$O,"",0)</f>
        <v/>
      </c>
      <c r="BE75" s="504"/>
      <c r="BF75" s="504"/>
      <c r="BG75" s="51"/>
      <c r="BH75" s="504" t="str">
        <f>_xlfn.XLOOKUP('MAPEO MALLA'!BH74,'ASIGNACIÓN ASIGNATURAS'!$AD:$AD,'ASIGNACIÓN ASIGNATURAS'!$O:$O,"",0)</f>
        <v/>
      </c>
      <c r="BI75" s="504"/>
      <c r="BJ75" s="504"/>
      <c r="BK75" s="30"/>
      <c r="BL75" s="563">
        <f>+AR75+BB78+BF78+BJ78</f>
        <v>0</v>
      </c>
      <c r="BM75" s="309"/>
      <c r="BN75" s="510"/>
      <c r="BO75" s="309"/>
      <c r="BP75" s="507"/>
      <c r="BQ75" s="18"/>
      <c r="BR75" s="49"/>
    </row>
    <row r="76" spans="1:70" ht="60.45" customHeight="1" x14ac:dyDescent="0.75">
      <c r="A76" s="12"/>
      <c r="B76" s="14"/>
      <c r="C76" s="523"/>
      <c r="D76" s="10"/>
      <c r="E76" s="523"/>
      <c r="F76" s="18"/>
      <c r="G76" s="30"/>
      <c r="H76" s="505" t="str">
        <f>_xlfn.XLOOKUP('MAPEO MALLA'!H74,'ASIGNACIÓN ASIGNATURAS'!$AD:$AD,'ASIGNACIÓN ASIGNATURAS'!$AG:$AG,"",0)</f>
        <v/>
      </c>
      <c r="I76" s="505"/>
      <c r="J76" s="505"/>
      <c r="K76" s="106"/>
      <c r="L76" s="505" t="str">
        <f>_xlfn.XLOOKUP('MAPEO MALLA'!L74,'ASIGNACIÓN ASIGNATURAS'!$AD:$AD,'ASIGNACIÓN ASIGNATURAS'!$AG:$AG,"",0)</f>
        <v/>
      </c>
      <c r="M76" s="505"/>
      <c r="N76" s="505"/>
      <c r="O76" s="106"/>
      <c r="P76" s="505" t="str">
        <f>_xlfn.XLOOKUP('MAPEO MALLA'!P74,'ASIGNACIÓN ASIGNATURAS'!$AD:$AD,'ASIGNACIÓN ASIGNATURAS'!$AG:$AG,"",0)</f>
        <v/>
      </c>
      <c r="Q76" s="505"/>
      <c r="R76" s="505"/>
      <c r="S76" s="106"/>
      <c r="T76" s="505" t="str">
        <f>_xlfn.XLOOKUP('MAPEO MALLA'!T74,'ASIGNACIÓN ASIGNATURAS'!$AD:$AD,'ASIGNACIÓN ASIGNATURAS'!$AG:$AG,"",0)</f>
        <v/>
      </c>
      <c r="U76" s="505"/>
      <c r="V76" s="505"/>
      <c r="W76" s="30"/>
      <c r="X76" s="523"/>
      <c r="Y76" s="329"/>
      <c r="Z76" s="510"/>
      <c r="AA76" s="307"/>
      <c r="AB76" s="507"/>
      <c r="AC76" s="30"/>
      <c r="AD76" s="24"/>
      <c r="AE76" s="106"/>
      <c r="AF76" s="505" t="str">
        <f>_xlfn.XLOOKUP('MAPEO MALLA'!AF74,'ASIGNACIÓN ASIGNATURAS'!$AD:$AD,'ASIGNACIÓN ASIGNATURAS'!$AG:$AG,"",0)</f>
        <v/>
      </c>
      <c r="AG76" s="505"/>
      <c r="AH76" s="505"/>
      <c r="AI76" s="106"/>
      <c r="AJ76" s="505" t="str">
        <f>_xlfn.XLOOKUP('MAPEO MALLA'!AJ74,'ASIGNACIÓN ASIGNATURAS'!$AD:$AD,'ASIGNACIÓN ASIGNATURAS'!$AG:$AG,"",0)</f>
        <v/>
      </c>
      <c r="AK76" s="505"/>
      <c r="AL76" s="505"/>
      <c r="AM76" s="401"/>
      <c r="AN76" s="401" t="str">
        <f>_xlfn.XLOOKUP('MAPEO MALLA'!AN74,'ASIGNACIÓN ASIGNATURAS'!$AD:$AD,'ASIGNACIÓN ASIGNATURAS'!$AG:$AG,"",0)</f>
        <v/>
      </c>
      <c r="AO76" s="401"/>
      <c r="AP76" s="401"/>
      <c r="AQ76" s="401"/>
      <c r="AR76" s="523"/>
      <c r="AS76" s="308"/>
      <c r="AT76" s="510"/>
      <c r="AU76" s="307"/>
      <c r="AV76" s="507"/>
      <c r="AW76" s="30"/>
      <c r="AX76" s="94"/>
      <c r="AY76" s="106"/>
      <c r="AZ76" s="505" t="str">
        <f>_xlfn.XLOOKUP('MAPEO MALLA'!AZ74,'ASIGNACIÓN ASIGNATURAS'!$AD:$AD,'ASIGNACIÓN ASIGNATURAS'!$AG:$AG,"",0)</f>
        <v/>
      </c>
      <c r="BA76" s="505"/>
      <c r="BB76" s="505"/>
      <c r="BC76" s="106"/>
      <c r="BD76" s="505" t="str">
        <f>_xlfn.XLOOKUP('MAPEO MALLA'!BD74,'ASIGNACIÓN ASIGNATURAS'!$AD:$AD,'ASIGNACIÓN ASIGNATURAS'!$AG:$AG,"",0)</f>
        <v/>
      </c>
      <c r="BE76" s="505"/>
      <c r="BF76" s="505"/>
      <c r="BG76" s="106"/>
      <c r="BH76" s="505" t="str">
        <f>_xlfn.XLOOKUP('MAPEO MALLA'!BH74,'ASIGNACIÓN ASIGNATURAS'!$AD:$AD,'ASIGNACIÓN ASIGNATURAS'!$AG:$AG,"",0)</f>
        <v/>
      </c>
      <c r="BI76" s="505"/>
      <c r="BJ76" s="505"/>
      <c r="BK76" s="30"/>
      <c r="BL76" s="523"/>
      <c r="BM76" s="309"/>
      <c r="BN76" s="510"/>
      <c r="BO76" s="309"/>
      <c r="BP76" s="507"/>
      <c r="BQ76" s="18"/>
      <c r="BR76" s="49"/>
    </row>
    <row r="77" spans="1:70" ht="60.6" x14ac:dyDescent="0.75">
      <c r="A77" s="12"/>
      <c r="B77" s="14"/>
      <c r="C77" s="523"/>
      <c r="D77" s="10"/>
      <c r="E77" s="523"/>
      <c r="F77" s="18"/>
      <c r="G77" s="30"/>
      <c r="H77" s="505"/>
      <c r="I77" s="505"/>
      <c r="J77" s="505"/>
      <c r="K77" s="51"/>
      <c r="L77" s="505"/>
      <c r="M77" s="505"/>
      <c r="N77" s="505"/>
      <c r="O77" s="51"/>
      <c r="P77" s="505"/>
      <c r="Q77" s="505"/>
      <c r="R77" s="505"/>
      <c r="S77" s="51"/>
      <c r="T77" s="505"/>
      <c r="U77" s="505"/>
      <c r="V77" s="505"/>
      <c r="W77" s="30"/>
      <c r="X77" s="523"/>
      <c r="Y77" s="329"/>
      <c r="Z77" s="510"/>
      <c r="AA77" s="307"/>
      <c r="AB77" s="507"/>
      <c r="AC77" s="30"/>
      <c r="AD77" s="24"/>
      <c r="AE77" s="51"/>
      <c r="AF77" s="505"/>
      <c r="AG77" s="505"/>
      <c r="AH77" s="505"/>
      <c r="AI77" s="51"/>
      <c r="AJ77" s="505"/>
      <c r="AK77" s="505"/>
      <c r="AL77" s="505"/>
      <c r="AM77" s="401"/>
      <c r="AN77" s="401"/>
      <c r="AO77" s="401"/>
      <c r="AP77" s="401"/>
      <c r="AQ77" s="401"/>
      <c r="AR77" s="523"/>
      <c r="AS77" s="308"/>
      <c r="AT77" s="510"/>
      <c r="AU77" s="307"/>
      <c r="AV77" s="507"/>
      <c r="AW77" s="30"/>
      <c r="AX77" s="94"/>
      <c r="AY77" s="51"/>
      <c r="AZ77" s="505"/>
      <c r="BA77" s="505"/>
      <c r="BB77" s="505"/>
      <c r="BC77" s="51"/>
      <c r="BD77" s="505"/>
      <c r="BE77" s="505"/>
      <c r="BF77" s="505"/>
      <c r="BG77" s="51"/>
      <c r="BH77" s="505"/>
      <c r="BI77" s="505"/>
      <c r="BJ77" s="505"/>
      <c r="BK77" s="30"/>
      <c r="BL77" s="523"/>
      <c r="BM77" s="309"/>
      <c r="BN77" s="510"/>
      <c r="BO77" s="309"/>
      <c r="BP77" s="507"/>
      <c r="BQ77" s="18"/>
      <c r="BR77" s="49"/>
    </row>
    <row r="78" spans="1:70" ht="54.75" customHeight="1" thickBot="1" x14ac:dyDescent="0.8">
      <c r="A78" s="12"/>
      <c r="B78" s="14"/>
      <c r="C78" s="523"/>
      <c r="D78" s="10"/>
      <c r="E78" s="523"/>
      <c r="F78" s="18"/>
      <c r="G78" s="30"/>
      <c r="H78" s="444" t="str">
        <f>_xlfn.XLOOKUP('MAPEO MALLA'!H74,'ASIGNACIÓN ASIGNATURAS'!$AD:$AD,'ASIGNACIÓN ASIGNATURAS'!$T:$T,"",0)</f>
        <v/>
      </c>
      <c r="I78" s="459" t="str">
        <f>_xlfn.XLOOKUP('MAPEO MALLA'!H74,'ASIGNACIÓN ASIGNATURAS'!$AD:$AD,'ASIGNACIÓN ASIGNATURAS'!$U:$U,"",0)</f>
        <v/>
      </c>
      <c r="J78" s="443">
        <f>IF(H78="",,(H78+I78)/48)</f>
        <v>0</v>
      </c>
      <c r="K78" s="106"/>
      <c r="L78" s="444" t="str">
        <f>_xlfn.XLOOKUP('MAPEO MALLA'!L74,'ASIGNACIÓN ASIGNATURAS'!$AD:$AD,'ASIGNACIÓN ASIGNATURAS'!$T:$T,"",0)</f>
        <v/>
      </c>
      <c r="M78" s="459" t="str">
        <f>_xlfn.XLOOKUP('MAPEO MALLA'!L74,'ASIGNACIÓN ASIGNATURAS'!$AD:$AD,'ASIGNACIÓN ASIGNATURAS'!$U:$U,"",0)</f>
        <v/>
      </c>
      <c r="N78" s="443">
        <f>IF(L78="",,(L78+M78)/48)</f>
        <v>0</v>
      </c>
      <c r="O78" s="106"/>
      <c r="P78" s="444" t="str">
        <f>_xlfn.XLOOKUP('MAPEO MALLA'!P74,'ASIGNACIÓN ASIGNATURAS'!$AD:$AD,'ASIGNACIÓN ASIGNATURAS'!$T:$T,"",0)</f>
        <v/>
      </c>
      <c r="Q78" s="459" t="str">
        <f>_xlfn.XLOOKUP('MAPEO MALLA'!P74,'ASIGNACIÓN ASIGNATURAS'!$AD:$AD,'ASIGNACIÓN ASIGNATURAS'!$U:$U,"",0)</f>
        <v/>
      </c>
      <c r="R78" s="443">
        <f>IF(P78="",,(P78+Q78)/48)</f>
        <v>0</v>
      </c>
      <c r="S78" s="106"/>
      <c r="T78" s="444" t="str">
        <f>_xlfn.XLOOKUP('MAPEO MALLA'!T74,'ASIGNACIÓN ASIGNATURAS'!$AD:$AD,'ASIGNACIÓN ASIGNATURAS'!$T:$T,"",0)</f>
        <v/>
      </c>
      <c r="U78" s="459" t="str">
        <f>_xlfn.XLOOKUP('MAPEO MALLA'!T74,'ASIGNACIÓN ASIGNATURAS'!$AD:$AD,'ASIGNACIÓN ASIGNATURAS'!$U:$U,"",0)</f>
        <v/>
      </c>
      <c r="V78" s="443">
        <f>IF(T78="",,(T78+U78)/48)</f>
        <v>0</v>
      </c>
      <c r="W78" s="30"/>
      <c r="X78" s="523"/>
      <c r="Y78" s="329"/>
      <c r="Z78" s="511"/>
      <c r="AA78" s="307"/>
      <c r="AB78" s="508"/>
      <c r="AC78" s="30"/>
      <c r="AD78" s="24"/>
      <c r="AE78" s="106"/>
      <c r="AF78" s="444" t="str">
        <f>_xlfn.XLOOKUP('MAPEO MALLA'!AF74,'ASIGNACIÓN ASIGNATURAS'!$AD:$AD,'ASIGNACIÓN ASIGNATURAS'!$T:$T,"",0)</f>
        <v/>
      </c>
      <c r="AG78" s="459" t="str">
        <f>_xlfn.XLOOKUP('MAPEO MALLA'!AF74,'ASIGNACIÓN ASIGNATURAS'!$AD:$AD,'ASIGNACIÓN ASIGNATURAS'!$U:$U,"",0)</f>
        <v/>
      </c>
      <c r="AH78" s="443">
        <f>IF(AF78="",,(AF78+AG78)/48)</f>
        <v>0</v>
      </c>
      <c r="AI78" s="106"/>
      <c r="AJ78" s="444" t="str">
        <f>_xlfn.XLOOKUP('MAPEO MALLA'!AJ74,'ASIGNACIÓN ASIGNATURAS'!$AD:$AD,'ASIGNACIÓN ASIGNATURAS'!$T:$T,"",0)</f>
        <v/>
      </c>
      <c r="AK78" s="459" t="str">
        <f>_xlfn.XLOOKUP('MAPEO MALLA'!AJ74,'ASIGNACIÓN ASIGNATURAS'!$AD:$AD,'ASIGNACIÓN ASIGNATURAS'!$U:$U,"",0)</f>
        <v/>
      </c>
      <c r="AL78" s="443">
        <f>IF(AJ78="",,(AJ78+AK78)/48)</f>
        <v>0</v>
      </c>
      <c r="AM78" s="401"/>
      <c r="AN78" s="401" t="str">
        <f>_xlfn.XLOOKUP('MAPEO MALLA'!AN74,'ASIGNACIÓN ASIGNATURAS'!$AD:$AD,'ASIGNACIÓN ASIGNATURAS'!$T:$T,"",0)</f>
        <v/>
      </c>
      <c r="AO78" s="401" t="str">
        <f>_xlfn.XLOOKUP('MAPEO MALLA'!AN74,'ASIGNACIÓN ASIGNATURAS'!$AD:$AD,'ASIGNACIÓN ASIGNATURAS'!$U:$U,"",0)</f>
        <v/>
      </c>
      <c r="AP78" s="401">
        <f>IF(AN78="",,(AN78+AO78)/48)</f>
        <v>0</v>
      </c>
      <c r="AQ78" s="401"/>
      <c r="AR78" s="523"/>
      <c r="AS78" s="308"/>
      <c r="AT78" s="511"/>
      <c r="AU78" s="307"/>
      <c r="AV78" s="508"/>
      <c r="AW78" s="30"/>
      <c r="AX78" s="97"/>
      <c r="AY78" s="106"/>
      <c r="AZ78" s="444" t="str">
        <f>_xlfn.XLOOKUP('MAPEO MALLA'!AZ74,'ASIGNACIÓN ASIGNATURAS'!$AD:$AD,'ASIGNACIÓN ASIGNATURAS'!$T:$T,"",0)</f>
        <v/>
      </c>
      <c r="BA78" s="459" t="str">
        <f>_xlfn.XLOOKUP('MAPEO MALLA'!AZ74,'ASIGNACIÓN ASIGNATURAS'!$AD:$AD,'ASIGNACIÓN ASIGNATURAS'!$U:$U,"",0)</f>
        <v/>
      </c>
      <c r="BB78" s="443">
        <f>IF(AZ78="",,(AZ78+BA78)/48)</f>
        <v>0</v>
      </c>
      <c r="BC78" s="106"/>
      <c r="BD78" s="444" t="str">
        <f>_xlfn.XLOOKUP('MAPEO MALLA'!BD74,'ASIGNACIÓN ASIGNATURAS'!$AD:$AD,'ASIGNACIÓN ASIGNATURAS'!$T:$T,"",0)</f>
        <v/>
      </c>
      <c r="BE78" s="459" t="str">
        <f>_xlfn.XLOOKUP('MAPEO MALLA'!BD74,'ASIGNACIÓN ASIGNATURAS'!$AD:$AD,'ASIGNACIÓN ASIGNATURAS'!$U:$U,"",0)</f>
        <v/>
      </c>
      <c r="BF78" s="443">
        <f>IF(BD78="",,(BD78+BE78)/48)</f>
        <v>0</v>
      </c>
      <c r="BG78" s="106"/>
      <c r="BH78" s="444" t="str">
        <f>_xlfn.XLOOKUP('MAPEO MALLA'!BH74,'ASIGNACIÓN ASIGNATURAS'!$AD:$AD,'ASIGNACIÓN ASIGNATURAS'!$T:$T,"",0)</f>
        <v/>
      </c>
      <c r="BI78" s="459" t="str">
        <f>_xlfn.XLOOKUP('MAPEO MALLA'!BH74,'ASIGNACIÓN ASIGNATURAS'!$AD:$AD,'ASIGNACIÓN ASIGNATURAS'!$U:$U,"",0)</f>
        <v/>
      </c>
      <c r="BJ78" s="443">
        <f>IF(BH78="",,(BH78+BI78)/48)</f>
        <v>0</v>
      </c>
      <c r="BK78" s="30"/>
      <c r="BL78" s="523"/>
      <c r="BM78" s="309"/>
      <c r="BN78" s="511"/>
      <c r="BO78" s="309"/>
      <c r="BP78" s="508"/>
      <c r="BQ78" s="18"/>
      <c r="BR78" s="49"/>
    </row>
    <row r="79" spans="1:70" ht="61.2" thickBot="1" x14ac:dyDescent="0.8">
      <c r="A79" s="12"/>
      <c r="B79" s="14"/>
      <c r="C79" s="463"/>
      <c r="D79" s="10"/>
      <c r="E79" s="145"/>
      <c r="F79" s="18"/>
      <c r="G79" s="30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315"/>
      <c r="Y79" s="464"/>
      <c r="Z79" s="331"/>
      <c r="AA79" s="312"/>
      <c r="AB79" s="332"/>
      <c r="AC79" s="30"/>
      <c r="AD79" s="24"/>
      <c r="AE79" s="51"/>
      <c r="AF79" s="51"/>
      <c r="AG79" s="51"/>
      <c r="AH79" s="51"/>
      <c r="AI79" s="51"/>
      <c r="AJ79" s="51"/>
      <c r="AK79" s="51"/>
      <c r="AL79" s="51"/>
      <c r="AM79" s="401"/>
      <c r="AN79" s="401"/>
      <c r="AO79" s="401"/>
      <c r="AP79" s="401"/>
      <c r="AQ79" s="401"/>
      <c r="AR79" s="315"/>
      <c r="AS79" s="322"/>
      <c r="AT79" s="331"/>
      <c r="AU79" s="312"/>
      <c r="AV79" s="332"/>
      <c r="AW79" s="30"/>
      <c r="AX79" s="97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315"/>
      <c r="BM79" s="333"/>
      <c r="BN79" s="332"/>
      <c r="BO79" s="333"/>
      <c r="BP79" s="332"/>
      <c r="BQ79" s="18"/>
      <c r="BR79" s="49"/>
    </row>
    <row r="80" spans="1:70" ht="105" customHeight="1" x14ac:dyDescent="0.75">
      <c r="A80" s="12"/>
      <c r="B80" s="14"/>
      <c r="C80" s="552" t="s">
        <v>57</v>
      </c>
      <c r="D80" s="10"/>
      <c r="E80" s="551" t="e">
        <f>'MAPEO MALLA'!$E$79</f>
        <v>#N/A</v>
      </c>
      <c r="F80" s="18"/>
      <c r="G80" s="30"/>
      <c r="H80" s="504" t="e">
        <f>_xlfn.XLOOKUP('MAPEO MALLA'!H79,'ASIGNACIÓN ASIGNATURAS'!$AD:$AD,'ASIGNACIÓN ASIGNATURAS'!$O:$O,"",0)</f>
        <v>#N/A</v>
      </c>
      <c r="I80" s="504"/>
      <c r="J80" s="504"/>
      <c r="K80" s="51"/>
      <c r="L80" s="504" t="e">
        <f>_xlfn.XLOOKUP('MAPEO MALLA'!L79,'ASIGNACIÓN ASIGNATURAS'!$AD:$AD,'ASIGNACIÓN ASIGNATURAS'!$O:$O,"",0)</f>
        <v>#N/A</v>
      </c>
      <c r="M80" s="504"/>
      <c r="N80" s="504"/>
      <c r="O80" s="51"/>
      <c r="P80" s="504" t="e">
        <f>_xlfn.XLOOKUP('MAPEO MALLA'!P79,'ASIGNACIÓN ASIGNATURAS'!$AD:$AD,'ASIGNACIÓN ASIGNATURAS'!$O:$O,"",0)</f>
        <v>#N/A</v>
      </c>
      <c r="Q80" s="504"/>
      <c r="R80" s="504"/>
      <c r="S80" s="51"/>
      <c r="T80" s="504" t="e">
        <f>_xlfn.XLOOKUP('MAPEO MALLA'!T79,'ASIGNACIÓN ASIGNATURAS'!$AD:$AD,'ASIGNACIÓN ASIGNATURAS'!$O:$O,"",0)</f>
        <v>#N/A</v>
      </c>
      <c r="U80" s="504"/>
      <c r="V80" s="504"/>
      <c r="W80" s="30"/>
      <c r="X80" s="551" t="e">
        <f>+J83+N83+R83+V83</f>
        <v>#N/A</v>
      </c>
      <c r="Y80" s="306"/>
      <c r="Z80" s="515" t="e">
        <f>X80+X85+X90+X95+X100</f>
        <v>#N/A</v>
      </c>
      <c r="AA80" s="334"/>
      <c r="AB80" s="506" t="e">
        <f>+Z80/X109</f>
        <v>#N/A</v>
      </c>
      <c r="AC80" s="30"/>
      <c r="AD80" s="24"/>
      <c r="AE80" s="51"/>
      <c r="AF80" s="504" t="e">
        <f>_xlfn.XLOOKUP('MAPEO MALLA'!AF79,'ASIGNACIÓN ASIGNATURAS'!$AD:$AD,'ASIGNACIÓN ASIGNATURAS'!$O:$O,"",0)</f>
        <v>#N/A</v>
      </c>
      <c r="AG80" s="504"/>
      <c r="AH80" s="504"/>
      <c r="AI80" s="51"/>
      <c r="AJ80" s="504" t="e">
        <f>_xlfn.XLOOKUP('MAPEO MALLA'!AJ79,'ASIGNACIÓN ASIGNATURAS'!$AD:$AD,'ASIGNACIÓN ASIGNATURAS'!$O:$O,"",0)</f>
        <v>#N/A</v>
      </c>
      <c r="AK80" s="504"/>
      <c r="AL80" s="504"/>
      <c r="AM80" s="401"/>
      <c r="AN80" s="401" t="e">
        <f>_xlfn.XLOOKUP('MAPEO MALLA'!AN79,'ASIGNACIÓN ASIGNATURAS'!$AD:$AD,'ASIGNACIÓN ASIGNATURAS'!$O:$O,"",0)</f>
        <v>#N/A</v>
      </c>
      <c r="AO80" s="401"/>
      <c r="AP80" s="401"/>
      <c r="AQ80" s="401"/>
      <c r="AR80" s="551" t="e">
        <f>+X80+AH83+AL83+AP83</f>
        <v>#N/A</v>
      </c>
      <c r="AS80" s="335"/>
      <c r="AT80" s="515" t="e">
        <f>+AR80+AR85+AR90+AR95+AR100</f>
        <v>#N/A</v>
      </c>
      <c r="AU80" s="334"/>
      <c r="AV80" s="506" t="e">
        <f>+AT80/AR109</f>
        <v>#N/A</v>
      </c>
      <c r="AW80" s="30"/>
      <c r="AX80" s="91"/>
      <c r="AY80" s="51"/>
      <c r="AZ80" s="504" t="e">
        <f>_xlfn.XLOOKUP('MAPEO MALLA'!AZ79,'ASIGNACIÓN ASIGNATURAS'!$AD:$AD,'ASIGNACIÓN ASIGNATURAS'!$O:$O,"",0)</f>
        <v>#N/A</v>
      </c>
      <c r="BA80" s="504"/>
      <c r="BB80" s="504"/>
      <c r="BC80" s="51"/>
      <c r="BD80" s="504" t="e">
        <f>_xlfn.XLOOKUP('MAPEO MALLA'!BD79,'ASIGNACIÓN ASIGNATURAS'!$AD:$AD,'ASIGNACIÓN ASIGNATURAS'!$O:$O,"",0)</f>
        <v>#N/A</v>
      </c>
      <c r="BE80" s="504"/>
      <c r="BF80" s="504"/>
      <c r="BG80" s="51"/>
      <c r="BH80" s="504" t="e">
        <f>_xlfn.XLOOKUP('MAPEO MALLA'!BH79,'ASIGNACIÓN ASIGNATURAS'!$AD:$AD,'ASIGNACIÓN ASIGNATURAS'!$O:$O,"",0)</f>
        <v>#N/A</v>
      </c>
      <c r="BI80" s="504"/>
      <c r="BJ80" s="504"/>
      <c r="BK80" s="30"/>
      <c r="BL80" s="551" t="e">
        <f>+AR80+BB83+BF83+BJ83</f>
        <v>#N/A</v>
      </c>
      <c r="BM80" s="336"/>
      <c r="BN80" s="509" t="e">
        <f>BL80+BL85+BL90+BL95+BL100</f>
        <v>#N/A</v>
      </c>
      <c r="BO80" s="336"/>
      <c r="BP80" s="506" t="e">
        <f>BN80/BL109</f>
        <v>#N/A</v>
      </c>
      <c r="BQ80" s="18"/>
      <c r="BR80" s="49"/>
    </row>
    <row r="81" spans="1:70" ht="60.45" customHeight="1" x14ac:dyDescent="0.75">
      <c r="A81" s="12"/>
      <c r="B81" s="14"/>
      <c r="C81" s="523"/>
      <c r="D81" s="10"/>
      <c r="E81" s="523"/>
      <c r="F81" s="18"/>
      <c r="G81" s="30"/>
      <c r="H81" s="505" t="e">
        <f>_xlfn.XLOOKUP('MAPEO MALLA'!H79,'ASIGNACIÓN ASIGNATURAS'!$AD:$AD,'ASIGNACIÓN ASIGNATURAS'!$AG:$AG,"",0)</f>
        <v>#N/A</v>
      </c>
      <c r="I81" s="505"/>
      <c r="J81" s="505"/>
      <c r="K81" s="106"/>
      <c r="L81" s="505" t="e">
        <f>_xlfn.XLOOKUP('MAPEO MALLA'!L79,'ASIGNACIÓN ASIGNATURAS'!$AD:$AD,'ASIGNACIÓN ASIGNATURAS'!$AG:$AG,"",0)</f>
        <v>#N/A</v>
      </c>
      <c r="M81" s="505"/>
      <c r="N81" s="505"/>
      <c r="O81" s="106"/>
      <c r="P81" s="505" t="e">
        <f>_xlfn.XLOOKUP('MAPEO MALLA'!P79,'ASIGNACIÓN ASIGNATURAS'!$AD:$AD,'ASIGNACIÓN ASIGNATURAS'!$AG:$AG,"",0)</f>
        <v>#N/A</v>
      </c>
      <c r="Q81" s="505"/>
      <c r="R81" s="505"/>
      <c r="S81" s="106"/>
      <c r="T81" s="505" t="e">
        <f>_xlfn.XLOOKUP('MAPEO MALLA'!T79,'ASIGNACIÓN ASIGNATURAS'!$AD:$AD,'ASIGNACIÓN ASIGNATURAS'!$AG:$AG,"",0)</f>
        <v>#N/A</v>
      </c>
      <c r="U81" s="505"/>
      <c r="V81" s="505"/>
      <c r="W81" s="30"/>
      <c r="X81" s="523"/>
      <c r="Y81" s="306"/>
      <c r="Z81" s="510"/>
      <c r="AA81" s="334"/>
      <c r="AB81" s="507"/>
      <c r="AC81" s="30"/>
      <c r="AD81" s="24"/>
      <c r="AE81" s="106"/>
      <c r="AF81" s="505" t="e">
        <f>_xlfn.XLOOKUP('MAPEO MALLA'!AF79,'ASIGNACIÓN ASIGNATURAS'!$AD:$AD,'ASIGNACIÓN ASIGNATURAS'!$AG:$AG,"",0)</f>
        <v>#N/A</v>
      </c>
      <c r="AG81" s="505"/>
      <c r="AH81" s="505"/>
      <c r="AI81" s="106"/>
      <c r="AJ81" s="505" t="e">
        <f>_xlfn.XLOOKUP('MAPEO MALLA'!AJ79,'ASIGNACIÓN ASIGNATURAS'!$AD:$AD,'ASIGNACIÓN ASIGNATURAS'!$AG:$AG,"",0)</f>
        <v>#N/A</v>
      </c>
      <c r="AK81" s="505"/>
      <c r="AL81" s="505"/>
      <c r="AM81" s="401"/>
      <c r="AN81" s="401" t="e">
        <f>_xlfn.XLOOKUP('MAPEO MALLA'!AN79,'ASIGNACIÓN ASIGNATURAS'!$AD:$AD,'ASIGNACIÓN ASIGNATURAS'!$AG:$AG,"",0)</f>
        <v>#N/A</v>
      </c>
      <c r="AO81" s="401"/>
      <c r="AP81" s="401"/>
      <c r="AQ81" s="401"/>
      <c r="AR81" s="551"/>
      <c r="AS81" s="335"/>
      <c r="AT81" s="510"/>
      <c r="AU81" s="334"/>
      <c r="AV81" s="507"/>
      <c r="AW81" s="30"/>
      <c r="AX81" s="24"/>
      <c r="AY81" s="106"/>
      <c r="AZ81" s="505" t="e">
        <f>_xlfn.XLOOKUP('MAPEO MALLA'!AZ79,'ASIGNACIÓN ASIGNATURAS'!$AD:$AD,'ASIGNACIÓN ASIGNATURAS'!$AG:$AG,"",0)</f>
        <v>#N/A</v>
      </c>
      <c r="BA81" s="505"/>
      <c r="BB81" s="505"/>
      <c r="BC81" s="106"/>
      <c r="BD81" s="505" t="e">
        <f>_xlfn.XLOOKUP('MAPEO MALLA'!BD79,'ASIGNACIÓN ASIGNATURAS'!$AD:$AD,'ASIGNACIÓN ASIGNATURAS'!$AG:$AG,"",0)</f>
        <v>#N/A</v>
      </c>
      <c r="BE81" s="505"/>
      <c r="BF81" s="505"/>
      <c r="BG81" s="106"/>
      <c r="BH81" s="505" t="e">
        <f>_xlfn.XLOOKUP('MAPEO MALLA'!BH79,'ASIGNACIÓN ASIGNATURAS'!$AD:$AD,'ASIGNACIÓN ASIGNATURAS'!$AG:$AG,"",0)</f>
        <v>#N/A</v>
      </c>
      <c r="BI81" s="505"/>
      <c r="BJ81" s="505"/>
      <c r="BK81" s="30"/>
      <c r="BL81" s="551"/>
      <c r="BM81" s="336"/>
      <c r="BN81" s="510"/>
      <c r="BO81" s="336"/>
      <c r="BP81" s="507"/>
      <c r="BQ81" s="18"/>
      <c r="BR81" s="49"/>
    </row>
    <row r="82" spans="1:70" ht="60.6" x14ac:dyDescent="0.75">
      <c r="A82" s="12"/>
      <c r="B82" s="14"/>
      <c r="C82" s="523"/>
      <c r="D82" s="10"/>
      <c r="E82" s="523"/>
      <c r="F82" s="18"/>
      <c r="G82" s="30"/>
      <c r="H82" s="505"/>
      <c r="I82" s="505"/>
      <c r="J82" s="505"/>
      <c r="K82" s="51"/>
      <c r="L82" s="505"/>
      <c r="M82" s="505"/>
      <c r="N82" s="505"/>
      <c r="O82" s="51"/>
      <c r="P82" s="505"/>
      <c r="Q82" s="505"/>
      <c r="R82" s="505"/>
      <c r="S82" s="51"/>
      <c r="T82" s="505"/>
      <c r="U82" s="505"/>
      <c r="V82" s="505"/>
      <c r="W82" s="30"/>
      <c r="X82" s="523"/>
      <c r="Y82" s="306"/>
      <c r="Z82" s="510"/>
      <c r="AA82" s="334"/>
      <c r="AB82" s="507"/>
      <c r="AC82" s="30"/>
      <c r="AD82" s="24"/>
      <c r="AE82" s="51"/>
      <c r="AF82" s="505"/>
      <c r="AG82" s="505"/>
      <c r="AH82" s="505"/>
      <c r="AI82" s="51"/>
      <c r="AJ82" s="505"/>
      <c r="AK82" s="505"/>
      <c r="AL82" s="505"/>
      <c r="AM82" s="401"/>
      <c r="AN82" s="401"/>
      <c r="AO82" s="401"/>
      <c r="AP82" s="401"/>
      <c r="AQ82" s="401"/>
      <c r="AR82" s="551"/>
      <c r="AS82" s="335"/>
      <c r="AT82" s="510"/>
      <c r="AU82" s="334"/>
      <c r="AV82" s="507"/>
      <c r="AW82" s="30"/>
      <c r="AX82" s="94"/>
      <c r="AY82" s="51"/>
      <c r="AZ82" s="505"/>
      <c r="BA82" s="505"/>
      <c r="BB82" s="505"/>
      <c r="BC82" s="51"/>
      <c r="BD82" s="505"/>
      <c r="BE82" s="505"/>
      <c r="BF82" s="505"/>
      <c r="BG82" s="51"/>
      <c r="BH82" s="505"/>
      <c r="BI82" s="505"/>
      <c r="BJ82" s="505"/>
      <c r="BK82" s="30"/>
      <c r="BL82" s="551"/>
      <c r="BM82" s="336"/>
      <c r="BN82" s="510"/>
      <c r="BO82" s="336"/>
      <c r="BP82" s="507"/>
      <c r="BQ82" s="18"/>
      <c r="BR82" s="49"/>
    </row>
    <row r="83" spans="1:70" ht="47.25" customHeight="1" x14ac:dyDescent="0.75">
      <c r="A83" s="12"/>
      <c r="B83" s="14"/>
      <c r="C83" s="523"/>
      <c r="D83" s="10"/>
      <c r="E83" s="523"/>
      <c r="F83" s="18"/>
      <c r="G83" s="30"/>
      <c r="H83" s="444" t="e">
        <f>_xlfn.XLOOKUP('MAPEO MALLA'!H79,'ASIGNACIÓN ASIGNATURAS'!$AD:$AD,'ASIGNACIÓN ASIGNATURAS'!$T:$T,"",0)</f>
        <v>#N/A</v>
      </c>
      <c r="I83" s="459" t="e">
        <f>_xlfn.XLOOKUP('MAPEO MALLA'!H79,'ASIGNACIÓN ASIGNATURAS'!$AD:$AD,'ASIGNACIÓN ASIGNATURAS'!$U:$U,"",0)</f>
        <v>#N/A</v>
      </c>
      <c r="J83" s="443" t="e">
        <f>IF(H83="",,(H83+I83)/48)</f>
        <v>#N/A</v>
      </c>
      <c r="K83" s="106"/>
      <c r="L83" s="444" t="e">
        <f>_xlfn.XLOOKUP('MAPEO MALLA'!L79,'ASIGNACIÓN ASIGNATURAS'!$AD:$AD,'ASIGNACIÓN ASIGNATURAS'!$T:$T,"",0)</f>
        <v>#N/A</v>
      </c>
      <c r="M83" s="459" t="e">
        <f>_xlfn.XLOOKUP('MAPEO MALLA'!L79,'ASIGNACIÓN ASIGNATURAS'!$AD:$AD,'ASIGNACIÓN ASIGNATURAS'!$U:$U,"",0)</f>
        <v>#N/A</v>
      </c>
      <c r="N83" s="443" t="e">
        <f>IF(L83="",,(L83+M83)/48)</f>
        <v>#N/A</v>
      </c>
      <c r="O83" s="106"/>
      <c r="P83" s="444" t="e">
        <f>_xlfn.XLOOKUP('MAPEO MALLA'!P79,'ASIGNACIÓN ASIGNATURAS'!$AD:$AD,'ASIGNACIÓN ASIGNATURAS'!$T:$T,"",0)</f>
        <v>#N/A</v>
      </c>
      <c r="Q83" s="459" t="e">
        <f>_xlfn.XLOOKUP('MAPEO MALLA'!P79,'ASIGNACIÓN ASIGNATURAS'!$AD:$AD,'ASIGNACIÓN ASIGNATURAS'!$U:$U,"",0)</f>
        <v>#N/A</v>
      </c>
      <c r="R83" s="443" t="e">
        <f>IF(P83="",,(P83+Q83)/48)</f>
        <v>#N/A</v>
      </c>
      <c r="S83" s="106"/>
      <c r="T83" s="444" t="e">
        <f>_xlfn.XLOOKUP('MAPEO MALLA'!T79,'ASIGNACIÓN ASIGNATURAS'!$AD:$AD,'ASIGNACIÓN ASIGNATURAS'!$T:$T,"",0)</f>
        <v>#N/A</v>
      </c>
      <c r="U83" s="459" t="e">
        <f>_xlfn.XLOOKUP('MAPEO MALLA'!T79,'ASIGNACIÓN ASIGNATURAS'!$AD:$AD,'ASIGNACIÓN ASIGNATURAS'!$U:$U,"",0)</f>
        <v>#N/A</v>
      </c>
      <c r="V83" s="443" t="e">
        <f>IF(T83="",,(T83+U83)/48)</f>
        <v>#N/A</v>
      </c>
      <c r="W83" s="30"/>
      <c r="X83" s="523"/>
      <c r="Y83" s="306"/>
      <c r="Z83" s="510"/>
      <c r="AA83" s="334"/>
      <c r="AB83" s="507"/>
      <c r="AC83" s="30"/>
      <c r="AD83" s="24"/>
      <c r="AE83" s="106"/>
      <c r="AF83" s="444" t="e">
        <f>_xlfn.XLOOKUP('MAPEO MALLA'!AF79,'ASIGNACIÓN ASIGNATURAS'!$AD:$AD,'ASIGNACIÓN ASIGNATURAS'!$T:$T,"",0)</f>
        <v>#N/A</v>
      </c>
      <c r="AG83" s="459" t="e">
        <f>_xlfn.XLOOKUP('MAPEO MALLA'!AF79,'ASIGNACIÓN ASIGNATURAS'!$AD:$AD,'ASIGNACIÓN ASIGNATURAS'!$U:$U,"",0)</f>
        <v>#N/A</v>
      </c>
      <c r="AH83" s="443" t="e">
        <f>IF(AF83="",,(AF83+AG83)/48)</f>
        <v>#N/A</v>
      </c>
      <c r="AI83" s="106"/>
      <c r="AJ83" s="444" t="e">
        <f>_xlfn.XLOOKUP('MAPEO MALLA'!AJ79,'ASIGNACIÓN ASIGNATURAS'!$AD:$AD,'ASIGNACIÓN ASIGNATURAS'!$T:$T,"",0)</f>
        <v>#N/A</v>
      </c>
      <c r="AK83" s="459" t="e">
        <f>_xlfn.XLOOKUP('MAPEO MALLA'!AJ79,'ASIGNACIÓN ASIGNATURAS'!$AD:$AD,'ASIGNACIÓN ASIGNATURAS'!$U:$U,"",0)</f>
        <v>#N/A</v>
      </c>
      <c r="AL83" s="443" t="e">
        <f>IF(AJ83="",,(AJ83+AK83)/48)</f>
        <v>#N/A</v>
      </c>
      <c r="AM83" s="401"/>
      <c r="AN83" s="401" t="e">
        <f>_xlfn.XLOOKUP('MAPEO MALLA'!AN79,'ASIGNACIÓN ASIGNATURAS'!$AD:$AD,'ASIGNACIÓN ASIGNATURAS'!$T:$T,"",0)</f>
        <v>#N/A</v>
      </c>
      <c r="AO83" s="401" t="e">
        <f>_xlfn.XLOOKUP('MAPEO MALLA'!AN79,'ASIGNACIÓN ASIGNATURAS'!$AD:$AD,'ASIGNACIÓN ASIGNATURAS'!$U:$U,"",0)</f>
        <v>#N/A</v>
      </c>
      <c r="AP83" s="401" t="e">
        <f>IF(AN83="",,(AN83+AO83)/48)</f>
        <v>#N/A</v>
      </c>
      <c r="AQ83" s="401"/>
      <c r="AR83" s="551"/>
      <c r="AS83" s="335"/>
      <c r="AT83" s="510"/>
      <c r="AU83" s="334"/>
      <c r="AV83" s="507"/>
      <c r="AW83" s="30"/>
      <c r="AX83" s="97"/>
      <c r="AY83" s="106"/>
      <c r="AZ83" s="444" t="e">
        <f>_xlfn.XLOOKUP('MAPEO MALLA'!AZ79,'ASIGNACIÓN ASIGNATURAS'!$AD:$AD,'ASIGNACIÓN ASIGNATURAS'!$T:$T,"",0)</f>
        <v>#N/A</v>
      </c>
      <c r="BA83" s="459" t="e">
        <f>_xlfn.XLOOKUP('MAPEO MALLA'!AZ79,'ASIGNACIÓN ASIGNATURAS'!$AD:$AD,'ASIGNACIÓN ASIGNATURAS'!$U:$U,"",0)</f>
        <v>#N/A</v>
      </c>
      <c r="BB83" s="443" t="e">
        <f>IF(AZ83="",,(AZ83+BA83)/48)</f>
        <v>#N/A</v>
      </c>
      <c r="BC83" s="106"/>
      <c r="BD83" s="444" t="e">
        <f>_xlfn.XLOOKUP('MAPEO MALLA'!BD79,'ASIGNACIÓN ASIGNATURAS'!$AD:$AD,'ASIGNACIÓN ASIGNATURAS'!$T:$T,"",0)</f>
        <v>#N/A</v>
      </c>
      <c r="BE83" s="459" t="e">
        <f>_xlfn.XLOOKUP('MAPEO MALLA'!BD79,'ASIGNACIÓN ASIGNATURAS'!$AD:$AD,'ASIGNACIÓN ASIGNATURAS'!$U:$U,"",0)</f>
        <v>#N/A</v>
      </c>
      <c r="BF83" s="443" t="e">
        <f>IF(BD83="",,(BD83+BE83)/48)</f>
        <v>#N/A</v>
      </c>
      <c r="BG83" s="106"/>
      <c r="BH83" s="444" t="e">
        <f>_xlfn.XLOOKUP('MAPEO MALLA'!BH79,'ASIGNACIÓN ASIGNATURAS'!$AD:$AD,'ASIGNACIÓN ASIGNATURAS'!$T:$T,"",0)</f>
        <v>#N/A</v>
      </c>
      <c r="BI83" s="459" t="e">
        <f>_xlfn.XLOOKUP('MAPEO MALLA'!BH79,'ASIGNACIÓN ASIGNATURAS'!$AD:$AD,'ASIGNACIÓN ASIGNATURAS'!$U:$U,"",0)</f>
        <v>#N/A</v>
      </c>
      <c r="BJ83" s="443" t="e">
        <f>IF(BH83="",,(BH83+BI83)/48)</f>
        <v>#N/A</v>
      </c>
      <c r="BK83" s="30"/>
      <c r="BL83" s="551"/>
      <c r="BM83" s="336"/>
      <c r="BN83" s="510"/>
      <c r="BO83" s="336"/>
      <c r="BP83" s="507"/>
      <c r="BQ83" s="18"/>
      <c r="BR83" s="49"/>
    </row>
    <row r="84" spans="1:70" ht="60.6" x14ac:dyDescent="0.75">
      <c r="A84" s="12"/>
      <c r="B84" s="14"/>
      <c r="C84" s="523"/>
      <c r="D84" s="10"/>
      <c r="E84" s="145"/>
      <c r="F84" s="18"/>
      <c r="G84" s="30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337"/>
      <c r="Y84" s="306"/>
      <c r="Z84" s="510"/>
      <c r="AA84" s="334"/>
      <c r="AB84" s="507"/>
      <c r="AC84" s="30"/>
      <c r="AD84" s="24"/>
      <c r="AE84" s="51"/>
      <c r="AF84" s="51"/>
      <c r="AG84" s="51"/>
      <c r="AH84" s="51"/>
      <c r="AI84" s="51"/>
      <c r="AJ84" s="51"/>
      <c r="AK84" s="51"/>
      <c r="AL84" s="51"/>
      <c r="AM84" s="401"/>
      <c r="AN84" s="401"/>
      <c r="AO84" s="401"/>
      <c r="AP84" s="401"/>
      <c r="AQ84" s="401"/>
      <c r="AR84" s="318"/>
      <c r="AS84" s="322"/>
      <c r="AT84" s="510"/>
      <c r="AU84" s="334"/>
      <c r="AV84" s="507"/>
      <c r="AW84" s="30"/>
      <c r="AX84" s="24"/>
      <c r="AY84" s="51"/>
      <c r="AZ84" s="51"/>
      <c r="BA84" s="51"/>
      <c r="BB84" s="51"/>
      <c r="BC84" s="51"/>
      <c r="BD84" s="51"/>
      <c r="BE84" s="51"/>
      <c r="BF84" s="51"/>
      <c r="BG84" s="51"/>
      <c r="BH84" s="51"/>
      <c r="BI84" s="51"/>
      <c r="BJ84" s="51"/>
      <c r="BK84" s="51"/>
      <c r="BL84" s="318"/>
      <c r="BM84" s="336"/>
      <c r="BN84" s="510"/>
      <c r="BO84" s="336"/>
      <c r="BP84" s="507"/>
      <c r="BQ84" s="18"/>
      <c r="BR84" s="49"/>
    </row>
    <row r="85" spans="1:70" ht="93.75" customHeight="1" x14ac:dyDescent="0.75">
      <c r="A85" s="12"/>
      <c r="B85" s="14"/>
      <c r="C85" s="523"/>
      <c r="D85" s="10"/>
      <c r="E85" s="551" t="e">
        <f>'MAPEO MALLA'!$E$84</f>
        <v>#N/A</v>
      </c>
      <c r="F85" s="18"/>
      <c r="G85" s="30"/>
      <c r="H85" s="504" t="e">
        <f>_xlfn.XLOOKUP('MAPEO MALLA'!H84,'ASIGNACIÓN ASIGNATURAS'!$AD:$AD,'ASIGNACIÓN ASIGNATURAS'!$O:$O,"",0)</f>
        <v>#N/A</v>
      </c>
      <c r="I85" s="504"/>
      <c r="J85" s="504"/>
      <c r="K85" s="51"/>
      <c r="L85" s="504" t="e">
        <f>_xlfn.XLOOKUP('MAPEO MALLA'!L84,'ASIGNACIÓN ASIGNATURAS'!$AD:$AD,'ASIGNACIÓN ASIGNATURAS'!$O:$O,"",0)</f>
        <v>#N/A</v>
      </c>
      <c r="M85" s="504"/>
      <c r="N85" s="504"/>
      <c r="O85" s="51"/>
      <c r="P85" s="504" t="e">
        <f>_xlfn.XLOOKUP('MAPEO MALLA'!P84,'ASIGNACIÓN ASIGNATURAS'!$AD:$AD,'ASIGNACIÓN ASIGNATURAS'!$O:$O,"",0)</f>
        <v>#N/A</v>
      </c>
      <c r="Q85" s="504"/>
      <c r="R85" s="504"/>
      <c r="S85" s="51"/>
      <c r="T85" s="504" t="e">
        <f>_xlfn.XLOOKUP('MAPEO MALLA'!T84,'ASIGNACIÓN ASIGNATURAS'!$AD:$AD,'ASIGNACIÓN ASIGNATURAS'!$O:$O,"",0)</f>
        <v>#N/A</v>
      </c>
      <c r="U85" s="504"/>
      <c r="V85" s="504"/>
      <c r="W85" s="30"/>
      <c r="X85" s="551" t="e">
        <f>J88+N88+R88</f>
        <v>#N/A</v>
      </c>
      <c r="Y85" s="306"/>
      <c r="Z85" s="510"/>
      <c r="AA85" s="334"/>
      <c r="AB85" s="507"/>
      <c r="AC85" s="30"/>
      <c r="AD85" s="24"/>
      <c r="AE85" s="51"/>
      <c r="AF85" s="504" t="e">
        <f>_xlfn.XLOOKUP('MAPEO MALLA'!AF84,'ASIGNACIÓN ASIGNATURAS'!$AD:$AD,'ASIGNACIÓN ASIGNATURAS'!$O:$O,"",0)</f>
        <v>#N/A</v>
      </c>
      <c r="AG85" s="504"/>
      <c r="AH85" s="504"/>
      <c r="AI85" s="51"/>
      <c r="AJ85" s="504" t="e">
        <f>_xlfn.XLOOKUP('MAPEO MALLA'!AJ84,'ASIGNACIÓN ASIGNATURAS'!$AD:$AD,'ASIGNACIÓN ASIGNATURAS'!$O:$O,"",0)</f>
        <v>#N/A</v>
      </c>
      <c r="AK85" s="504"/>
      <c r="AL85" s="504"/>
      <c r="AM85" s="30"/>
      <c r="AN85" s="553" t="e">
        <f>_xlfn.XLOOKUP('MAPEO MALLA'!AN84,'ASIGNACIÓN ASIGNATURAS'!$AD:$AD,'ASIGNACIÓN ASIGNATURAS'!$O:$O,"",0)</f>
        <v>#N/A</v>
      </c>
      <c r="AO85" s="554"/>
      <c r="AP85" s="555"/>
      <c r="AQ85" s="12"/>
      <c r="AR85" s="551" t="e">
        <f>+X85+AH88+AL88+AP88</f>
        <v>#N/A</v>
      </c>
      <c r="AS85" s="335"/>
      <c r="AT85" s="510"/>
      <c r="AU85" s="334"/>
      <c r="AV85" s="507"/>
      <c r="AW85" s="30"/>
      <c r="AX85" s="24"/>
      <c r="AY85" s="51"/>
      <c r="AZ85" s="504" t="e">
        <f>_xlfn.XLOOKUP('MAPEO MALLA'!AZ84,'ASIGNACIÓN ASIGNATURAS'!$AD:$AD,'ASIGNACIÓN ASIGNATURAS'!$O:$O,"",0)</f>
        <v>#N/A</v>
      </c>
      <c r="BA85" s="504"/>
      <c r="BB85" s="504"/>
      <c r="BC85" s="51"/>
      <c r="BD85" s="504" t="e">
        <f>_xlfn.XLOOKUP('MAPEO MALLA'!BD84,'ASIGNACIÓN ASIGNATURAS'!$AD:$AD,'ASIGNACIÓN ASIGNATURAS'!$O:$O,"",0)</f>
        <v>#N/A</v>
      </c>
      <c r="BE85" s="504"/>
      <c r="BF85" s="504"/>
      <c r="BG85" s="51"/>
      <c r="BH85" s="504" t="e">
        <f>_xlfn.XLOOKUP('MAPEO MALLA'!BH84,'ASIGNACIÓN ASIGNATURAS'!$AD:$AD,'ASIGNACIÓN ASIGNATURAS'!$O:$O,"",0)</f>
        <v>#N/A</v>
      </c>
      <c r="BI85" s="504"/>
      <c r="BJ85" s="504"/>
      <c r="BK85" s="30"/>
      <c r="BL85" s="551" t="e">
        <f>+AR85+BB88+BF88+BJ88</f>
        <v>#N/A</v>
      </c>
      <c r="BM85" s="336"/>
      <c r="BN85" s="510"/>
      <c r="BO85" s="336"/>
      <c r="BP85" s="507"/>
      <c r="BQ85" s="18"/>
      <c r="BR85" s="49"/>
    </row>
    <row r="86" spans="1:70" ht="60.45" customHeight="1" x14ac:dyDescent="0.75">
      <c r="A86" s="12"/>
      <c r="B86" s="14"/>
      <c r="C86" s="523"/>
      <c r="D86" s="10"/>
      <c r="E86" s="523"/>
      <c r="F86" s="18"/>
      <c r="G86" s="30"/>
      <c r="H86" s="505" t="e">
        <f>_xlfn.XLOOKUP('MAPEO MALLA'!H84,'ASIGNACIÓN ASIGNATURAS'!$AD:$AD,'ASIGNACIÓN ASIGNATURAS'!$AG:$AG,"",0)</f>
        <v>#N/A</v>
      </c>
      <c r="I86" s="505"/>
      <c r="J86" s="505"/>
      <c r="K86" s="106"/>
      <c r="L86" s="505" t="e">
        <f>_xlfn.XLOOKUP('MAPEO MALLA'!L84,'ASIGNACIÓN ASIGNATURAS'!$AD:$AD,'ASIGNACIÓN ASIGNATURAS'!$AG:$AG,"",0)</f>
        <v>#N/A</v>
      </c>
      <c r="M86" s="505"/>
      <c r="N86" s="505"/>
      <c r="O86" s="106"/>
      <c r="P86" s="505" t="e">
        <f>_xlfn.XLOOKUP('MAPEO MALLA'!P84,'ASIGNACIÓN ASIGNATURAS'!$AD:$AD,'ASIGNACIÓN ASIGNATURAS'!$AG:$AG,"",0)</f>
        <v>#N/A</v>
      </c>
      <c r="Q86" s="505"/>
      <c r="R86" s="505"/>
      <c r="S86" s="106"/>
      <c r="T86" s="505" t="e">
        <f>_xlfn.XLOOKUP('MAPEO MALLA'!T84,'ASIGNACIÓN ASIGNATURAS'!$AD:$AD,'ASIGNACIÓN ASIGNATURAS'!$AG:$AG,"",0)</f>
        <v>#N/A</v>
      </c>
      <c r="U86" s="505"/>
      <c r="V86" s="505"/>
      <c r="W86" s="30"/>
      <c r="X86" s="523"/>
      <c r="Y86" s="306"/>
      <c r="Z86" s="510"/>
      <c r="AA86" s="334"/>
      <c r="AB86" s="507"/>
      <c r="AC86" s="30"/>
      <c r="AD86" s="24"/>
      <c r="AE86" s="106"/>
      <c r="AF86" s="505" t="e">
        <f>_xlfn.XLOOKUP('MAPEO MALLA'!AF84,'ASIGNACIÓN ASIGNATURAS'!$AD:$AD,'ASIGNACIÓN ASIGNATURAS'!$AG:$AG,"",0)</f>
        <v>#N/A</v>
      </c>
      <c r="AG86" s="505"/>
      <c r="AH86" s="505"/>
      <c r="AI86" s="106"/>
      <c r="AJ86" s="505" t="e">
        <f>_xlfn.XLOOKUP('MAPEO MALLA'!AJ84,'ASIGNACIÓN ASIGNATURAS'!$AD:$AD,'ASIGNACIÓN ASIGNATURAS'!$AG:$AG,"",0)</f>
        <v>#N/A</v>
      </c>
      <c r="AK86" s="505"/>
      <c r="AL86" s="505"/>
      <c r="AM86" s="30"/>
      <c r="AN86" s="556" t="e">
        <f>_xlfn.XLOOKUP('MAPEO MALLA'!AN84,'ASIGNACIÓN ASIGNATURAS'!$AD:$AD,'ASIGNACIÓN ASIGNATURAS'!$AG:$AG,"",0)</f>
        <v>#N/A</v>
      </c>
      <c r="AO86" s="557"/>
      <c r="AP86" s="558"/>
      <c r="AQ86" s="12"/>
      <c r="AR86" s="551"/>
      <c r="AS86" s="335"/>
      <c r="AT86" s="510"/>
      <c r="AU86" s="334"/>
      <c r="AV86" s="507"/>
      <c r="AW86" s="30"/>
      <c r="AX86" s="24"/>
      <c r="AY86" s="106"/>
      <c r="AZ86" s="505" t="e">
        <f>_xlfn.XLOOKUP('MAPEO MALLA'!AZ84,'ASIGNACIÓN ASIGNATURAS'!$AD:$AD,'ASIGNACIÓN ASIGNATURAS'!$AG:$AG,"",0)</f>
        <v>#N/A</v>
      </c>
      <c r="BA86" s="505"/>
      <c r="BB86" s="505"/>
      <c r="BC86" s="106"/>
      <c r="BD86" s="505" t="e">
        <f>_xlfn.XLOOKUP('MAPEO MALLA'!BD84,'ASIGNACIÓN ASIGNATURAS'!$AD:$AD,'ASIGNACIÓN ASIGNATURAS'!$AG:$AG,"",0)</f>
        <v>#N/A</v>
      </c>
      <c r="BE86" s="505"/>
      <c r="BF86" s="505"/>
      <c r="BG86" s="106"/>
      <c r="BH86" s="505" t="e">
        <f>_xlfn.XLOOKUP('MAPEO MALLA'!BH84,'ASIGNACIÓN ASIGNATURAS'!$AD:$AD,'ASIGNACIÓN ASIGNATURAS'!$AG:$AG,"",0)</f>
        <v>#N/A</v>
      </c>
      <c r="BI86" s="505"/>
      <c r="BJ86" s="505"/>
      <c r="BK86" s="30"/>
      <c r="BL86" s="551"/>
      <c r="BM86" s="336"/>
      <c r="BN86" s="510"/>
      <c r="BO86" s="336"/>
      <c r="BP86" s="507"/>
      <c r="BQ86" s="18"/>
      <c r="BR86" s="49"/>
    </row>
    <row r="87" spans="1:70" ht="60.6" x14ac:dyDescent="0.75">
      <c r="A87" s="12"/>
      <c r="B87" s="14"/>
      <c r="C87" s="523"/>
      <c r="D87" s="10"/>
      <c r="E87" s="523"/>
      <c r="F87" s="18"/>
      <c r="G87" s="30"/>
      <c r="H87" s="505"/>
      <c r="I87" s="505"/>
      <c r="J87" s="505"/>
      <c r="K87" s="51"/>
      <c r="L87" s="505"/>
      <c r="M87" s="505"/>
      <c r="N87" s="505"/>
      <c r="O87" s="51"/>
      <c r="P87" s="505"/>
      <c r="Q87" s="505"/>
      <c r="R87" s="505"/>
      <c r="S87" s="51"/>
      <c r="T87" s="505"/>
      <c r="U87" s="505"/>
      <c r="V87" s="505"/>
      <c r="W87" s="30"/>
      <c r="X87" s="523"/>
      <c r="Y87" s="306"/>
      <c r="Z87" s="510"/>
      <c r="AA87" s="334"/>
      <c r="AB87" s="507"/>
      <c r="AC87" s="30"/>
      <c r="AD87" s="24"/>
      <c r="AE87" s="51"/>
      <c r="AF87" s="505"/>
      <c r="AG87" s="505"/>
      <c r="AH87" s="505"/>
      <c r="AI87" s="51"/>
      <c r="AJ87" s="505"/>
      <c r="AK87" s="505"/>
      <c r="AL87" s="505"/>
      <c r="AM87" s="30"/>
      <c r="AN87" s="559"/>
      <c r="AO87" s="560"/>
      <c r="AP87" s="561"/>
      <c r="AQ87" s="12"/>
      <c r="AR87" s="551"/>
      <c r="AS87" s="335"/>
      <c r="AT87" s="510"/>
      <c r="AU87" s="334"/>
      <c r="AV87" s="507"/>
      <c r="AW87" s="30"/>
      <c r="AX87" s="24"/>
      <c r="AY87" s="51"/>
      <c r="AZ87" s="505"/>
      <c r="BA87" s="505"/>
      <c r="BB87" s="505"/>
      <c r="BC87" s="51"/>
      <c r="BD87" s="505"/>
      <c r="BE87" s="505"/>
      <c r="BF87" s="505"/>
      <c r="BG87" s="51"/>
      <c r="BH87" s="505"/>
      <c r="BI87" s="505"/>
      <c r="BJ87" s="505"/>
      <c r="BK87" s="30"/>
      <c r="BL87" s="551"/>
      <c r="BM87" s="336"/>
      <c r="BN87" s="510"/>
      <c r="BO87" s="336"/>
      <c r="BP87" s="507"/>
      <c r="BQ87" s="18"/>
      <c r="BR87" s="49"/>
    </row>
    <row r="88" spans="1:70" ht="51.75" customHeight="1" x14ac:dyDescent="0.75">
      <c r="A88" s="12"/>
      <c r="B88" s="14"/>
      <c r="C88" s="523"/>
      <c r="D88" s="10"/>
      <c r="E88" s="523"/>
      <c r="F88" s="18"/>
      <c r="G88" s="30"/>
      <c r="H88" s="444" t="e">
        <f>_xlfn.XLOOKUP('MAPEO MALLA'!H84,'ASIGNACIÓN ASIGNATURAS'!$AD:$AD,'ASIGNACIÓN ASIGNATURAS'!$T:$T,"",0)</f>
        <v>#N/A</v>
      </c>
      <c r="I88" s="459" t="e">
        <f>_xlfn.XLOOKUP('MAPEO MALLA'!H84,'ASIGNACIÓN ASIGNATURAS'!$AD:$AD,'ASIGNACIÓN ASIGNATURAS'!$U:$U,"",0)</f>
        <v>#N/A</v>
      </c>
      <c r="J88" s="443" t="e">
        <f>IF(H88="",,(H88+I88)/48)</f>
        <v>#N/A</v>
      </c>
      <c r="K88" s="106"/>
      <c r="L88" s="444" t="e">
        <f>_xlfn.XLOOKUP('MAPEO MALLA'!L84,'ASIGNACIÓN ASIGNATURAS'!$AD:$AD,'ASIGNACIÓN ASIGNATURAS'!$T:$T,"",0)</f>
        <v>#N/A</v>
      </c>
      <c r="M88" s="459" t="e">
        <f>_xlfn.XLOOKUP('MAPEO MALLA'!L84,'ASIGNACIÓN ASIGNATURAS'!$AD:$AD,'ASIGNACIÓN ASIGNATURAS'!$U:$U,"",0)</f>
        <v>#N/A</v>
      </c>
      <c r="N88" s="443" t="e">
        <f>IF(L88="",,(L88+M88)/48)</f>
        <v>#N/A</v>
      </c>
      <c r="O88" s="106"/>
      <c r="P88" s="444" t="e">
        <f>_xlfn.XLOOKUP('MAPEO MALLA'!P84,'ASIGNACIÓN ASIGNATURAS'!$AD:$AD,'ASIGNACIÓN ASIGNATURAS'!$T:$T,"",0)</f>
        <v>#N/A</v>
      </c>
      <c r="Q88" s="459" t="e">
        <f>_xlfn.XLOOKUP('MAPEO MALLA'!P84,'ASIGNACIÓN ASIGNATURAS'!$AD:$AD,'ASIGNACIÓN ASIGNATURAS'!$U:$U,"",0)</f>
        <v>#N/A</v>
      </c>
      <c r="R88" s="443" t="e">
        <f>IF(P88="",,(P88+Q88)/48)</f>
        <v>#N/A</v>
      </c>
      <c r="S88" s="106"/>
      <c r="T88" s="444" t="e">
        <f>_xlfn.XLOOKUP('MAPEO MALLA'!T84,'ASIGNACIÓN ASIGNATURAS'!$AD:$AD,'ASIGNACIÓN ASIGNATURAS'!$T:$T,"",0)</f>
        <v>#N/A</v>
      </c>
      <c r="U88" s="459" t="e">
        <f>_xlfn.XLOOKUP('MAPEO MALLA'!T84,'ASIGNACIÓN ASIGNATURAS'!$AD:$AD,'ASIGNACIÓN ASIGNATURAS'!$U:$U,"",0)</f>
        <v>#N/A</v>
      </c>
      <c r="V88" s="443" t="e">
        <f>IF(T88="",,(T88+U88)/48)</f>
        <v>#N/A</v>
      </c>
      <c r="W88" s="30"/>
      <c r="X88" s="523"/>
      <c r="Y88" s="306"/>
      <c r="Z88" s="510"/>
      <c r="AA88" s="334"/>
      <c r="AB88" s="507"/>
      <c r="AC88" s="30"/>
      <c r="AD88" s="24"/>
      <c r="AE88" s="106"/>
      <c r="AF88" s="444" t="e">
        <f>_xlfn.XLOOKUP('MAPEO MALLA'!AF84,'ASIGNACIÓN ASIGNATURAS'!$AD:$AD,'ASIGNACIÓN ASIGNATURAS'!$T:$T,"",0)</f>
        <v>#N/A</v>
      </c>
      <c r="AG88" s="459" t="e">
        <f>_xlfn.XLOOKUP('MAPEO MALLA'!AF84,'ASIGNACIÓN ASIGNATURAS'!$AD:$AD,'ASIGNACIÓN ASIGNATURAS'!$U:$U,"",0)</f>
        <v>#N/A</v>
      </c>
      <c r="AH88" s="443" t="e">
        <f>IF(AF88="",,(AF88+AG88)/48)</f>
        <v>#N/A</v>
      </c>
      <c r="AI88" s="106"/>
      <c r="AJ88" s="444" t="e">
        <f>_xlfn.XLOOKUP('MAPEO MALLA'!AJ84,'ASIGNACIÓN ASIGNATURAS'!$AD:$AD,'ASIGNACIÓN ASIGNATURAS'!$T:$T,"",0)</f>
        <v>#N/A</v>
      </c>
      <c r="AK88" s="459" t="e">
        <f>_xlfn.XLOOKUP('MAPEO MALLA'!AJ84,'ASIGNACIÓN ASIGNATURAS'!$AD:$AD,'ASIGNACIÓN ASIGNATURAS'!$U:$U,"",0)</f>
        <v>#N/A</v>
      </c>
      <c r="AL88" s="443" t="e">
        <f>IF(AJ88="",,(AJ88+AK88)/48)</f>
        <v>#N/A</v>
      </c>
      <c r="AM88" s="30"/>
      <c r="AN88" s="83" t="e">
        <f>_xlfn.XLOOKUP('MAPEO MALLA'!AN84,'ASIGNACIÓN ASIGNATURAS'!$AD:$AD,'ASIGNACIÓN ASIGNATURAS'!$T:$T,"",0)</f>
        <v>#N/A</v>
      </c>
      <c r="AO88" s="84" t="e">
        <f>_xlfn.XLOOKUP('MAPEO MALLA'!AN84,'ASIGNACIÓN ASIGNATURAS'!$AD:$AD,'ASIGNACIÓN ASIGNATURAS'!$U:$U,"",0)</f>
        <v>#N/A</v>
      </c>
      <c r="AP88" s="85" t="e">
        <f>IF(AN88="",,(AN88+AO88)/48)</f>
        <v>#N/A</v>
      </c>
      <c r="AQ88" s="12"/>
      <c r="AR88" s="551"/>
      <c r="AS88" s="335"/>
      <c r="AT88" s="510"/>
      <c r="AU88" s="334"/>
      <c r="AV88" s="507"/>
      <c r="AW88" s="30"/>
      <c r="AX88" s="24"/>
      <c r="AY88" s="106"/>
      <c r="AZ88" s="444" t="e">
        <f>_xlfn.XLOOKUP('MAPEO MALLA'!AZ84,'ASIGNACIÓN ASIGNATURAS'!$AD:$AD,'ASIGNACIÓN ASIGNATURAS'!$T:$T,"",0)</f>
        <v>#N/A</v>
      </c>
      <c r="BA88" s="459" t="e">
        <f>_xlfn.XLOOKUP('MAPEO MALLA'!AZ84,'ASIGNACIÓN ASIGNATURAS'!$AD:$AD,'ASIGNACIÓN ASIGNATURAS'!$U:$U,"",0)</f>
        <v>#N/A</v>
      </c>
      <c r="BB88" s="443" t="e">
        <f>IF(AZ88="",,(AZ88+BA88)/48)</f>
        <v>#N/A</v>
      </c>
      <c r="BC88" s="106"/>
      <c r="BD88" s="444" t="e">
        <f>_xlfn.XLOOKUP('MAPEO MALLA'!BD84,'ASIGNACIÓN ASIGNATURAS'!$AD:$AD,'ASIGNACIÓN ASIGNATURAS'!$T:$T,"",0)</f>
        <v>#N/A</v>
      </c>
      <c r="BE88" s="459" t="e">
        <f>_xlfn.XLOOKUP('MAPEO MALLA'!BD84,'ASIGNACIÓN ASIGNATURAS'!$AD:$AD,'ASIGNACIÓN ASIGNATURAS'!$U:$U,"",0)</f>
        <v>#N/A</v>
      </c>
      <c r="BF88" s="443" t="e">
        <f>IF(BD88="",,(BD88+BE88)/48)</f>
        <v>#N/A</v>
      </c>
      <c r="BG88" s="106"/>
      <c r="BH88" s="444" t="e">
        <f>_xlfn.XLOOKUP('MAPEO MALLA'!BH84,'ASIGNACIÓN ASIGNATURAS'!$AD:$AD,'ASIGNACIÓN ASIGNATURAS'!$T:$T,"",0)</f>
        <v>#N/A</v>
      </c>
      <c r="BI88" s="459" t="e">
        <f>_xlfn.XLOOKUP('MAPEO MALLA'!BH84,'ASIGNACIÓN ASIGNATURAS'!$AD:$AD,'ASIGNACIÓN ASIGNATURAS'!$U:$U,"",0)</f>
        <v>#N/A</v>
      </c>
      <c r="BJ88" s="443" t="e">
        <f>IF(BH88="",,(BH88+BI88)/48)</f>
        <v>#N/A</v>
      </c>
      <c r="BK88" s="30"/>
      <c r="BL88" s="551"/>
      <c r="BM88" s="336"/>
      <c r="BN88" s="510"/>
      <c r="BO88" s="336"/>
      <c r="BP88" s="507"/>
      <c r="BQ88" s="18"/>
      <c r="BR88" s="49"/>
    </row>
    <row r="89" spans="1:70" ht="60.6" x14ac:dyDescent="0.75">
      <c r="A89" s="12"/>
      <c r="B89" s="14"/>
      <c r="C89" s="523"/>
      <c r="D89" s="10"/>
      <c r="E89" s="145"/>
      <c r="F89" s="18"/>
      <c r="G89" s="30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337"/>
      <c r="Y89" s="338"/>
      <c r="Z89" s="510"/>
      <c r="AA89" s="334"/>
      <c r="AB89" s="507"/>
      <c r="AC89" s="30"/>
      <c r="AD89" s="24"/>
      <c r="AE89" s="51"/>
      <c r="AF89" s="51"/>
      <c r="AG89" s="51"/>
      <c r="AH89" s="51"/>
      <c r="AI89" s="51"/>
      <c r="AJ89" s="51"/>
      <c r="AK89" s="51"/>
      <c r="AL89" s="51"/>
      <c r="AM89" s="51"/>
      <c r="AN89" s="69"/>
      <c r="AO89" s="69"/>
      <c r="AP89" s="106"/>
      <c r="AQ89" s="13"/>
      <c r="AR89" s="337"/>
      <c r="AS89" s="322"/>
      <c r="AT89" s="510"/>
      <c r="AU89" s="334"/>
      <c r="AV89" s="507"/>
      <c r="AW89" s="30"/>
      <c r="AX89" s="24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337"/>
      <c r="BM89" s="339"/>
      <c r="BN89" s="510"/>
      <c r="BO89" s="336"/>
      <c r="BP89" s="507"/>
      <c r="BQ89" s="18"/>
      <c r="BR89" s="49"/>
    </row>
    <row r="90" spans="1:70" ht="98.25" customHeight="1" x14ac:dyDescent="0.75">
      <c r="A90" s="12"/>
      <c r="B90" s="14"/>
      <c r="C90" s="523"/>
      <c r="D90" s="10"/>
      <c r="E90" s="551" t="e">
        <f>'MAPEO MALLA'!E89</f>
        <v>#N/A</v>
      </c>
      <c r="F90" s="18"/>
      <c r="G90" s="30"/>
      <c r="H90" s="504" t="e">
        <f>_xlfn.XLOOKUP('MAPEO MALLA'!H89,'ASIGNACIÓN ASIGNATURAS'!$AD:$AD,'ASIGNACIÓN ASIGNATURAS'!$O:$O,"",0)</f>
        <v>#N/A</v>
      </c>
      <c r="I90" s="504"/>
      <c r="J90" s="504"/>
      <c r="K90" s="51"/>
      <c r="L90" s="504" t="e">
        <f>_xlfn.XLOOKUP('MAPEO MALLA'!L89,'ASIGNACIÓN ASIGNATURAS'!$AD:$AD,'ASIGNACIÓN ASIGNATURAS'!$O:$O,"",0)</f>
        <v>#N/A</v>
      </c>
      <c r="M90" s="504"/>
      <c r="N90" s="504"/>
      <c r="O90" s="51"/>
      <c r="P90" s="504" t="e">
        <f>_xlfn.XLOOKUP('MAPEO MALLA'!P89,'ASIGNACIÓN ASIGNATURAS'!$AD:$AD,'ASIGNACIÓN ASIGNATURAS'!$O:$O,"",0)</f>
        <v>#N/A</v>
      </c>
      <c r="Q90" s="504"/>
      <c r="R90" s="504"/>
      <c r="S90" s="51"/>
      <c r="T90" s="504" t="e">
        <f>_xlfn.XLOOKUP('MAPEO MALLA'!T89,'ASIGNACIÓN ASIGNATURAS'!$AD:$AD,'ASIGNACIÓN ASIGNATURAS'!$O:$O,"",0)</f>
        <v>#N/A</v>
      </c>
      <c r="U90" s="504"/>
      <c r="V90" s="504"/>
      <c r="W90" s="30"/>
      <c r="X90" s="551" t="e">
        <f>J93+N93+R93+V93</f>
        <v>#N/A</v>
      </c>
      <c r="Y90" s="306"/>
      <c r="Z90" s="510"/>
      <c r="AA90" s="334"/>
      <c r="AB90" s="507"/>
      <c r="AC90" s="30"/>
      <c r="AD90" s="24"/>
      <c r="AE90" s="51"/>
      <c r="AF90" s="504" t="e">
        <f>_xlfn.XLOOKUP('MAPEO MALLA'!AF89,'ASIGNACIÓN ASIGNATURAS'!$AD:$AD,'ASIGNACIÓN ASIGNATURAS'!$O:$O,"",0)</f>
        <v>#N/A</v>
      </c>
      <c r="AG90" s="504"/>
      <c r="AH90" s="504"/>
      <c r="AI90" s="51"/>
      <c r="AJ90" s="504" t="e">
        <f>_xlfn.XLOOKUP('MAPEO MALLA'!AJ89,'ASIGNACIÓN ASIGNATURAS'!$AD:$AD,'ASIGNACIÓN ASIGNATURAS'!$O:$O,"",0)</f>
        <v>#N/A</v>
      </c>
      <c r="AK90" s="504"/>
      <c r="AL90" s="504"/>
      <c r="AM90" s="30"/>
      <c r="AN90" s="553" t="e">
        <f>_xlfn.XLOOKUP('MAPEO MALLA'!AN89,'ASIGNACIÓN ASIGNATURAS'!$AD:$AD,'ASIGNACIÓN ASIGNATURAS'!$O:$O,"",0)</f>
        <v>#N/A</v>
      </c>
      <c r="AO90" s="554"/>
      <c r="AP90" s="555"/>
      <c r="AQ90" s="12"/>
      <c r="AR90" s="551" t="e">
        <f>+X90+AH93+AL93+AP93</f>
        <v>#N/A</v>
      </c>
      <c r="AS90" s="335"/>
      <c r="AT90" s="510"/>
      <c r="AU90" s="334"/>
      <c r="AV90" s="507"/>
      <c r="AW90" s="30"/>
      <c r="AX90" s="24"/>
      <c r="AY90" s="51"/>
      <c r="AZ90" s="504" t="e">
        <f>_xlfn.XLOOKUP('MAPEO MALLA'!AZ89,'ASIGNACIÓN ASIGNATURAS'!$AD:$AD,'ASIGNACIÓN ASIGNATURAS'!$O:$O,"",0)</f>
        <v>#N/A</v>
      </c>
      <c r="BA90" s="504"/>
      <c r="BB90" s="504"/>
      <c r="BC90" s="51"/>
      <c r="BD90" s="504" t="e">
        <f>_xlfn.XLOOKUP('MAPEO MALLA'!BD89,'ASIGNACIÓN ASIGNATURAS'!$AD:$AD,'ASIGNACIÓN ASIGNATURAS'!$O:$O,"",0)</f>
        <v>#N/A</v>
      </c>
      <c r="BE90" s="504"/>
      <c r="BF90" s="504"/>
      <c r="BG90" s="51"/>
      <c r="BH90" s="504" t="e">
        <f>_xlfn.XLOOKUP('MAPEO MALLA'!BH89,'ASIGNACIÓN ASIGNATURAS'!$AD:$AD,'ASIGNACIÓN ASIGNATURAS'!$O:$O,"",0)</f>
        <v>#N/A</v>
      </c>
      <c r="BI90" s="504"/>
      <c r="BJ90" s="504"/>
      <c r="BK90" s="30"/>
      <c r="BL90" s="551" t="e">
        <f>+AR90+BB93+BF93+BJ93</f>
        <v>#N/A</v>
      </c>
      <c r="BM90" s="336"/>
      <c r="BN90" s="510"/>
      <c r="BO90" s="336"/>
      <c r="BP90" s="507"/>
      <c r="BQ90" s="18"/>
      <c r="BR90" s="49"/>
    </row>
    <row r="91" spans="1:70" ht="60.45" customHeight="1" x14ac:dyDescent="0.75">
      <c r="A91" s="12"/>
      <c r="B91" s="14"/>
      <c r="C91" s="523"/>
      <c r="D91" s="10"/>
      <c r="E91" s="523"/>
      <c r="F91" s="18"/>
      <c r="G91" s="30"/>
      <c r="H91" s="505" t="e">
        <f>_xlfn.XLOOKUP('MAPEO MALLA'!H89,'ASIGNACIÓN ASIGNATURAS'!$AD:$AD,'ASIGNACIÓN ASIGNATURAS'!$AG:$AG,"",0)</f>
        <v>#N/A</v>
      </c>
      <c r="I91" s="505"/>
      <c r="J91" s="505"/>
      <c r="K91" s="106"/>
      <c r="L91" s="505" t="e">
        <f>_xlfn.XLOOKUP('MAPEO MALLA'!L89,'ASIGNACIÓN ASIGNATURAS'!$AD:$AD,'ASIGNACIÓN ASIGNATURAS'!$AG:$AG,"",0)</f>
        <v>#N/A</v>
      </c>
      <c r="M91" s="505"/>
      <c r="N91" s="505"/>
      <c r="O91" s="106"/>
      <c r="P91" s="505" t="e">
        <f>_xlfn.XLOOKUP('MAPEO MALLA'!P89,'ASIGNACIÓN ASIGNATURAS'!$AD:$AD,'ASIGNACIÓN ASIGNATURAS'!$AG:$AG,"",0)</f>
        <v>#N/A</v>
      </c>
      <c r="Q91" s="505"/>
      <c r="R91" s="505"/>
      <c r="S91" s="106"/>
      <c r="T91" s="505" t="e">
        <f>_xlfn.XLOOKUP('MAPEO MALLA'!T89,'ASIGNACIÓN ASIGNATURAS'!$AD:$AD,'ASIGNACIÓN ASIGNATURAS'!$AG:$AG,"",0)</f>
        <v>#N/A</v>
      </c>
      <c r="U91" s="505"/>
      <c r="V91" s="505"/>
      <c r="W91" s="30"/>
      <c r="X91" s="523"/>
      <c r="Y91" s="306"/>
      <c r="Z91" s="510"/>
      <c r="AA91" s="334"/>
      <c r="AB91" s="507"/>
      <c r="AC91" s="30"/>
      <c r="AD91" s="24"/>
      <c r="AE91" s="106"/>
      <c r="AF91" s="505" t="e">
        <f>_xlfn.XLOOKUP('MAPEO MALLA'!AF89,'ASIGNACIÓN ASIGNATURAS'!$AD:$AD,'ASIGNACIÓN ASIGNATURAS'!$AG:$AG,"",0)</f>
        <v>#N/A</v>
      </c>
      <c r="AG91" s="505"/>
      <c r="AH91" s="505"/>
      <c r="AI91" s="106"/>
      <c r="AJ91" s="505" t="e">
        <f>_xlfn.XLOOKUP('MAPEO MALLA'!AJ89,'ASIGNACIÓN ASIGNATURAS'!$AD:$AD,'ASIGNACIÓN ASIGNATURAS'!$AG:$AG,"",0)</f>
        <v>#N/A</v>
      </c>
      <c r="AK91" s="505"/>
      <c r="AL91" s="505"/>
      <c r="AM91" s="30"/>
      <c r="AN91" s="556" t="e">
        <f>_xlfn.XLOOKUP('MAPEO MALLA'!AN89,'ASIGNACIÓN ASIGNATURAS'!$AD:$AD,'ASIGNACIÓN ASIGNATURAS'!$AG:$AG,"",0)</f>
        <v>#N/A</v>
      </c>
      <c r="AO91" s="557"/>
      <c r="AP91" s="558"/>
      <c r="AQ91" s="12"/>
      <c r="AR91" s="551"/>
      <c r="AS91" s="335"/>
      <c r="AT91" s="510"/>
      <c r="AU91" s="334"/>
      <c r="AV91" s="507"/>
      <c r="AW91" s="30"/>
      <c r="AX91" s="24"/>
      <c r="AY91" s="106"/>
      <c r="AZ91" s="505" t="e">
        <f>_xlfn.XLOOKUP('MAPEO MALLA'!AZ89,'ASIGNACIÓN ASIGNATURAS'!$AD:$AD,'ASIGNACIÓN ASIGNATURAS'!$AG:$AG,"",0)</f>
        <v>#N/A</v>
      </c>
      <c r="BA91" s="505"/>
      <c r="BB91" s="505"/>
      <c r="BC91" s="106"/>
      <c r="BD91" s="505" t="e">
        <f>_xlfn.XLOOKUP('MAPEO MALLA'!BD89,'ASIGNACIÓN ASIGNATURAS'!$AD:$AD,'ASIGNACIÓN ASIGNATURAS'!$AG:$AG,"",0)</f>
        <v>#N/A</v>
      </c>
      <c r="BE91" s="505"/>
      <c r="BF91" s="505"/>
      <c r="BG91" s="106"/>
      <c r="BH91" s="505" t="e">
        <f>_xlfn.XLOOKUP('MAPEO MALLA'!BH89,'ASIGNACIÓN ASIGNATURAS'!$AD:$AD,'ASIGNACIÓN ASIGNATURAS'!$AG:$AG,"",0)</f>
        <v>#N/A</v>
      </c>
      <c r="BI91" s="505"/>
      <c r="BJ91" s="505"/>
      <c r="BK91" s="30"/>
      <c r="BL91" s="551"/>
      <c r="BM91" s="336"/>
      <c r="BN91" s="510"/>
      <c r="BO91" s="336"/>
      <c r="BP91" s="507"/>
      <c r="BQ91" s="18"/>
      <c r="BR91" s="49"/>
    </row>
    <row r="92" spans="1:70" ht="60.6" x14ac:dyDescent="0.75">
      <c r="A92" s="12"/>
      <c r="B92" s="14"/>
      <c r="C92" s="523"/>
      <c r="D92" s="10"/>
      <c r="E92" s="523"/>
      <c r="F92" s="18"/>
      <c r="G92" s="30"/>
      <c r="H92" s="505"/>
      <c r="I92" s="505"/>
      <c r="J92" s="505"/>
      <c r="K92" s="51"/>
      <c r="L92" s="505"/>
      <c r="M92" s="505"/>
      <c r="N92" s="505"/>
      <c r="O92" s="51"/>
      <c r="P92" s="505"/>
      <c r="Q92" s="505"/>
      <c r="R92" s="505"/>
      <c r="S92" s="51"/>
      <c r="T92" s="505"/>
      <c r="U92" s="505"/>
      <c r="V92" s="505"/>
      <c r="W92" s="30"/>
      <c r="X92" s="523"/>
      <c r="Y92" s="306"/>
      <c r="Z92" s="510"/>
      <c r="AA92" s="334"/>
      <c r="AB92" s="507"/>
      <c r="AC92" s="30"/>
      <c r="AD92" s="24"/>
      <c r="AE92" s="51"/>
      <c r="AF92" s="505"/>
      <c r="AG92" s="505"/>
      <c r="AH92" s="505"/>
      <c r="AI92" s="51"/>
      <c r="AJ92" s="505"/>
      <c r="AK92" s="505"/>
      <c r="AL92" s="505"/>
      <c r="AM92" s="30"/>
      <c r="AN92" s="559"/>
      <c r="AO92" s="560"/>
      <c r="AP92" s="561"/>
      <c r="AQ92" s="12"/>
      <c r="AR92" s="551"/>
      <c r="AS92" s="335"/>
      <c r="AT92" s="510"/>
      <c r="AU92" s="334"/>
      <c r="AV92" s="507"/>
      <c r="AW92" s="30"/>
      <c r="AX92" s="24"/>
      <c r="AY92" s="51"/>
      <c r="AZ92" s="505"/>
      <c r="BA92" s="505"/>
      <c r="BB92" s="505"/>
      <c r="BC92" s="51"/>
      <c r="BD92" s="505"/>
      <c r="BE92" s="505"/>
      <c r="BF92" s="505"/>
      <c r="BG92" s="51"/>
      <c r="BH92" s="505"/>
      <c r="BI92" s="505"/>
      <c r="BJ92" s="505"/>
      <c r="BK92" s="30"/>
      <c r="BL92" s="551"/>
      <c r="BM92" s="336"/>
      <c r="BN92" s="510"/>
      <c r="BO92" s="336"/>
      <c r="BP92" s="507"/>
      <c r="BQ92" s="18"/>
      <c r="BR92" s="49"/>
    </row>
    <row r="93" spans="1:70" ht="51.75" customHeight="1" x14ac:dyDescent="0.75">
      <c r="A93" s="12"/>
      <c r="B93" s="14"/>
      <c r="C93" s="523"/>
      <c r="D93" s="10"/>
      <c r="E93" s="523"/>
      <c r="F93" s="18"/>
      <c r="G93" s="30"/>
      <c r="H93" s="444" t="e">
        <f>_xlfn.XLOOKUP('MAPEO MALLA'!H89,'ASIGNACIÓN ASIGNATURAS'!$AD:$AD,'ASIGNACIÓN ASIGNATURAS'!$T:$T,"",0)</f>
        <v>#N/A</v>
      </c>
      <c r="I93" s="459" t="e">
        <f>_xlfn.XLOOKUP('MAPEO MALLA'!H89,'ASIGNACIÓN ASIGNATURAS'!$AD:$AD,'ASIGNACIÓN ASIGNATURAS'!$U:$U,"",0)</f>
        <v>#N/A</v>
      </c>
      <c r="J93" s="443" t="e">
        <f>IF(H93="",,(H93+I93)/48)</f>
        <v>#N/A</v>
      </c>
      <c r="K93" s="106"/>
      <c r="L93" s="444" t="e">
        <f>_xlfn.XLOOKUP('MAPEO MALLA'!L89,'ASIGNACIÓN ASIGNATURAS'!$AD:$AD,'ASIGNACIÓN ASIGNATURAS'!$T:$T,"",0)</f>
        <v>#N/A</v>
      </c>
      <c r="M93" s="459" t="e">
        <f>_xlfn.XLOOKUP('MAPEO MALLA'!L89,'ASIGNACIÓN ASIGNATURAS'!$AD:$AD,'ASIGNACIÓN ASIGNATURAS'!$U:$U,"",0)</f>
        <v>#N/A</v>
      </c>
      <c r="N93" s="443" t="e">
        <f>IF(L93="",,(L93+M93)/48)</f>
        <v>#N/A</v>
      </c>
      <c r="O93" s="106"/>
      <c r="P93" s="444" t="e">
        <f>_xlfn.XLOOKUP('MAPEO MALLA'!P89,'ASIGNACIÓN ASIGNATURAS'!$AD:$AD,'ASIGNACIÓN ASIGNATURAS'!$T:$T,"",0)</f>
        <v>#N/A</v>
      </c>
      <c r="Q93" s="459" t="e">
        <f>_xlfn.XLOOKUP('MAPEO MALLA'!P89,'ASIGNACIÓN ASIGNATURAS'!$AD:$AD,'ASIGNACIÓN ASIGNATURAS'!$U:$U,"",0)</f>
        <v>#N/A</v>
      </c>
      <c r="R93" s="443" t="e">
        <f>IF(P93="",,(P93+Q93)/48)</f>
        <v>#N/A</v>
      </c>
      <c r="S93" s="106"/>
      <c r="T93" s="444" t="e">
        <f>_xlfn.XLOOKUP('MAPEO MALLA'!T89,'ASIGNACIÓN ASIGNATURAS'!$AD:$AD,'ASIGNACIÓN ASIGNATURAS'!$T:$T,"",0)</f>
        <v>#N/A</v>
      </c>
      <c r="U93" s="459" t="e">
        <f>_xlfn.XLOOKUP('MAPEO MALLA'!T89,'ASIGNACIÓN ASIGNATURAS'!$AD:$AD,'ASIGNACIÓN ASIGNATURAS'!$U:$U,"",0)</f>
        <v>#N/A</v>
      </c>
      <c r="V93" s="443" t="e">
        <f>IF(T93="",,(T93+U93)/48)</f>
        <v>#N/A</v>
      </c>
      <c r="W93" s="30"/>
      <c r="X93" s="523"/>
      <c r="Y93" s="306"/>
      <c r="Z93" s="510"/>
      <c r="AA93" s="334"/>
      <c r="AB93" s="507"/>
      <c r="AC93" s="30"/>
      <c r="AD93" s="24"/>
      <c r="AE93" s="106"/>
      <c r="AF93" s="444" t="e">
        <f>_xlfn.XLOOKUP('MAPEO MALLA'!AF89,'ASIGNACIÓN ASIGNATURAS'!$AD:$AD,'ASIGNACIÓN ASIGNATURAS'!$T:$T,"",0)</f>
        <v>#N/A</v>
      </c>
      <c r="AG93" s="459" t="e">
        <f>_xlfn.XLOOKUP('MAPEO MALLA'!AF89,'ASIGNACIÓN ASIGNATURAS'!$AD:$AD,'ASIGNACIÓN ASIGNATURAS'!$U:$U,"",0)</f>
        <v>#N/A</v>
      </c>
      <c r="AH93" s="443" t="e">
        <f>IF(AF93="",,(AF93+AG93)/48)</f>
        <v>#N/A</v>
      </c>
      <c r="AI93" s="106"/>
      <c r="AJ93" s="444" t="e">
        <f>_xlfn.XLOOKUP('MAPEO MALLA'!AJ89,'ASIGNACIÓN ASIGNATURAS'!$AD:$AD,'ASIGNACIÓN ASIGNATURAS'!$T:$T,"",0)</f>
        <v>#N/A</v>
      </c>
      <c r="AK93" s="459" t="e">
        <f>_xlfn.XLOOKUP('MAPEO MALLA'!AJ89,'ASIGNACIÓN ASIGNATURAS'!$AD:$AD,'ASIGNACIÓN ASIGNATURAS'!$U:$U,"",0)</f>
        <v>#N/A</v>
      </c>
      <c r="AL93" s="443" t="e">
        <f>IF(AJ93="",,(AJ93+AK93)/48)</f>
        <v>#N/A</v>
      </c>
      <c r="AM93" s="30"/>
      <c r="AN93" s="83" t="e">
        <f>_xlfn.XLOOKUP('MAPEO MALLA'!AN89,'ASIGNACIÓN ASIGNATURAS'!$AD:$AD,'ASIGNACIÓN ASIGNATURAS'!$T:$T,"",0)</f>
        <v>#N/A</v>
      </c>
      <c r="AO93" s="84" t="e">
        <f>_xlfn.XLOOKUP('MAPEO MALLA'!AN89,'ASIGNACIÓN ASIGNATURAS'!$AD:$AD,'ASIGNACIÓN ASIGNATURAS'!$U:$U,"",0)</f>
        <v>#N/A</v>
      </c>
      <c r="AP93" s="85" t="e">
        <f>IF(AN93="",,(AN93+AO93)/48)</f>
        <v>#N/A</v>
      </c>
      <c r="AQ93" s="12"/>
      <c r="AR93" s="551"/>
      <c r="AS93" s="335"/>
      <c r="AT93" s="510"/>
      <c r="AU93" s="334"/>
      <c r="AV93" s="507"/>
      <c r="AW93" s="30"/>
      <c r="AX93" s="24"/>
      <c r="AY93" s="106"/>
      <c r="AZ93" s="444" t="e">
        <f>_xlfn.XLOOKUP('MAPEO MALLA'!AZ89,'ASIGNACIÓN ASIGNATURAS'!$AD:$AD,'ASIGNACIÓN ASIGNATURAS'!$T:$T,"",0)</f>
        <v>#N/A</v>
      </c>
      <c r="BA93" s="459" t="e">
        <f>_xlfn.XLOOKUP('MAPEO MALLA'!AZ89,'ASIGNACIÓN ASIGNATURAS'!$AD:$AD,'ASIGNACIÓN ASIGNATURAS'!$U:$U,"",0)</f>
        <v>#N/A</v>
      </c>
      <c r="BB93" s="443" t="e">
        <f>IF(AZ93="",,(AZ93+BA93)/48)</f>
        <v>#N/A</v>
      </c>
      <c r="BC93" s="106"/>
      <c r="BD93" s="444" t="e">
        <f>_xlfn.XLOOKUP('MAPEO MALLA'!BD89,'ASIGNACIÓN ASIGNATURAS'!$AD:$AD,'ASIGNACIÓN ASIGNATURAS'!$T:$T,"",0)</f>
        <v>#N/A</v>
      </c>
      <c r="BE93" s="459" t="e">
        <f>_xlfn.XLOOKUP('MAPEO MALLA'!BD89,'ASIGNACIÓN ASIGNATURAS'!$AD:$AD,'ASIGNACIÓN ASIGNATURAS'!$U:$U,"",0)</f>
        <v>#N/A</v>
      </c>
      <c r="BF93" s="443" t="e">
        <f>IF(BD93="",,(BD93+BE93)/48)</f>
        <v>#N/A</v>
      </c>
      <c r="BG93" s="106"/>
      <c r="BH93" s="444" t="e">
        <f>_xlfn.XLOOKUP('MAPEO MALLA'!BH89,'ASIGNACIÓN ASIGNATURAS'!$AD:$AD,'ASIGNACIÓN ASIGNATURAS'!$T:$T,"",0)</f>
        <v>#N/A</v>
      </c>
      <c r="BI93" s="459" t="e">
        <f>_xlfn.XLOOKUP('MAPEO MALLA'!BH89,'ASIGNACIÓN ASIGNATURAS'!$AD:$AD,'ASIGNACIÓN ASIGNATURAS'!$U:$U,"",0)</f>
        <v>#N/A</v>
      </c>
      <c r="BJ93" s="443" t="e">
        <f>IF(BH93="",,(BH93+BI93)/48)</f>
        <v>#N/A</v>
      </c>
      <c r="BK93" s="30"/>
      <c r="BL93" s="551"/>
      <c r="BM93" s="336"/>
      <c r="BN93" s="510"/>
      <c r="BO93" s="336"/>
      <c r="BP93" s="507"/>
      <c r="BQ93" s="18"/>
      <c r="BR93" s="49"/>
    </row>
    <row r="94" spans="1:70" ht="60.6" x14ac:dyDescent="0.75">
      <c r="A94" s="12"/>
      <c r="B94" s="14"/>
      <c r="C94" s="523"/>
      <c r="D94" s="10"/>
      <c r="E94" s="145"/>
      <c r="F94" s="18"/>
      <c r="G94" s="30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337"/>
      <c r="Y94" s="338"/>
      <c r="Z94" s="510"/>
      <c r="AA94" s="334"/>
      <c r="AB94" s="507"/>
      <c r="AC94" s="30"/>
      <c r="AD94" s="24"/>
      <c r="AE94" s="51"/>
      <c r="AF94" s="51"/>
      <c r="AG94" s="51"/>
      <c r="AH94" s="51"/>
      <c r="AI94" s="51"/>
      <c r="AJ94" s="51"/>
      <c r="AK94" s="51"/>
      <c r="AL94" s="51"/>
      <c r="AM94" s="51"/>
      <c r="AN94" s="88"/>
      <c r="AO94" s="88"/>
      <c r="AP94" s="88"/>
      <c r="AQ94" s="13"/>
      <c r="AR94" s="318"/>
      <c r="AS94" s="322"/>
      <c r="AT94" s="510"/>
      <c r="AU94" s="334"/>
      <c r="AV94" s="507"/>
      <c r="AW94" s="30"/>
      <c r="AX94" s="24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318"/>
      <c r="BM94" s="339"/>
      <c r="BN94" s="510"/>
      <c r="BO94" s="336"/>
      <c r="BP94" s="507"/>
      <c r="BQ94" s="18"/>
      <c r="BR94" s="49"/>
    </row>
    <row r="95" spans="1:70" ht="111" customHeight="1" x14ac:dyDescent="0.75">
      <c r="A95" s="12"/>
      <c r="B95" s="14"/>
      <c r="C95" s="523"/>
      <c r="D95" s="10"/>
      <c r="E95" s="551" t="str">
        <f>'MAPEO MALLA'!$E$94</f>
        <v>Tecnología</v>
      </c>
      <c r="F95" s="18"/>
      <c r="G95" s="30"/>
      <c r="H95" s="504" t="str">
        <f>_xlfn.XLOOKUP('MAPEO MALLA'!H94,'ASIGNACIÓN ASIGNATURAS'!$AD:$AD,'ASIGNACIÓN ASIGNATURAS'!$O:$O,"",0)</f>
        <v/>
      </c>
      <c r="I95" s="504"/>
      <c r="J95" s="504"/>
      <c r="K95" s="51"/>
      <c r="L95" s="504" t="str">
        <f>_xlfn.XLOOKUP('MAPEO MALLA'!L94,'ASIGNACIÓN ASIGNATURAS'!$AD:$AD,'ASIGNACIÓN ASIGNATURAS'!$O:$O,"",0)</f>
        <v/>
      </c>
      <c r="M95" s="504"/>
      <c r="N95" s="504"/>
      <c r="O95" s="51"/>
      <c r="P95" s="504" t="str">
        <f>_xlfn.XLOOKUP('MAPEO MALLA'!P94,'ASIGNACIÓN ASIGNATURAS'!$AD:$AD,'ASIGNACIÓN ASIGNATURAS'!$O:$O,"",0)</f>
        <v/>
      </c>
      <c r="Q95" s="504"/>
      <c r="R95" s="504"/>
      <c r="S95" s="51"/>
      <c r="T95" s="504" t="str">
        <f>_xlfn.XLOOKUP('MAPEO MALLA'!T94,'ASIGNACIÓN ASIGNATURAS'!$AD:$AD,'ASIGNACIÓN ASIGNATURAS'!$O:$O,"",0)</f>
        <v/>
      </c>
      <c r="U95" s="504"/>
      <c r="V95" s="504"/>
      <c r="W95" s="30"/>
      <c r="X95" s="551">
        <f>J98+N98+R98+V98</f>
        <v>0</v>
      </c>
      <c r="Y95" s="306"/>
      <c r="Z95" s="510"/>
      <c r="AA95" s="334"/>
      <c r="AB95" s="507"/>
      <c r="AC95" s="30"/>
      <c r="AD95" s="24"/>
      <c r="AE95" s="51"/>
      <c r="AF95" s="504" t="str">
        <f>_xlfn.XLOOKUP('MAPEO MALLA'!AF94,'ASIGNACIÓN ASIGNATURAS'!$AD:$AD,'ASIGNACIÓN ASIGNATURAS'!$O:$O,"",0)</f>
        <v/>
      </c>
      <c r="AG95" s="504"/>
      <c r="AH95" s="504"/>
      <c r="AI95" s="51"/>
      <c r="AJ95" s="504" t="str">
        <f>_xlfn.XLOOKUP('MAPEO MALLA'!AJ94,'ASIGNACIÓN ASIGNATURAS'!$AD:$AD,'ASIGNACIÓN ASIGNATURAS'!$O:$O,"",0)</f>
        <v/>
      </c>
      <c r="AK95" s="504"/>
      <c r="AL95" s="504"/>
      <c r="AM95" s="30"/>
      <c r="AN95" s="553" t="str">
        <f>_xlfn.XLOOKUP('MAPEO MALLA'!AN94,'ASIGNACIÓN ASIGNATURAS'!$AD:$AD,'ASIGNACIÓN ASIGNATURAS'!$O:$O,"",0)</f>
        <v/>
      </c>
      <c r="AO95" s="554"/>
      <c r="AP95" s="555"/>
      <c r="AQ95" s="12"/>
      <c r="AR95" s="551">
        <f>+X95+AH98+AL98+AP98</f>
        <v>0</v>
      </c>
      <c r="AS95" s="335"/>
      <c r="AT95" s="510"/>
      <c r="AU95" s="334"/>
      <c r="AV95" s="507"/>
      <c r="AW95" s="30"/>
      <c r="AX95" s="24"/>
      <c r="AY95" s="51"/>
      <c r="AZ95" s="504" t="str">
        <f>_xlfn.XLOOKUP('MAPEO MALLA'!AZ94,'ASIGNACIÓN ASIGNATURAS'!$AD:$AD,'ASIGNACIÓN ASIGNATURAS'!$O:$O,"",0)</f>
        <v/>
      </c>
      <c r="BA95" s="504"/>
      <c r="BB95" s="504"/>
      <c r="BC95" s="51"/>
      <c r="BD95" s="504" t="str">
        <f>_xlfn.XLOOKUP('MAPEO MALLA'!BD94,'ASIGNACIÓN ASIGNATURAS'!$AD:$AD,'ASIGNACIÓN ASIGNATURAS'!$O:$O,"",0)</f>
        <v/>
      </c>
      <c r="BE95" s="504"/>
      <c r="BF95" s="504"/>
      <c r="BG95" s="51"/>
      <c r="BH95" s="504" t="str">
        <f>_xlfn.XLOOKUP('MAPEO MALLA'!BH94,'ASIGNACIÓN ASIGNATURAS'!$AD:$AD,'ASIGNACIÓN ASIGNATURAS'!$O:$O,"",0)</f>
        <v/>
      </c>
      <c r="BI95" s="504"/>
      <c r="BJ95" s="504"/>
      <c r="BK95" s="30"/>
      <c r="BL95" s="551">
        <f>+AR95+BB98+BF98+BJ98</f>
        <v>0</v>
      </c>
      <c r="BM95" s="336"/>
      <c r="BN95" s="510"/>
      <c r="BO95" s="336"/>
      <c r="BP95" s="507"/>
      <c r="BQ95" s="18"/>
      <c r="BR95" s="49"/>
    </row>
    <row r="96" spans="1:70" ht="60.45" customHeight="1" x14ac:dyDescent="0.75">
      <c r="A96" s="12"/>
      <c r="B96" s="14"/>
      <c r="C96" s="523"/>
      <c r="D96" s="10"/>
      <c r="E96" s="523"/>
      <c r="F96" s="18"/>
      <c r="G96" s="30"/>
      <c r="H96" s="505" t="str">
        <f>_xlfn.XLOOKUP('MAPEO MALLA'!H94,'ASIGNACIÓN ASIGNATURAS'!$AD:$AD,'ASIGNACIÓN ASIGNATURAS'!$AG:$AG,"",0)</f>
        <v/>
      </c>
      <c r="I96" s="505"/>
      <c r="J96" s="505"/>
      <c r="K96" s="106"/>
      <c r="L96" s="505" t="str">
        <f>_xlfn.XLOOKUP('MAPEO MALLA'!L94,'ASIGNACIÓN ASIGNATURAS'!$AD:$AD,'ASIGNACIÓN ASIGNATURAS'!$AG:$AG,"",0)</f>
        <v/>
      </c>
      <c r="M96" s="505"/>
      <c r="N96" s="505"/>
      <c r="O96" s="106"/>
      <c r="P96" s="505" t="str">
        <f>_xlfn.XLOOKUP('MAPEO MALLA'!P94,'ASIGNACIÓN ASIGNATURAS'!$AD:$AD,'ASIGNACIÓN ASIGNATURAS'!$AG:$AG,"",0)</f>
        <v/>
      </c>
      <c r="Q96" s="505"/>
      <c r="R96" s="505"/>
      <c r="S96" s="106"/>
      <c r="T96" s="505" t="str">
        <f>_xlfn.XLOOKUP('MAPEO MALLA'!T94,'ASIGNACIÓN ASIGNATURAS'!$AD:$AD,'ASIGNACIÓN ASIGNATURAS'!$AG:$AG,"",0)</f>
        <v/>
      </c>
      <c r="U96" s="505"/>
      <c r="V96" s="505"/>
      <c r="W96" s="30"/>
      <c r="X96" s="523"/>
      <c r="Y96" s="306"/>
      <c r="Z96" s="510"/>
      <c r="AA96" s="334"/>
      <c r="AB96" s="507"/>
      <c r="AC96" s="30"/>
      <c r="AD96" s="24"/>
      <c r="AE96" s="106"/>
      <c r="AF96" s="505" t="str">
        <f>_xlfn.XLOOKUP('MAPEO MALLA'!AF94,'ASIGNACIÓN ASIGNATURAS'!$AD:$AD,'ASIGNACIÓN ASIGNATURAS'!$AG:$AG,"",0)</f>
        <v/>
      </c>
      <c r="AG96" s="505"/>
      <c r="AH96" s="505"/>
      <c r="AI96" s="106"/>
      <c r="AJ96" s="505" t="str">
        <f>_xlfn.XLOOKUP('MAPEO MALLA'!AJ94,'ASIGNACIÓN ASIGNATURAS'!$AD:$AD,'ASIGNACIÓN ASIGNATURAS'!$AG:$AG,"",0)</f>
        <v/>
      </c>
      <c r="AK96" s="505"/>
      <c r="AL96" s="505"/>
      <c r="AM96" s="30"/>
      <c r="AN96" s="556" t="str">
        <f>_xlfn.XLOOKUP('MAPEO MALLA'!AN94,'ASIGNACIÓN ASIGNATURAS'!$AD:$AD,'ASIGNACIÓN ASIGNATURAS'!$AG:$AG,"",0)</f>
        <v/>
      </c>
      <c r="AO96" s="557"/>
      <c r="AP96" s="558"/>
      <c r="AQ96" s="12"/>
      <c r="AR96" s="551"/>
      <c r="AS96" s="335"/>
      <c r="AT96" s="510"/>
      <c r="AU96" s="334"/>
      <c r="AV96" s="507"/>
      <c r="AW96" s="30"/>
      <c r="AX96" s="24"/>
      <c r="AY96" s="106"/>
      <c r="AZ96" s="505" t="str">
        <f>_xlfn.XLOOKUP('MAPEO MALLA'!AZ94,'ASIGNACIÓN ASIGNATURAS'!$AD:$AD,'ASIGNACIÓN ASIGNATURAS'!$AG:$AG,"",0)</f>
        <v/>
      </c>
      <c r="BA96" s="505"/>
      <c r="BB96" s="505"/>
      <c r="BC96" s="106"/>
      <c r="BD96" s="505" t="str">
        <f>_xlfn.XLOOKUP('MAPEO MALLA'!BD94,'ASIGNACIÓN ASIGNATURAS'!$AD:$AD,'ASIGNACIÓN ASIGNATURAS'!$AG:$AG,"",0)</f>
        <v/>
      </c>
      <c r="BE96" s="505"/>
      <c r="BF96" s="505"/>
      <c r="BG96" s="106"/>
      <c r="BH96" s="505" t="str">
        <f>_xlfn.XLOOKUP('MAPEO MALLA'!BH94,'ASIGNACIÓN ASIGNATURAS'!$AD:$AD,'ASIGNACIÓN ASIGNATURAS'!$AG:$AG,"",0)</f>
        <v/>
      </c>
      <c r="BI96" s="505"/>
      <c r="BJ96" s="505"/>
      <c r="BK96" s="30"/>
      <c r="BL96" s="551"/>
      <c r="BM96" s="336"/>
      <c r="BN96" s="510"/>
      <c r="BO96" s="336"/>
      <c r="BP96" s="507"/>
      <c r="BQ96" s="18"/>
      <c r="BR96" s="49"/>
    </row>
    <row r="97" spans="1:70" ht="60.6" x14ac:dyDescent="0.75">
      <c r="A97" s="12"/>
      <c r="B97" s="14"/>
      <c r="C97" s="523"/>
      <c r="D97" s="10"/>
      <c r="E97" s="523"/>
      <c r="F97" s="18"/>
      <c r="G97" s="30"/>
      <c r="H97" s="505"/>
      <c r="I97" s="505"/>
      <c r="J97" s="505"/>
      <c r="K97" s="51"/>
      <c r="L97" s="505"/>
      <c r="M97" s="505"/>
      <c r="N97" s="505"/>
      <c r="O97" s="51"/>
      <c r="P97" s="505"/>
      <c r="Q97" s="505"/>
      <c r="R97" s="505"/>
      <c r="S97" s="51"/>
      <c r="T97" s="505"/>
      <c r="U97" s="505"/>
      <c r="V97" s="505"/>
      <c r="W97" s="30"/>
      <c r="X97" s="523"/>
      <c r="Y97" s="306"/>
      <c r="Z97" s="510"/>
      <c r="AA97" s="334"/>
      <c r="AB97" s="507"/>
      <c r="AC97" s="30"/>
      <c r="AD97" s="24"/>
      <c r="AE97" s="51"/>
      <c r="AF97" s="505"/>
      <c r="AG97" s="505"/>
      <c r="AH97" s="505"/>
      <c r="AI97" s="51"/>
      <c r="AJ97" s="505"/>
      <c r="AK97" s="505"/>
      <c r="AL97" s="505"/>
      <c r="AM97" s="30"/>
      <c r="AN97" s="559"/>
      <c r="AO97" s="560"/>
      <c r="AP97" s="561"/>
      <c r="AQ97" s="12"/>
      <c r="AR97" s="551"/>
      <c r="AS97" s="335"/>
      <c r="AT97" s="510"/>
      <c r="AU97" s="334"/>
      <c r="AV97" s="507"/>
      <c r="AW97" s="30"/>
      <c r="AX97" s="24"/>
      <c r="AY97" s="51"/>
      <c r="AZ97" s="505"/>
      <c r="BA97" s="505"/>
      <c r="BB97" s="505"/>
      <c r="BC97" s="51"/>
      <c r="BD97" s="505"/>
      <c r="BE97" s="505"/>
      <c r="BF97" s="505"/>
      <c r="BG97" s="51"/>
      <c r="BH97" s="505"/>
      <c r="BI97" s="505"/>
      <c r="BJ97" s="505"/>
      <c r="BK97" s="30"/>
      <c r="BL97" s="551"/>
      <c r="BM97" s="336"/>
      <c r="BN97" s="510"/>
      <c r="BO97" s="336"/>
      <c r="BP97" s="507"/>
      <c r="BQ97" s="18"/>
      <c r="BR97" s="49"/>
    </row>
    <row r="98" spans="1:70" ht="40.5" customHeight="1" x14ac:dyDescent="0.75">
      <c r="A98" s="12"/>
      <c r="B98" s="14"/>
      <c r="C98" s="523"/>
      <c r="D98" s="10"/>
      <c r="E98" s="523"/>
      <c r="F98" s="18"/>
      <c r="G98" s="30"/>
      <c r="H98" s="444" t="str">
        <f>_xlfn.XLOOKUP('MAPEO MALLA'!H94,'ASIGNACIÓN ASIGNATURAS'!$AD:$AD,'ASIGNACIÓN ASIGNATURAS'!$T:$T,"",0)</f>
        <v/>
      </c>
      <c r="I98" s="459" t="str">
        <f>_xlfn.XLOOKUP('MAPEO MALLA'!H94,'ASIGNACIÓN ASIGNATURAS'!$AD:$AD,'ASIGNACIÓN ASIGNATURAS'!$U:$U,"",0)</f>
        <v/>
      </c>
      <c r="J98" s="443">
        <f>IF(H98="",,(H98+I98)/48)</f>
        <v>0</v>
      </c>
      <c r="K98" s="106"/>
      <c r="L98" s="444" t="str">
        <f>_xlfn.XLOOKUP('MAPEO MALLA'!L94,'ASIGNACIÓN ASIGNATURAS'!$AD:$AD,'ASIGNACIÓN ASIGNATURAS'!$T:$T,"",0)</f>
        <v/>
      </c>
      <c r="M98" s="459" t="str">
        <f>_xlfn.XLOOKUP('MAPEO MALLA'!L94,'ASIGNACIÓN ASIGNATURAS'!$AD:$AD,'ASIGNACIÓN ASIGNATURAS'!$U:$U,"",0)</f>
        <v/>
      </c>
      <c r="N98" s="443">
        <f>IF(L98="",,(L98+M98)/48)</f>
        <v>0</v>
      </c>
      <c r="O98" s="106"/>
      <c r="P98" s="444" t="str">
        <f>_xlfn.XLOOKUP('MAPEO MALLA'!P94,'ASIGNACIÓN ASIGNATURAS'!$AD:$AD,'ASIGNACIÓN ASIGNATURAS'!$T:$T,"",0)</f>
        <v/>
      </c>
      <c r="Q98" s="459" t="str">
        <f>_xlfn.XLOOKUP('MAPEO MALLA'!P94,'ASIGNACIÓN ASIGNATURAS'!$AD:$AD,'ASIGNACIÓN ASIGNATURAS'!$U:$U,"",0)</f>
        <v/>
      </c>
      <c r="R98" s="443">
        <f>IF(P98="",,(P98+Q98)/48)</f>
        <v>0</v>
      </c>
      <c r="S98" s="106"/>
      <c r="T98" s="444" t="str">
        <f>_xlfn.XLOOKUP('MAPEO MALLA'!T94,'ASIGNACIÓN ASIGNATURAS'!$AD:$AD,'ASIGNACIÓN ASIGNATURAS'!$T:$T,"",0)</f>
        <v/>
      </c>
      <c r="U98" s="459" t="str">
        <f>_xlfn.XLOOKUP('MAPEO MALLA'!T94,'ASIGNACIÓN ASIGNATURAS'!$AD:$AD,'ASIGNACIÓN ASIGNATURAS'!$U:$U,"",0)</f>
        <v/>
      </c>
      <c r="V98" s="443">
        <f>IF(T98="",,(T98+U98)/48)</f>
        <v>0</v>
      </c>
      <c r="W98" s="30"/>
      <c r="X98" s="523"/>
      <c r="Y98" s="306"/>
      <c r="Z98" s="510"/>
      <c r="AA98" s="334"/>
      <c r="AB98" s="507"/>
      <c r="AC98" s="30"/>
      <c r="AD98" s="24"/>
      <c r="AE98" s="106"/>
      <c r="AF98" s="444" t="str">
        <f>_xlfn.XLOOKUP('MAPEO MALLA'!AF94,'ASIGNACIÓN ASIGNATURAS'!$AD:$AD,'ASIGNACIÓN ASIGNATURAS'!$T:$T,"",0)</f>
        <v/>
      </c>
      <c r="AG98" s="459" t="str">
        <f>_xlfn.XLOOKUP('MAPEO MALLA'!AF94,'ASIGNACIÓN ASIGNATURAS'!$AD:$AD,'ASIGNACIÓN ASIGNATURAS'!$U:$U,"",0)</f>
        <v/>
      </c>
      <c r="AH98" s="443">
        <f>IF(AF98="",,(AF98+AG98)/48)</f>
        <v>0</v>
      </c>
      <c r="AI98" s="106"/>
      <c r="AJ98" s="444" t="str">
        <f>_xlfn.XLOOKUP('MAPEO MALLA'!AJ94,'ASIGNACIÓN ASIGNATURAS'!$AD:$AD,'ASIGNACIÓN ASIGNATURAS'!$T:$T,"",0)</f>
        <v/>
      </c>
      <c r="AK98" s="459" t="str">
        <f>_xlfn.XLOOKUP('MAPEO MALLA'!AJ94,'ASIGNACIÓN ASIGNATURAS'!$AD:$AD,'ASIGNACIÓN ASIGNATURAS'!$U:$U,"",0)</f>
        <v/>
      </c>
      <c r="AL98" s="443">
        <f>IF(AJ98="",,(AJ98+AK98)/48)</f>
        <v>0</v>
      </c>
      <c r="AM98" s="30"/>
      <c r="AN98" s="83" t="str">
        <f>_xlfn.XLOOKUP('MAPEO MALLA'!AN94,'ASIGNACIÓN ASIGNATURAS'!$AD:$AD,'ASIGNACIÓN ASIGNATURAS'!$T:$T,"",0)</f>
        <v/>
      </c>
      <c r="AO98" s="84" t="str">
        <f>_xlfn.XLOOKUP('MAPEO MALLA'!AN94,'ASIGNACIÓN ASIGNATURAS'!$AD:$AD,'ASIGNACIÓN ASIGNATURAS'!$U:$U,"",0)</f>
        <v/>
      </c>
      <c r="AP98" s="85">
        <f>IF(AN98="",,(AN98+AO98)/48)</f>
        <v>0</v>
      </c>
      <c r="AQ98" s="12"/>
      <c r="AR98" s="551"/>
      <c r="AS98" s="335"/>
      <c r="AT98" s="510"/>
      <c r="AU98" s="334"/>
      <c r="AV98" s="507"/>
      <c r="AW98" s="30"/>
      <c r="AX98" s="97"/>
      <c r="AY98" s="106"/>
      <c r="AZ98" s="444" t="str">
        <f>_xlfn.XLOOKUP('MAPEO MALLA'!AZ94,'ASIGNACIÓN ASIGNATURAS'!$AD:$AD,'ASIGNACIÓN ASIGNATURAS'!$T:$T,"",0)</f>
        <v/>
      </c>
      <c r="BA98" s="459" t="str">
        <f>_xlfn.XLOOKUP('MAPEO MALLA'!AZ94,'ASIGNACIÓN ASIGNATURAS'!$AD:$AD,'ASIGNACIÓN ASIGNATURAS'!$U:$U,"",0)</f>
        <v/>
      </c>
      <c r="BB98" s="443">
        <f>IF(AZ98="",,(AZ98+BA98)/48)</f>
        <v>0</v>
      </c>
      <c r="BC98" s="106"/>
      <c r="BD98" s="444" t="str">
        <f>_xlfn.XLOOKUP('MAPEO MALLA'!BD94,'ASIGNACIÓN ASIGNATURAS'!$AD:$AD,'ASIGNACIÓN ASIGNATURAS'!$T:$T,"",0)</f>
        <v/>
      </c>
      <c r="BE98" s="459" t="str">
        <f>_xlfn.XLOOKUP('MAPEO MALLA'!BD94,'ASIGNACIÓN ASIGNATURAS'!$AD:$AD,'ASIGNACIÓN ASIGNATURAS'!$U:$U,"",0)</f>
        <v/>
      </c>
      <c r="BF98" s="443">
        <f>IF(BD98="",,(BD98+BE98)/48)</f>
        <v>0</v>
      </c>
      <c r="BG98" s="106"/>
      <c r="BH98" s="444" t="str">
        <f>_xlfn.XLOOKUP('MAPEO MALLA'!BH94,'ASIGNACIÓN ASIGNATURAS'!$AD:$AD,'ASIGNACIÓN ASIGNATURAS'!$T:$T,"",0)</f>
        <v/>
      </c>
      <c r="BI98" s="459" t="str">
        <f>_xlfn.XLOOKUP('MAPEO MALLA'!BH94,'ASIGNACIÓN ASIGNATURAS'!$AD:$AD,'ASIGNACIÓN ASIGNATURAS'!$U:$U,"",0)</f>
        <v/>
      </c>
      <c r="BJ98" s="443">
        <f>IF(BH98="",,(BH98+BI98)/48)</f>
        <v>0</v>
      </c>
      <c r="BK98" s="30"/>
      <c r="BL98" s="551"/>
      <c r="BM98" s="336"/>
      <c r="BN98" s="510"/>
      <c r="BO98" s="336"/>
      <c r="BP98" s="507"/>
      <c r="BQ98" s="18"/>
      <c r="BR98" s="49"/>
    </row>
    <row r="99" spans="1:70" ht="60.6" x14ac:dyDescent="0.75">
      <c r="A99" s="12"/>
      <c r="B99" s="14"/>
      <c r="C99" s="523"/>
      <c r="D99" s="10"/>
      <c r="E99" s="10"/>
      <c r="F99" s="18"/>
      <c r="G99" s="30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337"/>
      <c r="Y99" s="338"/>
      <c r="Z99" s="510"/>
      <c r="AA99" s="334"/>
      <c r="AB99" s="507"/>
      <c r="AC99" s="30"/>
      <c r="AD99" s="24"/>
      <c r="AE99" s="51"/>
      <c r="AF99" s="51"/>
      <c r="AG99" s="51"/>
      <c r="AH99" s="51"/>
      <c r="AI99" s="51"/>
      <c r="AJ99" s="51"/>
      <c r="AK99" s="51"/>
      <c r="AL99" s="51"/>
      <c r="AM99" s="51"/>
      <c r="AN99" s="151"/>
      <c r="AO99" s="151"/>
      <c r="AP99" s="151"/>
      <c r="AQ99" s="13"/>
      <c r="AR99" s="318"/>
      <c r="AS99" s="322"/>
      <c r="AT99" s="510"/>
      <c r="AU99" s="334"/>
      <c r="AV99" s="507"/>
      <c r="AW99" s="30"/>
      <c r="AX99" s="97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318"/>
      <c r="BM99" s="339"/>
      <c r="BN99" s="510"/>
      <c r="BO99" s="336"/>
      <c r="BP99" s="507"/>
      <c r="BQ99" s="18"/>
      <c r="BR99" s="49"/>
    </row>
    <row r="100" spans="1:70" ht="103.5" customHeight="1" x14ac:dyDescent="0.75">
      <c r="A100" s="12"/>
      <c r="B100" s="14"/>
      <c r="C100" s="523"/>
      <c r="D100" s="10"/>
      <c r="E100" s="551" t="str">
        <f>'MAPEO MALLA'!$E$99</f>
        <v>Investigación</v>
      </c>
      <c r="F100" s="18"/>
      <c r="G100" s="30"/>
      <c r="H100" s="504" t="str">
        <f>_xlfn.XLOOKUP('MAPEO MALLA'!H99,'ASIGNACIÓN ASIGNATURAS'!$AD:$AD,'ASIGNACIÓN ASIGNATURAS'!$O:$O,"",0)</f>
        <v/>
      </c>
      <c r="I100" s="504"/>
      <c r="J100" s="504"/>
      <c r="K100" s="51"/>
      <c r="L100" s="504" t="str">
        <f>_xlfn.XLOOKUP('MAPEO MALLA'!L99,'ASIGNACIÓN ASIGNATURAS'!$AD:$AD,'ASIGNACIÓN ASIGNATURAS'!$O:$O,"",0)</f>
        <v/>
      </c>
      <c r="M100" s="504"/>
      <c r="N100" s="504"/>
      <c r="O100" s="51"/>
      <c r="P100" s="504" t="str">
        <f>_xlfn.XLOOKUP('MAPEO MALLA'!P99,'ASIGNACIÓN ASIGNATURAS'!$AD:$AD,'ASIGNACIÓN ASIGNATURAS'!$O:$O,"",0)</f>
        <v/>
      </c>
      <c r="Q100" s="504"/>
      <c r="R100" s="504"/>
      <c r="S100" s="51"/>
      <c r="T100" s="504" t="str">
        <f>_xlfn.XLOOKUP('MAPEO MALLA'!T99,'ASIGNACIÓN ASIGNATURAS'!$AD:$AD,'ASIGNACIÓN ASIGNATURAS'!$O:$O,"",0)</f>
        <v/>
      </c>
      <c r="U100" s="504"/>
      <c r="V100" s="504"/>
      <c r="W100" s="30"/>
      <c r="X100" s="551">
        <f>J103+N103+R103+V103</f>
        <v>0</v>
      </c>
      <c r="Y100" s="306"/>
      <c r="Z100" s="510"/>
      <c r="AA100" s="334"/>
      <c r="AB100" s="507"/>
      <c r="AC100" s="30"/>
      <c r="AD100" s="24"/>
      <c r="AE100" s="51"/>
      <c r="AF100" s="504" t="str">
        <f>_xlfn.XLOOKUP('MAPEO MALLA'!AF99,'ASIGNACIÓN ASIGNATURAS'!$AD:$AD,'ASIGNACIÓN ASIGNATURAS'!$O:$O,"",0)</f>
        <v/>
      </c>
      <c r="AG100" s="504"/>
      <c r="AH100" s="504"/>
      <c r="AI100" s="51"/>
      <c r="AJ100" s="504" t="str">
        <f>_xlfn.XLOOKUP('MAPEO MALLA'!AJ99,'ASIGNACIÓN ASIGNATURAS'!$AD:$AD,'ASIGNACIÓN ASIGNATURAS'!$O:$O,"",0)</f>
        <v/>
      </c>
      <c r="AK100" s="504"/>
      <c r="AL100" s="504"/>
      <c r="AM100" s="30"/>
      <c r="AN100" s="553" t="str">
        <f>_xlfn.XLOOKUP('MAPEO MALLA'!AN99,'ASIGNACIÓN ASIGNATURAS'!$AD:$AD,'ASIGNACIÓN ASIGNATURAS'!$O:$O,"",0)</f>
        <v/>
      </c>
      <c r="AO100" s="554"/>
      <c r="AP100" s="555"/>
      <c r="AQ100" s="12"/>
      <c r="AR100" s="551">
        <f>+X100+AH103+AL103+AP103</f>
        <v>0</v>
      </c>
      <c r="AS100" s="335"/>
      <c r="AT100" s="510"/>
      <c r="AU100" s="334"/>
      <c r="AV100" s="507"/>
      <c r="AW100" s="30"/>
      <c r="AX100" s="97"/>
      <c r="AY100" s="51"/>
      <c r="AZ100" s="504" t="str">
        <f>_xlfn.XLOOKUP('MAPEO MALLA'!AZ99,'ASIGNACIÓN ASIGNATURAS'!$AD:$AD,'ASIGNACIÓN ASIGNATURAS'!$O:$O,"",0)</f>
        <v/>
      </c>
      <c r="BA100" s="504"/>
      <c r="BB100" s="504"/>
      <c r="BC100" s="51"/>
      <c r="BD100" s="504" t="str">
        <f>_xlfn.XLOOKUP('MAPEO MALLA'!BD99,'ASIGNACIÓN ASIGNATURAS'!$AD:$AD,'ASIGNACIÓN ASIGNATURAS'!$O:$O,"",0)</f>
        <v/>
      </c>
      <c r="BE100" s="504"/>
      <c r="BF100" s="504"/>
      <c r="BG100" s="51"/>
      <c r="BH100" s="504" t="str">
        <f>_xlfn.XLOOKUP('MAPEO MALLA'!BH99,'ASIGNACIÓN ASIGNATURAS'!$AD:$AD,'ASIGNACIÓN ASIGNATURAS'!$O:$O,"",0)</f>
        <v/>
      </c>
      <c r="BI100" s="504"/>
      <c r="BJ100" s="504"/>
      <c r="BK100" s="30"/>
      <c r="BL100" s="551">
        <f>+AR100+BB103+BF103+BJ103</f>
        <v>0</v>
      </c>
      <c r="BM100" s="336"/>
      <c r="BN100" s="510"/>
      <c r="BO100" s="336"/>
      <c r="BP100" s="507"/>
      <c r="BQ100" s="18"/>
      <c r="BR100" s="49"/>
    </row>
    <row r="101" spans="1:70" ht="60.45" customHeight="1" x14ac:dyDescent="0.75">
      <c r="A101" s="12"/>
      <c r="B101" s="14"/>
      <c r="C101" s="523"/>
      <c r="D101" s="10"/>
      <c r="E101" s="523"/>
      <c r="F101" s="18"/>
      <c r="G101" s="30"/>
      <c r="H101" s="505" t="str">
        <f>_xlfn.XLOOKUP('MAPEO MALLA'!H99,'ASIGNACIÓN ASIGNATURAS'!$AD:$AD,'ASIGNACIÓN ASIGNATURAS'!$AG:$AG,"",0)</f>
        <v/>
      </c>
      <c r="I101" s="505"/>
      <c r="J101" s="505"/>
      <c r="K101" s="106"/>
      <c r="L101" s="505" t="str">
        <f>_xlfn.XLOOKUP('MAPEO MALLA'!L99,'ASIGNACIÓN ASIGNATURAS'!$AD:$AD,'ASIGNACIÓN ASIGNATURAS'!$AG:$AG,"",0)</f>
        <v/>
      </c>
      <c r="M101" s="505"/>
      <c r="N101" s="505"/>
      <c r="O101" s="106"/>
      <c r="P101" s="505" t="str">
        <f>_xlfn.XLOOKUP('MAPEO MALLA'!P99,'ASIGNACIÓN ASIGNATURAS'!$AD:$AD,'ASIGNACIÓN ASIGNATURAS'!$AG:$AG,"",0)</f>
        <v/>
      </c>
      <c r="Q101" s="505"/>
      <c r="R101" s="505"/>
      <c r="S101" s="106"/>
      <c r="T101" s="505" t="str">
        <f>_xlfn.XLOOKUP('MAPEO MALLA'!T99,'ASIGNACIÓN ASIGNATURAS'!$AD:$AD,'ASIGNACIÓN ASIGNATURAS'!$AG:$AG,"",0)</f>
        <v/>
      </c>
      <c r="U101" s="505"/>
      <c r="V101" s="505"/>
      <c r="W101" s="30"/>
      <c r="X101" s="523"/>
      <c r="Y101" s="306"/>
      <c r="Z101" s="510"/>
      <c r="AA101" s="334"/>
      <c r="AB101" s="507"/>
      <c r="AC101" s="30"/>
      <c r="AD101" s="24"/>
      <c r="AE101" s="106"/>
      <c r="AF101" s="505" t="str">
        <f>_xlfn.XLOOKUP('MAPEO MALLA'!AF99,'ASIGNACIÓN ASIGNATURAS'!$AD:$AD,'ASIGNACIÓN ASIGNATURAS'!$AG:$AG,"",0)</f>
        <v/>
      </c>
      <c r="AG101" s="505"/>
      <c r="AH101" s="505"/>
      <c r="AI101" s="106"/>
      <c r="AJ101" s="505" t="str">
        <f>_xlfn.XLOOKUP('MAPEO MALLA'!AJ99,'ASIGNACIÓN ASIGNATURAS'!$AD:$AD,'ASIGNACIÓN ASIGNATURAS'!$AG:$AG,"",0)</f>
        <v/>
      </c>
      <c r="AK101" s="505"/>
      <c r="AL101" s="505"/>
      <c r="AM101" s="30"/>
      <c r="AN101" s="556" t="str">
        <f>_xlfn.XLOOKUP('MAPEO MALLA'!AN99,'ASIGNACIÓN ASIGNATURAS'!$AD:$AD,'ASIGNACIÓN ASIGNATURAS'!$AG:$AG,"",0)</f>
        <v/>
      </c>
      <c r="AO101" s="557"/>
      <c r="AP101" s="558"/>
      <c r="AQ101" s="12"/>
      <c r="AR101" s="551"/>
      <c r="AS101" s="335"/>
      <c r="AT101" s="510"/>
      <c r="AU101" s="334"/>
      <c r="AV101" s="507"/>
      <c r="AW101" s="30"/>
      <c r="AX101" s="97"/>
      <c r="AY101" s="106"/>
      <c r="AZ101" s="505" t="str">
        <f>_xlfn.XLOOKUP('MAPEO MALLA'!AZ99,'ASIGNACIÓN ASIGNATURAS'!$AD:$AD,'ASIGNACIÓN ASIGNATURAS'!$AG:$AG,"",0)</f>
        <v/>
      </c>
      <c r="BA101" s="505"/>
      <c r="BB101" s="505"/>
      <c r="BC101" s="106"/>
      <c r="BD101" s="505" t="str">
        <f>_xlfn.XLOOKUP('MAPEO MALLA'!BD99,'ASIGNACIÓN ASIGNATURAS'!$AD:$AD,'ASIGNACIÓN ASIGNATURAS'!$AG:$AG,"",0)</f>
        <v/>
      </c>
      <c r="BE101" s="505"/>
      <c r="BF101" s="505"/>
      <c r="BG101" s="106"/>
      <c r="BH101" s="505" t="str">
        <f>_xlfn.XLOOKUP('MAPEO MALLA'!BH99,'ASIGNACIÓN ASIGNATURAS'!$AD:$AD,'ASIGNACIÓN ASIGNATURAS'!$AG:$AG,"",0)</f>
        <v/>
      </c>
      <c r="BI101" s="505"/>
      <c r="BJ101" s="505"/>
      <c r="BK101" s="30"/>
      <c r="BL101" s="551"/>
      <c r="BM101" s="336"/>
      <c r="BN101" s="510"/>
      <c r="BO101" s="336"/>
      <c r="BP101" s="507"/>
      <c r="BQ101" s="18"/>
      <c r="BR101" s="49"/>
    </row>
    <row r="102" spans="1:70" ht="60.6" x14ac:dyDescent="0.75">
      <c r="A102" s="12"/>
      <c r="B102" s="14"/>
      <c r="C102" s="523"/>
      <c r="D102" s="10"/>
      <c r="E102" s="523"/>
      <c r="F102" s="18"/>
      <c r="G102" s="30"/>
      <c r="H102" s="505"/>
      <c r="I102" s="505"/>
      <c r="J102" s="505"/>
      <c r="K102" s="51"/>
      <c r="L102" s="505"/>
      <c r="M102" s="505"/>
      <c r="N102" s="505"/>
      <c r="O102" s="51"/>
      <c r="P102" s="505"/>
      <c r="Q102" s="505"/>
      <c r="R102" s="505"/>
      <c r="S102" s="51"/>
      <c r="T102" s="505"/>
      <c r="U102" s="505"/>
      <c r="V102" s="505"/>
      <c r="W102" s="30"/>
      <c r="X102" s="523"/>
      <c r="Y102" s="306"/>
      <c r="Z102" s="510"/>
      <c r="AA102" s="334"/>
      <c r="AB102" s="507"/>
      <c r="AC102" s="30"/>
      <c r="AD102" s="24"/>
      <c r="AE102" s="51"/>
      <c r="AF102" s="505"/>
      <c r="AG102" s="505"/>
      <c r="AH102" s="505"/>
      <c r="AI102" s="51"/>
      <c r="AJ102" s="505"/>
      <c r="AK102" s="505"/>
      <c r="AL102" s="505"/>
      <c r="AM102" s="30"/>
      <c r="AN102" s="559"/>
      <c r="AO102" s="560"/>
      <c r="AP102" s="561"/>
      <c r="AQ102" s="12"/>
      <c r="AR102" s="551"/>
      <c r="AS102" s="335"/>
      <c r="AT102" s="510"/>
      <c r="AU102" s="334"/>
      <c r="AV102" s="507"/>
      <c r="AW102" s="30"/>
      <c r="AX102" s="97"/>
      <c r="AY102" s="51"/>
      <c r="AZ102" s="505"/>
      <c r="BA102" s="505"/>
      <c r="BB102" s="505"/>
      <c r="BC102" s="51"/>
      <c r="BD102" s="505"/>
      <c r="BE102" s="505"/>
      <c r="BF102" s="505"/>
      <c r="BG102" s="51"/>
      <c r="BH102" s="505"/>
      <c r="BI102" s="505"/>
      <c r="BJ102" s="505"/>
      <c r="BK102" s="30"/>
      <c r="BL102" s="551"/>
      <c r="BM102" s="336"/>
      <c r="BN102" s="510"/>
      <c r="BO102" s="336"/>
      <c r="BP102" s="507"/>
      <c r="BQ102" s="18"/>
      <c r="BR102" s="49"/>
    </row>
    <row r="103" spans="1:70" ht="44.25" customHeight="1" thickBot="1" x14ac:dyDescent="0.8">
      <c r="A103" s="12"/>
      <c r="B103" s="14"/>
      <c r="C103" s="523"/>
      <c r="D103" s="10"/>
      <c r="E103" s="523"/>
      <c r="F103" s="18"/>
      <c r="G103" s="30"/>
      <c r="H103" s="444" t="str">
        <f>_xlfn.XLOOKUP('MAPEO MALLA'!H99,'ASIGNACIÓN ASIGNATURAS'!$AD:$AD,'ASIGNACIÓN ASIGNATURAS'!$T:$T,"",0)</f>
        <v/>
      </c>
      <c r="I103" s="459" t="str">
        <f>_xlfn.XLOOKUP('MAPEO MALLA'!H99,'ASIGNACIÓN ASIGNATURAS'!$AD:$AD,'ASIGNACIÓN ASIGNATURAS'!$U:$U,"",0)</f>
        <v/>
      </c>
      <c r="J103" s="443">
        <f>IF(H103="",,(H103+I103)/48)</f>
        <v>0</v>
      </c>
      <c r="K103" s="106"/>
      <c r="L103" s="444" t="str">
        <f>_xlfn.XLOOKUP('MAPEO MALLA'!L99,'ASIGNACIÓN ASIGNATURAS'!$AD:$AD,'ASIGNACIÓN ASIGNATURAS'!$T:$T,"",0)</f>
        <v/>
      </c>
      <c r="M103" s="459" t="str">
        <f>_xlfn.XLOOKUP('MAPEO MALLA'!L99,'ASIGNACIÓN ASIGNATURAS'!$AD:$AD,'ASIGNACIÓN ASIGNATURAS'!$U:$U,"",0)</f>
        <v/>
      </c>
      <c r="N103" s="443">
        <f>IF(L103="",,(L103+M103)/48)</f>
        <v>0</v>
      </c>
      <c r="O103" s="106"/>
      <c r="P103" s="444" t="str">
        <f>_xlfn.XLOOKUP('MAPEO MALLA'!P99,'ASIGNACIÓN ASIGNATURAS'!$AD:$AD,'ASIGNACIÓN ASIGNATURAS'!$T:$T,"",0)</f>
        <v/>
      </c>
      <c r="Q103" s="459" t="str">
        <f>_xlfn.XLOOKUP('MAPEO MALLA'!P99,'ASIGNACIÓN ASIGNATURAS'!$AD:$AD,'ASIGNACIÓN ASIGNATURAS'!$U:$U,"",0)</f>
        <v/>
      </c>
      <c r="R103" s="443">
        <f>IF(P103="",,(P103+Q103)/48)</f>
        <v>0</v>
      </c>
      <c r="S103" s="106"/>
      <c r="T103" s="444" t="str">
        <f>_xlfn.XLOOKUP('MAPEO MALLA'!T99,'ASIGNACIÓN ASIGNATURAS'!$AD:$AD,'ASIGNACIÓN ASIGNATURAS'!$T:$T,"",0)</f>
        <v/>
      </c>
      <c r="U103" s="459" t="str">
        <f>_xlfn.XLOOKUP('MAPEO MALLA'!T99,'ASIGNACIÓN ASIGNATURAS'!$AD:$AD,'ASIGNACIÓN ASIGNATURAS'!$U:$U,"",0)</f>
        <v/>
      </c>
      <c r="V103" s="443">
        <f>IF(T103="",,(T103+U103)/48)</f>
        <v>0</v>
      </c>
      <c r="W103" s="30"/>
      <c r="X103" s="523"/>
      <c r="Y103" s="306"/>
      <c r="Z103" s="511"/>
      <c r="AA103" s="334"/>
      <c r="AB103" s="508"/>
      <c r="AC103" s="30"/>
      <c r="AD103" s="24"/>
      <c r="AE103" s="106"/>
      <c r="AF103" s="444" t="str">
        <f>_xlfn.XLOOKUP('MAPEO MALLA'!AF99,'ASIGNACIÓN ASIGNATURAS'!$AD:$AD,'ASIGNACIÓN ASIGNATURAS'!$T:$T,"",0)</f>
        <v/>
      </c>
      <c r="AG103" s="459" t="str">
        <f>_xlfn.XLOOKUP('MAPEO MALLA'!AF99,'ASIGNACIÓN ASIGNATURAS'!$AD:$AD,'ASIGNACIÓN ASIGNATURAS'!$U:$U,"",0)</f>
        <v/>
      </c>
      <c r="AH103" s="443">
        <f>IF(AF103="",,(AF103+AG103)/48)</f>
        <v>0</v>
      </c>
      <c r="AI103" s="106"/>
      <c r="AJ103" s="444" t="str">
        <f>_xlfn.XLOOKUP('MAPEO MALLA'!AJ99,'ASIGNACIÓN ASIGNATURAS'!$AD:$AD,'ASIGNACIÓN ASIGNATURAS'!$T:$T,"",0)</f>
        <v/>
      </c>
      <c r="AK103" s="459" t="str">
        <f>_xlfn.XLOOKUP('MAPEO MALLA'!AJ99,'ASIGNACIÓN ASIGNATURAS'!$AD:$AD,'ASIGNACIÓN ASIGNATURAS'!$U:$U,"",0)</f>
        <v/>
      </c>
      <c r="AL103" s="443">
        <f>IF(AJ103="",,(AJ103+AK103)/48)</f>
        <v>0</v>
      </c>
      <c r="AM103" s="30"/>
      <c r="AN103" s="83" t="str">
        <f>_xlfn.XLOOKUP('MAPEO MALLA'!AN99,'ASIGNACIÓN ASIGNATURAS'!$AD:$AD,'ASIGNACIÓN ASIGNATURAS'!$T:$T,"",0)</f>
        <v/>
      </c>
      <c r="AO103" s="84" t="str">
        <f>_xlfn.XLOOKUP('MAPEO MALLA'!AN99,'ASIGNACIÓN ASIGNATURAS'!$AD:$AD,'ASIGNACIÓN ASIGNATURAS'!$U:$U,"",0)</f>
        <v/>
      </c>
      <c r="AP103" s="85">
        <f>IF(AN103="",,(AN103+AO103)/48)</f>
        <v>0</v>
      </c>
      <c r="AQ103" s="12"/>
      <c r="AR103" s="551"/>
      <c r="AS103" s="335"/>
      <c r="AT103" s="511"/>
      <c r="AU103" s="334"/>
      <c r="AV103" s="508"/>
      <c r="AW103" s="30"/>
      <c r="AX103" s="97"/>
      <c r="AY103" s="106"/>
      <c r="AZ103" s="444" t="str">
        <f>_xlfn.XLOOKUP('MAPEO MALLA'!AZ99,'ASIGNACIÓN ASIGNATURAS'!$AD:$AD,'ASIGNACIÓN ASIGNATURAS'!$T:$T,"",0)</f>
        <v/>
      </c>
      <c r="BA103" s="459" t="str">
        <f>_xlfn.XLOOKUP('MAPEO MALLA'!AZ99,'ASIGNACIÓN ASIGNATURAS'!$AD:$AD,'ASIGNACIÓN ASIGNATURAS'!$U:$U,"",0)</f>
        <v/>
      </c>
      <c r="BB103" s="443">
        <f>IF(AZ103="",,(AZ103+BA103)/48)</f>
        <v>0</v>
      </c>
      <c r="BC103" s="106"/>
      <c r="BD103" s="444" t="str">
        <f>_xlfn.XLOOKUP('MAPEO MALLA'!BD99,'ASIGNACIÓN ASIGNATURAS'!$AD:$AD,'ASIGNACIÓN ASIGNATURAS'!$T:$T,"",0)</f>
        <v/>
      </c>
      <c r="BE103" s="459" t="str">
        <f>_xlfn.XLOOKUP('MAPEO MALLA'!BD99,'ASIGNACIÓN ASIGNATURAS'!$AD:$AD,'ASIGNACIÓN ASIGNATURAS'!$U:$U,"",0)</f>
        <v/>
      </c>
      <c r="BF103" s="443">
        <f>IF(BD103="",,(BD103+BE103)/48)</f>
        <v>0</v>
      </c>
      <c r="BG103" s="106"/>
      <c r="BH103" s="444" t="str">
        <f>_xlfn.XLOOKUP('MAPEO MALLA'!BH99,'ASIGNACIÓN ASIGNATURAS'!$AD:$AD,'ASIGNACIÓN ASIGNATURAS'!$T:$T,"",0)</f>
        <v/>
      </c>
      <c r="BI103" s="459" t="str">
        <f>_xlfn.XLOOKUP('MAPEO MALLA'!BH99,'ASIGNACIÓN ASIGNATURAS'!$AD:$AD,'ASIGNACIÓN ASIGNATURAS'!$U:$U,"",0)</f>
        <v/>
      </c>
      <c r="BJ103" s="443">
        <f>IF(BH103="",,(BH103+BI103)/48)</f>
        <v>0</v>
      </c>
      <c r="BK103" s="30"/>
      <c r="BL103" s="551"/>
      <c r="BM103" s="336"/>
      <c r="BN103" s="511"/>
      <c r="BO103" s="336"/>
      <c r="BP103" s="508"/>
      <c r="BQ103" s="18"/>
      <c r="BR103" s="49"/>
    </row>
    <row r="104" spans="1:70" ht="60" x14ac:dyDescent="0.95">
      <c r="A104" s="12"/>
      <c r="B104" s="153"/>
      <c r="C104" s="154"/>
      <c r="D104" s="154"/>
      <c r="E104" s="155"/>
      <c r="F104" s="156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9"/>
      <c r="T104" s="157"/>
      <c r="U104" s="157"/>
      <c r="V104" s="157"/>
      <c r="W104" s="157"/>
      <c r="X104" s="155"/>
      <c r="Y104" s="160"/>
      <c r="Z104" s="160"/>
      <c r="AA104" s="160"/>
      <c r="AB104" s="160"/>
      <c r="AC104" s="161"/>
      <c r="AD104" s="162"/>
      <c r="AE104" s="157"/>
      <c r="AF104" s="157"/>
      <c r="AG104" s="157"/>
      <c r="AH104" s="157"/>
      <c r="AI104" s="159"/>
      <c r="AJ104" s="157"/>
      <c r="AK104" s="157"/>
      <c r="AL104" s="157"/>
      <c r="AM104" s="157"/>
      <c r="AN104" s="157"/>
      <c r="AO104" s="157"/>
      <c r="AP104" s="157"/>
      <c r="AQ104" s="157"/>
      <c r="AR104" s="155"/>
      <c r="AS104" s="157"/>
      <c r="AT104" s="163"/>
      <c r="AU104" s="157"/>
      <c r="AV104" s="157"/>
      <c r="AW104" s="161"/>
      <c r="AX104" s="162"/>
      <c r="AY104" s="157"/>
      <c r="AZ104" s="157"/>
      <c r="BA104" s="157"/>
      <c r="BB104" s="157"/>
      <c r="BC104" s="157"/>
      <c r="BD104" s="157"/>
      <c r="BE104" s="157"/>
      <c r="BF104" s="157"/>
      <c r="BG104" s="159"/>
      <c r="BH104" s="157"/>
      <c r="BI104" s="157"/>
      <c r="BJ104" s="157"/>
      <c r="BK104" s="157"/>
      <c r="BL104" s="155"/>
      <c r="BM104" s="157"/>
      <c r="BN104" s="160"/>
      <c r="BO104" s="157"/>
      <c r="BP104" s="157"/>
      <c r="BQ104" s="156"/>
      <c r="BR104" s="49"/>
    </row>
    <row r="105" spans="1:70" ht="60" x14ac:dyDescent="0.95">
      <c r="A105" s="12"/>
      <c r="B105" s="153"/>
      <c r="C105" s="154"/>
      <c r="D105" s="154"/>
      <c r="E105" s="155"/>
      <c r="F105" s="161"/>
      <c r="G105" s="153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9"/>
      <c r="T105" s="157"/>
      <c r="U105" s="157"/>
      <c r="V105" s="157"/>
      <c r="W105" s="157"/>
      <c r="X105" s="155"/>
      <c r="Y105" s="160"/>
      <c r="Z105" s="160"/>
      <c r="AA105" s="160"/>
      <c r="AB105" s="160"/>
      <c r="AC105" s="164"/>
      <c r="AD105" s="164"/>
      <c r="AE105" s="160"/>
      <c r="AF105" s="160"/>
      <c r="AG105" s="160"/>
      <c r="AH105" s="160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65"/>
      <c r="AS105" s="166"/>
      <c r="AT105" s="167"/>
      <c r="AU105" s="166"/>
      <c r="AV105" s="166"/>
      <c r="AW105" s="168"/>
      <c r="AX105" s="162"/>
      <c r="AY105" s="169"/>
      <c r="AZ105" s="169"/>
      <c r="BA105" s="169"/>
      <c r="BB105" s="157"/>
      <c r="BC105" s="169"/>
      <c r="BD105" s="169"/>
      <c r="BE105" s="169"/>
      <c r="BF105" s="157"/>
      <c r="BG105" s="161"/>
      <c r="BH105" s="168"/>
      <c r="BI105" s="168"/>
      <c r="BJ105" s="168"/>
      <c r="BK105" s="168"/>
      <c r="BL105" s="170"/>
      <c r="BM105" s="168"/>
      <c r="BN105" s="166"/>
      <c r="BO105" s="168"/>
      <c r="BP105" s="168"/>
      <c r="BQ105" s="171"/>
      <c r="BR105" s="49"/>
    </row>
    <row r="106" spans="1:70" ht="60.6" thickBot="1" x14ac:dyDescent="1">
      <c r="A106" s="12"/>
      <c r="B106" s="37"/>
      <c r="C106" s="172"/>
      <c r="D106" s="172"/>
      <c r="E106" s="20"/>
      <c r="F106" s="30"/>
      <c r="G106" s="37"/>
      <c r="H106" s="16"/>
      <c r="I106" s="16"/>
      <c r="J106" s="16"/>
      <c r="K106" s="13"/>
      <c r="L106" s="16"/>
      <c r="M106" s="16"/>
      <c r="N106" s="16"/>
      <c r="O106" s="13"/>
      <c r="P106" s="16"/>
      <c r="Q106" s="16"/>
      <c r="R106" s="16"/>
      <c r="S106" s="39"/>
      <c r="T106" s="16"/>
      <c r="U106" s="16"/>
      <c r="V106" s="16"/>
      <c r="W106" s="13"/>
      <c r="X106" s="20"/>
      <c r="Y106" s="21"/>
      <c r="Z106" s="21"/>
      <c r="AA106" s="22"/>
      <c r="AB106" s="15"/>
      <c r="AC106" s="18"/>
      <c r="AD106" s="18"/>
      <c r="AE106" s="13"/>
      <c r="AF106" s="16"/>
      <c r="AG106" s="16"/>
      <c r="AH106" s="16"/>
      <c r="AI106" s="13"/>
      <c r="AJ106" s="16"/>
      <c r="AK106" s="16"/>
      <c r="AL106" s="16"/>
      <c r="AM106" s="16"/>
      <c r="AN106" s="16"/>
      <c r="AO106" s="16"/>
      <c r="AP106" s="16"/>
      <c r="AQ106" s="13"/>
      <c r="AR106" s="20"/>
      <c r="AS106" s="16"/>
      <c r="AT106" s="17"/>
      <c r="AU106" s="27"/>
      <c r="AV106" s="15"/>
      <c r="AW106" s="30"/>
      <c r="AX106" s="24"/>
      <c r="AY106" s="13"/>
      <c r="AZ106" s="16"/>
      <c r="BA106" s="16"/>
      <c r="BB106" s="16"/>
      <c r="BC106" s="13"/>
      <c r="BD106" s="16"/>
      <c r="BE106" s="16"/>
      <c r="BF106" s="16"/>
      <c r="BG106" s="13"/>
      <c r="BH106" s="16"/>
      <c r="BI106" s="16"/>
      <c r="BJ106" s="16"/>
      <c r="BK106" s="13"/>
      <c r="BL106" s="20"/>
      <c r="BM106" s="16"/>
      <c r="BN106" s="21"/>
      <c r="BO106" s="16"/>
      <c r="BP106" s="16"/>
      <c r="BQ106" s="173"/>
      <c r="BR106" s="49"/>
    </row>
    <row r="107" spans="1:70" ht="82.5" customHeight="1" thickBot="1" x14ac:dyDescent="0.55000000000000004">
      <c r="A107" s="12"/>
      <c r="B107" s="14"/>
      <c r="C107" s="543" t="s">
        <v>86</v>
      </c>
      <c r="D107" s="544"/>
      <c r="E107" s="545"/>
      <c r="F107" s="30"/>
      <c r="G107" s="14"/>
      <c r="H107" s="340" t="s">
        <v>87</v>
      </c>
      <c r="I107" s="341" t="s">
        <v>88</v>
      </c>
      <c r="J107" s="342" t="s">
        <v>89</v>
      </c>
      <c r="K107" s="343"/>
      <c r="L107" s="340" t="s">
        <v>87</v>
      </c>
      <c r="M107" s="341" t="s">
        <v>88</v>
      </c>
      <c r="N107" s="342" t="s">
        <v>89</v>
      </c>
      <c r="O107" s="343"/>
      <c r="P107" s="340" t="s">
        <v>87</v>
      </c>
      <c r="Q107" s="341" t="s">
        <v>88</v>
      </c>
      <c r="R107" s="342" t="s">
        <v>89</v>
      </c>
      <c r="S107" s="344"/>
      <c r="T107" s="340" t="s">
        <v>87</v>
      </c>
      <c r="U107" s="341" t="s">
        <v>88</v>
      </c>
      <c r="V107" s="342" t="s">
        <v>89</v>
      </c>
      <c r="W107" s="345"/>
      <c r="X107" s="539" t="s">
        <v>90</v>
      </c>
      <c r="Y107" s="526"/>
      <c r="Z107" s="526"/>
      <c r="AA107" s="526"/>
      <c r="AB107" s="527"/>
      <c r="AC107" s="346"/>
      <c r="AD107" s="347"/>
      <c r="AE107" s="343"/>
      <c r="AF107" s="340" t="s">
        <v>87</v>
      </c>
      <c r="AG107" s="341" t="s">
        <v>88</v>
      </c>
      <c r="AH107" s="342" t="s">
        <v>89</v>
      </c>
      <c r="AI107" s="343"/>
      <c r="AJ107" s="340" t="s">
        <v>87</v>
      </c>
      <c r="AK107" s="341" t="s">
        <v>88</v>
      </c>
      <c r="AL107" s="342" t="s">
        <v>89</v>
      </c>
      <c r="AM107" s="348"/>
      <c r="AN107" s="340" t="s">
        <v>87</v>
      </c>
      <c r="AO107" s="341" t="s">
        <v>88</v>
      </c>
      <c r="AP107" s="342" t="s">
        <v>89</v>
      </c>
      <c r="AQ107" s="345"/>
      <c r="AR107" s="539" t="s">
        <v>90</v>
      </c>
      <c r="AS107" s="526"/>
      <c r="AT107" s="526"/>
      <c r="AU107" s="526"/>
      <c r="AV107" s="527"/>
      <c r="AW107" s="305"/>
      <c r="AX107" s="347"/>
      <c r="AY107" s="349">
        <v>18</v>
      </c>
      <c r="AZ107" s="340" t="s">
        <v>87</v>
      </c>
      <c r="BA107" s="341" t="s">
        <v>88</v>
      </c>
      <c r="BB107" s="342" t="s">
        <v>89</v>
      </c>
      <c r="BC107" s="343"/>
      <c r="BD107" s="340" t="s">
        <v>87</v>
      </c>
      <c r="BE107" s="341" t="s">
        <v>88</v>
      </c>
      <c r="BF107" s="342" t="s">
        <v>89</v>
      </c>
      <c r="BG107" s="350"/>
      <c r="BH107" s="351" t="s">
        <v>87</v>
      </c>
      <c r="BI107" s="341" t="s">
        <v>88</v>
      </c>
      <c r="BJ107" s="342" t="s">
        <v>89</v>
      </c>
      <c r="BK107" s="305"/>
      <c r="BL107" s="540" t="s">
        <v>91</v>
      </c>
      <c r="BM107" s="540"/>
      <c r="BN107" s="540"/>
      <c r="BO107" s="540"/>
      <c r="BP107" s="540"/>
      <c r="BQ107" s="185"/>
      <c r="BR107" s="49"/>
    </row>
    <row r="108" spans="1:70" ht="60.6" thickBot="1" x14ac:dyDescent="0.55000000000000004">
      <c r="A108" s="12"/>
      <c r="B108" s="14"/>
      <c r="C108" s="546"/>
      <c r="D108" s="522"/>
      <c r="E108" s="547"/>
      <c r="F108" s="30"/>
      <c r="G108" s="186"/>
      <c r="H108" s="541"/>
      <c r="I108" s="542"/>
      <c r="J108" s="542"/>
      <c r="K108" s="309"/>
      <c r="L108" s="541"/>
      <c r="M108" s="542"/>
      <c r="N108" s="542"/>
      <c r="O108" s="309"/>
      <c r="P108" s="541"/>
      <c r="Q108" s="542"/>
      <c r="R108" s="542"/>
      <c r="S108" s="352"/>
      <c r="T108" s="541"/>
      <c r="U108" s="542"/>
      <c r="V108" s="542"/>
      <c r="W108" s="353"/>
      <c r="X108" s="324"/>
      <c r="Y108" s="326"/>
      <c r="Z108" s="326"/>
      <c r="AA108" s="354"/>
      <c r="AB108" s="354"/>
      <c r="AC108" s="355"/>
      <c r="AD108" s="347"/>
      <c r="AE108" s="309"/>
      <c r="AF108" s="541"/>
      <c r="AG108" s="542"/>
      <c r="AH108" s="542"/>
      <c r="AI108" s="309"/>
      <c r="AJ108" s="541"/>
      <c r="AK108" s="542"/>
      <c r="AL108" s="542"/>
      <c r="AM108" s="304"/>
      <c r="AN108" s="541"/>
      <c r="AO108" s="542"/>
      <c r="AP108" s="542"/>
      <c r="AQ108" s="353"/>
      <c r="AR108" s="324"/>
      <c r="AS108" s="326"/>
      <c r="AT108" s="326"/>
      <c r="AU108" s="354"/>
      <c r="AV108" s="354"/>
      <c r="AW108" s="356"/>
      <c r="AX108" s="347"/>
      <c r="AY108" s="357">
        <v>18</v>
      </c>
      <c r="AZ108" s="541"/>
      <c r="BA108" s="542"/>
      <c r="BB108" s="542"/>
      <c r="BC108" s="309"/>
      <c r="BD108" s="541"/>
      <c r="BE108" s="542"/>
      <c r="BF108" s="542"/>
      <c r="BG108" s="309"/>
      <c r="BH108" s="358"/>
      <c r="BI108" s="352"/>
      <c r="BJ108" s="352"/>
      <c r="BK108" s="358"/>
      <c r="BL108" s="352"/>
      <c r="BM108" s="359"/>
      <c r="BN108" s="358"/>
      <c r="BO108" s="352"/>
      <c r="BP108" s="352"/>
      <c r="BQ108" s="18"/>
      <c r="BR108" s="49"/>
    </row>
    <row r="109" spans="1:70" ht="44.7" customHeight="1" thickBot="1" x14ac:dyDescent="0.6">
      <c r="A109" s="190"/>
      <c r="B109" s="14"/>
      <c r="C109" s="546"/>
      <c r="D109" s="522"/>
      <c r="E109" s="547"/>
      <c r="F109" s="191"/>
      <c r="G109" s="192"/>
      <c r="H109" s="528" t="e">
        <f>SUM(H14:H104)</f>
        <v>#N/A</v>
      </c>
      <c r="I109" s="531" t="e">
        <f>SUM(I14:I104)</f>
        <v>#N/A</v>
      </c>
      <c r="J109" s="534" t="e">
        <f>SUM(J13:J104)</f>
        <v>#N/A</v>
      </c>
      <c r="K109" s="360"/>
      <c r="L109" s="528" t="e">
        <f>SUM(L14:L104)</f>
        <v>#N/A</v>
      </c>
      <c r="M109" s="531" t="e">
        <f>SUM(M14:M104)</f>
        <v>#N/A</v>
      </c>
      <c r="N109" s="534" t="e">
        <f>SUM(N13:N104)</f>
        <v>#N/A</v>
      </c>
      <c r="O109" s="360"/>
      <c r="P109" s="528" t="e">
        <f>SUM(P14:P104)</f>
        <v>#N/A</v>
      </c>
      <c r="Q109" s="531" t="e">
        <f>SUM(Q14:Q104)</f>
        <v>#N/A</v>
      </c>
      <c r="R109" s="534" t="e">
        <f>SUM(R13:R104)</f>
        <v>#N/A</v>
      </c>
      <c r="S109" s="361"/>
      <c r="T109" s="528" t="e">
        <f>SUM(T14:T104)</f>
        <v>#N/A</v>
      </c>
      <c r="U109" s="531" t="e">
        <f>SUM(U14:U104)</f>
        <v>#N/A</v>
      </c>
      <c r="V109" s="534" t="e">
        <f>SUM(V13:V104)</f>
        <v>#N/A</v>
      </c>
      <c r="W109" s="362"/>
      <c r="X109" s="525" t="e">
        <f>+Z80+Z70+Z14</f>
        <v>#N/A</v>
      </c>
      <c r="Y109" s="526"/>
      <c r="Z109" s="526"/>
      <c r="AA109" s="526"/>
      <c r="AB109" s="527"/>
      <c r="AC109" s="363"/>
      <c r="AD109" s="347"/>
      <c r="AE109" s="360"/>
      <c r="AF109" s="528" t="e">
        <f>SUM(AF14:AF104)</f>
        <v>#N/A</v>
      </c>
      <c r="AG109" s="531" t="e">
        <f>SUM(AG14:AG104)</f>
        <v>#N/A</v>
      </c>
      <c r="AH109" s="534" t="e">
        <f>SUM(AH13:AH104)</f>
        <v>#N/A</v>
      </c>
      <c r="AI109" s="360"/>
      <c r="AJ109" s="528" t="e">
        <f>SUM(AJ14:AJ104)</f>
        <v>#N/A</v>
      </c>
      <c r="AK109" s="531" t="e">
        <f>SUM(AK14:AK104)</f>
        <v>#N/A</v>
      </c>
      <c r="AL109" s="534" t="e">
        <f>SUM(AL13:AL104)</f>
        <v>#N/A</v>
      </c>
      <c r="AM109" s="364"/>
      <c r="AN109" s="528" t="e">
        <f>SUM(AN14:AN104)</f>
        <v>#N/A</v>
      </c>
      <c r="AO109" s="531" t="e">
        <f>SUM(AO14:AO104)</f>
        <v>#N/A</v>
      </c>
      <c r="AP109" s="534" t="e">
        <f>SUM(AP13:AP104)</f>
        <v>#N/A</v>
      </c>
      <c r="AQ109" s="362"/>
      <c r="AR109" s="525" t="e">
        <f>+AT80+AT70+AT14+Z116</f>
        <v>#N/A</v>
      </c>
      <c r="AS109" s="526"/>
      <c r="AT109" s="526"/>
      <c r="AU109" s="526"/>
      <c r="AV109" s="527"/>
      <c r="AW109" s="362"/>
      <c r="AX109" s="365"/>
      <c r="AY109" s="366">
        <v>18</v>
      </c>
      <c r="AZ109" s="528" t="e">
        <f>SUM(AZ14:AZ104)</f>
        <v>#N/A</v>
      </c>
      <c r="BA109" s="531" t="e">
        <f>SUM(BA14:BA104)</f>
        <v>#N/A</v>
      </c>
      <c r="BB109" s="534" t="e">
        <f>SUM(BB13:BB104)</f>
        <v>#N/A</v>
      </c>
      <c r="BC109" s="360"/>
      <c r="BD109" s="528" t="e">
        <f>SUM(BD14:BD104)</f>
        <v>#N/A</v>
      </c>
      <c r="BE109" s="531" t="e">
        <f>SUM(BE14:BE104)</f>
        <v>#N/A</v>
      </c>
      <c r="BF109" s="534" t="e">
        <f>SUM(BF13:BF104)</f>
        <v>#N/A</v>
      </c>
      <c r="BG109" s="360"/>
      <c r="BH109" s="528" t="e">
        <f>SUM(BH14:BH104)</f>
        <v>#N/A</v>
      </c>
      <c r="BI109" s="531" t="e">
        <f>SUM(BI14:BI104)</f>
        <v>#N/A</v>
      </c>
      <c r="BJ109" s="534" t="e">
        <f>SUM(BJ13:BJ104)</f>
        <v>#N/A</v>
      </c>
      <c r="BK109" s="362"/>
      <c r="BL109" s="537" t="e">
        <f>+BN14+BN70+BN80+BN116</f>
        <v>#N/A</v>
      </c>
      <c r="BM109" s="537"/>
      <c r="BN109" s="537"/>
      <c r="BO109" s="537"/>
      <c r="BP109" s="537"/>
      <c r="BQ109" s="194"/>
      <c r="BR109" s="49"/>
    </row>
    <row r="110" spans="1:70" ht="60.6" customHeight="1" thickBot="1" x14ac:dyDescent="0.6">
      <c r="A110" s="190"/>
      <c r="B110" s="14"/>
      <c r="C110" s="546"/>
      <c r="D110" s="522"/>
      <c r="E110" s="547"/>
      <c r="F110" s="197"/>
      <c r="G110" s="198"/>
      <c r="H110" s="529"/>
      <c r="I110" s="532"/>
      <c r="J110" s="535"/>
      <c r="K110" s="367"/>
      <c r="L110" s="529"/>
      <c r="M110" s="532"/>
      <c r="N110" s="535"/>
      <c r="O110" s="367"/>
      <c r="P110" s="529"/>
      <c r="Q110" s="532"/>
      <c r="R110" s="535"/>
      <c r="S110" s="352"/>
      <c r="T110" s="529"/>
      <c r="U110" s="532"/>
      <c r="V110" s="535"/>
      <c r="W110" s="368"/>
      <c r="X110" s="313"/>
      <c r="Y110" s="311"/>
      <c r="Z110" s="369"/>
      <c r="AA110" s="369"/>
      <c r="AB110" s="369"/>
      <c r="AC110" s="363"/>
      <c r="AD110" s="347"/>
      <c r="AE110" s="367"/>
      <c r="AF110" s="529"/>
      <c r="AG110" s="532"/>
      <c r="AH110" s="535"/>
      <c r="AI110" s="334"/>
      <c r="AJ110" s="529"/>
      <c r="AK110" s="532"/>
      <c r="AL110" s="535"/>
      <c r="AM110" s="304"/>
      <c r="AN110" s="529"/>
      <c r="AO110" s="532"/>
      <c r="AP110" s="535"/>
      <c r="AQ110" s="368"/>
      <c r="AR110" s="313"/>
      <c r="AS110" s="311"/>
      <c r="AT110" s="369"/>
      <c r="AU110" s="369"/>
      <c r="AV110" s="369"/>
      <c r="AW110" s="370"/>
      <c r="AX110" s="371"/>
      <c r="AY110" s="372"/>
      <c r="AZ110" s="529"/>
      <c r="BA110" s="532"/>
      <c r="BB110" s="535"/>
      <c r="BC110" s="334"/>
      <c r="BD110" s="529"/>
      <c r="BE110" s="532"/>
      <c r="BF110" s="535"/>
      <c r="BG110" s="334"/>
      <c r="BH110" s="529"/>
      <c r="BI110" s="532"/>
      <c r="BJ110" s="535"/>
      <c r="BK110" s="334"/>
      <c r="BL110" s="537"/>
      <c r="BM110" s="537"/>
      <c r="BN110" s="537"/>
      <c r="BO110" s="537"/>
      <c r="BP110" s="537"/>
      <c r="BQ110" s="201"/>
      <c r="BR110" s="49"/>
    </row>
    <row r="111" spans="1:70" ht="101.4" customHeight="1" thickBot="1" x14ac:dyDescent="0.6">
      <c r="A111" s="190"/>
      <c r="B111" s="14"/>
      <c r="C111" s="546"/>
      <c r="D111" s="522"/>
      <c r="E111" s="547"/>
      <c r="F111" s="202"/>
      <c r="G111" s="203"/>
      <c r="H111" s="529"/>
      <c r="I111" s="532"/>
      <c r="J111" s="535"/>
      <c r="K111" s="367"/>
      <c r="L111" s="529"/>
      <c r="M111" s="532"/>
      <c r="N111" s="535"/>
      <c r="O111" s="367"/>
      <c r="P111" s="529"/>
      <c r="Q111" s="532"/>
      <c r="R111" s="535"/>
      <c r="S111" s="352"/>
      <c r="T111" s="529"/>
      <c r="U111" s="532"/>
      <c r="V111" s="535"/>
      <c r="W111" s="334"/>
      <c r="X111" s="538" t="s">
        <v>92</v>
      </c>
      <c r="Y111" s="526"/>
      <c r="Z111" s="526"/>
      <c r="AA111" s="526"/>
      <c r="AB111" s="527"/>
      <c r="AC111" s="363"/>
      <c r="AD111" s="347"/>
      <c r="AE111" s="367"/>
      <c r="AF111" s="529"/>
      <c r="AG111" s="532"/>
      <c r="AH111" s="535"/>
      <c r="AI111" s="334"/>
      <c r="AJ111" s="529"/>
      <c r="AK111" s="532"/>
      <c r="AL111" s="535"/>
      <c r="AM111" s="304"/>
      <c r="AN111" s="529"/>
      <c r="AO111" s="532"/>
      <c r="AP111" s="535"/>
      <c r="AQ111" s="334"/>
      <c r="AR111" s="539" t="s">
        <v>92</v>
      </c>
      <c r="AS111" s="526"/>
      <c r="AT111" s="526"/>
      <c r="AU111" s="526"/>
      <c r="AV111" s="527"/>
      <c r="AW111" s="334"/>
      <c r="AX111" s="373"/>
      <c r="AY111" s="334"/>
      <c r="AZ111" s="529"/>
      <c r="BA111" s="532"/>
      <c r="BB111" s="535"/>
      <c r="BC111" s="334"/>
      <c r="BD111" s="529"/>
      <c r="BE111" s="532"/>
      <c r="BF111" s="535"/>
      <c r="BG111" s="334"/>
      <c r="BH111" s="529"/>
      <c r="BI111" s="532"/>
      <c r="BJ111" s="535"/>
      <c r="BK111" s="334"/>
      <c r="BL111" s="537"/>
      <c r="BM111" s="537"/>
      <c r="BN111" s="537"/>
      <c r="BO111" s="537"/>
      <c r="BP111" s="537"/>
      <c r="BQ111" s="185"/>
      <c r="BR111" s="49"/>
    </row>
    <row r="112" spans="1:70" ht="60.6" customHeight="1" thickBot="1" x14ac:dyDescent="0.6">
      <c r="A112" s="190"/>
      <c r="B112" s="14"/>
      <c r="C112" s="546"/>
      <c r="D112" s="522"/>
      <c r="E112" s="547"/>
      <c r="F112" s="202"/>
      <c r="G112" s="203"/>
      <c r="H112" s="529"/>
      <c r="I112" s="532"/>
      <c r="J112" s="535"/>
      <c r="K112" s="367"/>
      <c r="L112" s="529"/>
      <c r="M112" s="532"/>
      <c r="N112" s="535"/>
      <c r="O112" s="367"/>
      <c r="P112" s="529"/>
      <c r="Q112" s="532"/>
      <c r="R112" s="535"/>
      <c r="S112" s="352"/>
      <c r="T112" s="529"/>
      <c r="U112" s="532"/>
      <c r="V112" s="535"/>
      <c r="W112" s="368"/>
      <c r="X112" s="313"/>
      <c r="Y112" s="311"/>
      <c r="Z112" s="369"/>
      <c r="AA112" s="369"/>
      <c r="AB112" s="369"/>
      <c r="AC112" s="363"/>
      <c r="AD112" s="347"/>
      <c r="AE112" s="367"/>
      <c r="AF112" s="529"/>
      <c r="AG112" s="532"/>
      <c r="AH112" s="535"/>
      <c r="AI112" s="334"/>
      <c r="AJ112" s="529"/>
      <c r="AK112" s="532"/>
      <c r="AL112" s="535"/>
      <c r="AM112" s="304"/>
      <c r="AN112" s="529"/>
      <c r="AO112" s="532"/>
      <c r="AP112" s="535"/>
      <c r="AQ112" s="368"/>
      <c r="AR112" s="313"/>
      <c r="AS112" s="311"/>
      <c r="AT112" s="369"/>
      <c r="AU112" s="369"/>
      <c r="AV112" s="369"/>
      <c r="AW112" s="314"/>
      <c r="AX112" s="373"/>
      <c r="AY112" s="334"/>
      <c r="AZ112" s="529"/>
      <c r="BA112" s="532"/>
      <c r="BB112" s="535"/>
      <c r="BC112" s="334"/>
      <c r="BD112" s="529"/>
      <c r="BE112" s="532"/>
      <c r="BF112" s="535"/>
      <c r="BG112" s="334"/>
      <c r="BH112" s="529"/>
      <c r="BI112" s="532"/>
      <c r="BJ112" s="535"/>
      <c r="BK112" s="334"/>
      <c r="BL112" s="537"/>
      <c r="BM112" s="537"/>
      <c r="BN112" s="537"/>
      <c r="BO112" s="537"/>
      <c r="BP112" s="537"/>
      <c r="BQ112" s="18"/>
      <c r="BR112" s="49"/>
    </row>
    <row r="113" spans="1:70" ht="116.25" customHeight="1" thickBot="1" x14ac:dyDescent="0.6">
      <c r="A113" s="190"/>
      <c r="B113" s="14"/>
      <c r="C113" s="548"/>
      <c r="D113" s="549"/>
      <c r="E113" s="550"/>
      <c r="F113" s="202"/>
      <c r="G113" s="203"/>
      <c r="H113" s="530"/>
      <c r="I113" s="533"/>
      <c r="J113" s="536"/>
      <c r="K113" s="367"/>
      <c r="L113" s="530"/>
      <c r="M113" s="533"/>
      <c r="N113" s="536"/>
      <c r="O113" s="367"/>
      <c r="P113" s="530"/>
      <c r="Q113" s="533"/>
      <c r="R113" s="536"/>
      <c r="S113" s="352"/>
      <c r="T113" s="530"/>
      <c r="U113" s="533"/>
      <c r="V113" s="536"/>
      <c r="W113" s="334"/>
      <c r="X113" s="525" t="e">
        <f>+Z80+Z116+Z70+Z14</f>
        <v>#N/A</v>
      </c>
      <c r="Y113" s="526"/>
      <c r="Z113" s="526"/>
      <c r="AA113" s="526"/>
      <c r="AB113" s="527"/>
      <c r="AC113" s="363"/>
      <c r="AD113" s="347"/>
      <c r="AE113" s="367"/>
      <c r="AF113" s="530"/>
      <c r="AG113" s="533"/>
      <c r="AH113" s="536"/>
      <c r="AI113" s="334"/>
      <c r="AJ113" s="530"/>
      <c r="AK113" s="533"/>
      <c r="AL113" s="536"/>
      <c r="AM113" s="304"/>
      <c r="AN113" s="530"/>
      <c r="AO113" s="533"/>
      <c r="AP113" s="536"/>
      <c r="AQ113" s="334"/>
      <c r="AR113" s="525" t="e">
        <f>+AT80+AT116+AT70+AT14</f>
        <v>#N/A</v>
      </c>
      <c r="AS113" s="526"/>
      <c r="AT113" s="526"/>
      <c r="AU113" s="526"/>
      <c r="AV113" s="527"/>
      <c r="AW113" s="334"/>
      <c r="AX113" s="373"/>
      <c r="AY113" s="334"/>
      <c r="AZ113" s="530"/>
      <c r="BA113" s="533"/>
      <c r="BB113" s="536"/>
      <c r="BC113" s="334"/>
      <c r="BD113" s="530"/>
      <c r="BE113" s="533"/>
      <c r="BF113" s="536"/>
      <c r="BG113" s="334"/>
      <c r="BH113" s="530"/>
      <c r="BI113" s="533"/>
      <c r="BJ113" s="536"/>
      <c r="BK113" s="334"/>
      <c r="BL113" s="537"/>
      <c r="BM113" s="537"/>
      <c r="BN113" s="537"/>
      <c r="BO113" s="537"/>
      <c r="BP113" s="537"/>
      <c r="BQ113" s="18"/>
      <c r="BR113" s="49"/>
    </row>
    <row r="114" spans="1:70" ht="60" x14ac:dyDescent="0.95">
      <c r="A114" s="89"/>
      <c r="B114" s="153"/>
      <c r="C114" s="154"/>
      <c r="D114" s="154"/>
      <c r="E114" s="155"/>
      <c r="F114" s="206"/>
      <c r="G114" s="207"/>
      <c r="H114" s="157"/>
      <c r="I114" s="157"/>
      <c r="J114" s="157"/>
      <c r="K114" s="158"/>
      <c r="L114" s="157"/>
      <c r="M114" s="157"/>
      <c r="N114" s="157"/>
      <c r="O114" s="158"/>
      <c r="P114" s="157"/>
      <c r="Q114" s="157"/>
      <c r="R114" s="157"/>
      <c r="S114" s="159"/>
      <c r="T114" s="157"/>
      <c r="U114" s="157"/>
      <c r="V114" s="157"/>
      <c r="W114" s="157"/>
      <c r="X114" s="155"/>
      <c r="Y114" s="160"/>
      <c r="Z114" s="160"/>
      <c r="AA114" s="208"/>
      <c r="AB114" s="209"/>
      <c r="AC114" s="210"/>
      <c r="AD114" s="156"/>
      <c r="AE114" s="158"/>
      <c r="AF114" s="169"/>
      <c r="AG114" s="169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65"/>
      <c r="AS114" s="166"/>
      <c r="AT114" s="167"/>
      <c r="AU114" s="211"/>
      <c r="AV114" s="209"/>
      <c r="AW114" s="161"/>
      <c r="AX114" s="162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  <c r="BL114" s="155"/>
      <c r="BM114" s="157"/>
      <c r="BN114" s="160"/>
      <c r="BO114" s="157"/>
      <c r="BP114" s="157"/>
      <c r="BQ114" s="156"/>
      <c r="BR114" s="49"/>
    </row>
    <row r="115" spans="1:70" ht="60.6" thickBot="1" x14ac:dyDescent="1">
      <c r="A115" s="2"/>
      <c r="B115" s="71"/>
      <c r="C115" s="172"/>
      <c r="D115" s="202"/>
      <c r="E115" s="20"/>
      <c r="F115" s="202"/>
      <c r="G115" s="30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20"/>
      <c r="Y115" s="21"/>
      <c r="Z115" s="21"/>
      <c r="AA115" s="11"/>
      <c r="AB115" s="15"/>
      <c r="AC115" s="30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25"/>
      <c r="AS115" s="23"/>
      <c r="AT115" s="26"/>
      <c r="AU115" s="187"/>
      <c r="AV115" s="15"/>
      <c r="AW115" s="187"/>
      <c r="AX115" s="27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20"/>
      <c r="BM115" s="16"/>
      <c r="BN115" s="21"/>
      <c r="BO115" s="16"/>
      <c r="BP115" s="16"/>
      <c r="BQ115" s="185"/>
      <c r="BR115" s="213"/>
    </row>
    <row r="116" spans="1:70" ht="166.2" customHeight="1" x14ac:dyDescent="0.95">
      <c r="A116" s="214"/>
      <c r="B116" s="215"/>
      <c r="C116" s="521" t="s">
        <v>63</v>
      </c>
      <c r="D116" s="202"/>
      <c r="E116" s="524">
        <f>'MAPEO MALLA'!$E$115</f>
        <v>0</v>
      </c>
      <c r="F116" s="18"/>
      <c r="G116" s="30"/>
      <c r="H116" s="504" t="str">
        <f>_xlfn.XLOOKUP('MAPEO MALLA'!H115,'ASIGNACIÓN ASIGNATURAS'!$AD:$AD,'ASIGNACIÓN ASIGNATURAS'!$O:$O,"",0)</f>
        <v/>
      </c>
      <c r="I116" s="504"/>
      <c r="J116" s="504"/>
      <c r="K116" s="51"/>
      <c r="L116" s="504" t="str">
        <f>_xlfn.XLOOKUP('MAPEO MALLA'!L115,'ASIGNACIÓN ASIGNATURAS'!$AD:$AD,'ASIGNACIÓN ASIGNATURAS'!$O:$O,"",0)</f>
        <v/>
      </c>
      <c r="M116" s="504"/>
      <c r="N116" s="504"/>
      <c r="O116" s="51"/>
      <c r="P116" s="504" t="str">
        <f>_xlfn.XLOOKUP('MAPEO MALLA'!P115,'ASIGNACIÓN ASIGNATURAS'!$AD:$AD,'ASIGNACIÓN ASIGNATURAS'!$O:$O,"",0)</f>
        <v/>
      </c>
      <c r="Q116" s="504"/>
      <c r="R116" s="504"/>
      <c r="S116" s="51"/>
      <c r="T116" s="504" t="str">
        <f>_xlfn.XLOOKUP('MAPEO MALLA'!T115,'ASIGNACIÓN ASIGNATURAS'!$AD:$AD,'ASIGNACIÓN ASIGNATURAS'!$O:$O,"",0)</f>
        <v/>
      </c>
      <c r="U116" s="504"/>
      <c r="V116" s="504"/>
      <c r="W116" s="30"/>
      <c r="X116" s="512">
        <f>J119+N119+R119+V119+J124+N124+R124+V124</f>
        <v>0</v>
      </c>
      <c r="Y116" s="329"/>
      <c r="Z116" s="509">
        <f>X116</f>
        <v>0</v>
      </c>
      <c r="AA116" s="307"/>
      <c r="AB116" s="506" t="e">
        <f>Z116/X113</f>
        <v>#N/A</v>
      </c>
      <c r="AC116" s="30"/>
      <c r="AD116" s="24"/>
      <c r="AE116" s="51"/>
      <c r="AF116" s="504" t="str">
        <f>_xlfn.XLOOKUP('MAPEO MALLA'!AF115,'ASIGNACIÓN ASIGNATURAS'!$AD:$AD,'ASIGNACIÓN ASIGNATURAS'!$O:$O,"",0)</f>
        <v/>
      </c>
      <c r="AG116" s="504"/>
      <c r="AH116" s="504"/>
      <c r="AI116" s="51"/>
      <c r="AJ116" s="504" t="str">
        <f>_xlfn.XLOOKUP('MAPEO MALLA'!AJ115,'ASIGNACIÓN ASIGNATURAS'!$AD:$AD,'ASIGNACIÓN ASIGNATURAS'!$O:$O,"",0)</f>
        <v/>
      </c>
      <c r="AK116" s="504"/>
      <c r="AL116" s="504"/>
      <c r="AM116" s="51"/>
      <c r="AN116" s="51" t="str">
        <f>_xlfn.XLOOKUP('MAPEO MALLA'!AN115,'ASIGNACIÓN ASIGNATURAS'!$AD:$AD,'ASIGNACIÓN ASIGNATURAS'!$O:$O,"",0)</f>
        <v/>
      </c>
      <c r="AO116" s="51"/>
      <c r="AP116" s="51"/>
      <c r="AQ116" s="51"/>
      <c r="AR116" s="512">
        <f>+X116+AL119+AP119+AL124+AP124</f>
        <v>0</v>
      </c>
      <c r="AS116" s="329"/>
      <c r="AT116" s="515">
        <f>AR116</f>
        <v>0</v>
      </c>
      <c r="AU116" s="307"/>
      <c r="AV116" s="506" t="e">
        <f>AT116/AR113</f>
        <v>#N/A</v>
      </c>
      <c r="AW116" s="187"/>
      <c r="AX116" s="205"/>
      <c r="AY116" s="51"/>
      <c r="AZ116" s="504" t="str">
        <f>_xlfn.XLOOKUP('MAPEO MALLA'!AZ115,'ASIGNACIÓN ASIGNATURAS'!$AD:$AD,'ASIGNACIÓN ASIGNATURAS'!$O:$O,"",0)</f>
        <v/>
      </c>
      <c r="BA116" s="504"/>
      <c r="BB116" s="504"/>
      <c r="BC116" s="51"/>
      <c r="BD116" s="504" t="str">
        <f>_xlfn.XLOOKUP('MAPEO MALLA'!BD115,'ASIGNACIÓN ASIGNATURAS'!$AD:$AD,'ASIGNACIÓN ASIGNATURAS'!$O:$O,"",0)</f>
        <v/>
      </c>
      <c r="BE116" s="504"/>
      <c r="BF116" s="504"/>
      <c r="BG116" s="51"/>
      <c r="BH116" s="504" t="str">
        <f>_xlfn.XLOOKUP('MAPEO MALLA'!BH115,'ASIGNACIÓN ASIGNATURAS'!$AD:$AD,'ASIGNACIÓN ASIGNATURAS'!$O:$O,"",0)</f>
        <v/>
      </c>
      <c r="BI116" s="504"/>
      <c r="BJ116" s="504"/>
      <c r="BK116" s="51"/>
      <c r="BL116" s="518">
        <f>+BJ119+BB119+BF119+BB124+BF124+BJ124+AR116</f>
        <v>0</v>
      </c>
      <c r="BM116" s="329"/>
      <c r="BN116" s="515">
        <f>BL116</f>
        <v>0</v>
      </c>
      <c r="BO116" s="307"/>
      <c r="BP116" s="506" t="e">
        <f>BN116/BL109</f>
        <v>#N/A</v>
      </c>
      <c r="BQ116" s="185"/>
      <c r="BR116" s="218"/>
    </row>
    <row r="117" spans="1:70" ht="60" customHeight="1" x14ac:dyDescent="0.95">
      <c r="A117" s="12"/>
      <c r="B117" s="14"/>
      <c r="C117" s="522"/>
      <c r="D117" s="202"/>
      <c r="E117" s="524"/>
      <c r="F117" s="18"/>
      <c r="G117" s="30"/>
      <c r="H117" s="505" t="str">
        <f>_xlfn.XLOOKUP('MAPEO MALLA'!H115,'ASIGNACIÓN ASIGNATURAS'!$AD:$AD,'ASIGNACIÓN ASIGNATURAS'!$AG:$AG,"",0)</f>
        <v/>
      </c>
      <c r="I117" s="505"/>
      <c r="J117" s="505"/>
      <c r="K117" s="106"/>
      <c r="L117" s="505" t="str">
        <f>_xlfn.XLOOKUP('MAPEO MALLA'!L115,'ASIGNACIÓN ASIGNATURAS'!$AD:$AD,'ASIGNACIÓN ASIGNATURAS'!$AG:$AG,"",0)</f>
        <v/>
      </c>
      <c r="M117" s="505"/>
      <c r="N117" s="505"/>
      <c r="O117" s="106"/>
      <c r="P117" s="505" t="str">
        <f>_xlfn.XLOOKUP('MAPEO MALLA'!P115,'ASIGNACIÓN ASIGNATURAS'!$AD:$AD,'ASIGNACIÓN ASIGNATURAS'!$AG:$AG,"",0)</f>
        <v/>
      </c>
      <c r="Q117" s="505"/>
      <c r="R117" s="505"/>
      <c r="S117" s="106"/>
      <c r="T117" s="505" t="str">
        <f>_xlfn.XLOOKUP('MAPEO MALLA'!T115,'ASIGNACIÓN ASIGNATURAS'!$AD:$AD,'ASIGNACIÓN ASIGNATURAS'!$AG:$AG,"",0)</f>
        <v/>
      </c>
      <c r="U117" s="505"/>
      <c r="V117" s="505"/>
      <c r="W117" s="30"/>
      <c r="X117" s="510"/>
      <c r="Y117" s="329"/>
      <c r="Z117" s="510"/>
      <c r="AA117" s="307"/>
      <c r="AB117" s="510"/>
      <c r="AC117" s="30"/>
      <c r="AD117" s="24"/>
      <c r="AE117" s="106"/>
      <c r="AF117" s="505" t="str">
        <f>_xlfn.XLOOKUP('MAPEO MALLA'!AF115,'ASIGNACIÓN ASIGNATURAS'!$AD:$AD,'ASIGNACIÓN ASIGNATURAS'!$AG:$AG,"",0)</f>
        <v/>
      </c>
      <c r="AG117" s="505"/>
      <c r="AH117" s="505"/>
      <c r="AI117" s="106"/>
      <c r="AJ117" s="505" t="str">
        <f>_xlfn.XLOOKUP('MAPEO MALLA'!AJ115,'ASIGNACIÓN ASIGNATURAS'!$AD:$AD,'ASIGNACIÓN ASIGNATURAS'!$AG:$AG,"",0)</f>
        <v/>
      </c>
      <c r="AK117" s="505"/>
      <c r="AL117" s="505"/>
      <c r="AM117" s="51"/>
      <c r="AN117" s="51" t="str">
        <f>_xlfn.XLOOKUP('MAPEO MALLA'!AN115,'ASIGNACIÓN ASIGNATURAS'!$AD:$AD,'ASIGNACIÓN ASIGNATURAS'!$AG:$AG,"",0)</f>
        <v/>
      </c>
      <c r="AO117" s="51"/>
      <c r="AP117" s="51"/>
      <c r="AQ117" s="51"/>
      <c r="AR117" s="513"/>
      <c r="AS117" s="329"/>
      <c r="AT117" s="516"/>
      <c r="AU117" s="307"/>
      <c r="AV117" s="507"/>
      <c r="AW117" s="187"/>
      <c r="AX117" s="24"/>
      <c r="AY117" s="106"/>
      <c r="AZ117" s="505" t="str">
        <f>_xlfn.XLOOKUP('MAPEO MALLA'!AZ115,'ASIGNACIÓN ASIGNATURAS'!$AD:$AD,'ASIGNACIÓN ASIGNATURAS'!$AG:$AG,"",0)</f>
        <v/>
      </c>
      <c r="BA117" s="505"/>
      <c r="BB117" s="505"/>
      <c r="BC117" s="106"/>
      <c r="BD117" s="505" t="str">
        <f>_xlfn.XLOOKUP('MAPEO MALLA'!BD115,'ASIGNACIÓN ASIGNATURAS'!$AD:$AD,'ASIGNACIÓN ASIGNATURAS'!$AG:$AG,"",0)</f>
        <v/>
      </c>
      <c r="BE117" s="505"/>
      <c r="BF117" s="505"/>
      <c r="BG117" s="106"/>
      <c r="BH117" s="505" t="str">
        <f>_xlfn.XLOOKUP('MAPEO MALLA'!BH115,'ASIGNACIÓN ASIGNATURAS'!$AD:$AD,'ASIGNACIÓN ASIGNATURAS'!$AG:$AG,"",0)</f>
        <v/>
      </c>
      <c r="BI117" s="505"/>
      <c r="BJ117" s="505"/>
      <c r="BK117" s="106"/>
      <c r="BL117" s="519"/>
      <c r="BM117" s="329"/>
      <c r="BN117" s="516"/>
      <c r="BO117" s="307"/>
      <c r="BP117" s="507"/>
      <c r="BQ117" s="18"/>
      <c r="BR117" s="49"/>
    </row>
    <row r="118" spans="1:70" ht="60" x14ac:dyDescent="0.95">
      <c r="A118" s="12"/>
      <c r="B118" s="14"/>
      <c r="C118" s="522"/>
      <c r="D118" s="202"/>
      <c r="E118" s="524"/>
      <c r="F118" s="18"/>
      <c r="G118" s="30"/>
      <c r="H118" s="505"/>
      <c r="I118" s="505"/>
      <c r="J118" s="505"/>
      <c r="K118" s="51"/>
      <c r="L118" s="505"/>
      <c r="M118" s="505"/>
      <c r="N118" s="505"/>
      <c r="O118" s="51"/>
      <c r="P118" s="505"/>
      <c r="Q118" s="505"/>
      <c r="R118" s="505"/>
      <c r="S118" s="51"/>
      <c r="T118" s="505"/>
      <c r="U118" s="505"/>
      <c r="V118" s="505"/>
      <c r="W118" s="30"/>
      <c r="X118" s="510"/>
      <c r="Y118" s="329"/>
      <c r="Z118" s="510"/>
      <c r="AA118" s="307"/>
      <c r="AB118" s="510"/>
      <c r="AC118" s="30"/>
      <c r="AD118" s="24"/>
      <c r="AE118" s="51"/>
      <c r="AF118" s="505"/>
      <c r="AG118" s="505"/>
      <c r="AH118" s="505"/>
      <c r="AI118" s="51"/>
      <c r="AJ118" s="505"/>
      <c r="AK118" s="505"/>
      <c r="AL118" s="505"/>
      <c r="AM118" s="51"/>
      <c r="AN118" s="51"/>
      <c r="AO118" s="51"/>
      <c r="AP118" s="51"/>
      <c r="AQ118" s="51"/>
      <c r="AR118" s="513"/>
      <c r="AS118" s="329"/>
      <c r="AT118" s="516"/>
      <c r="AU118" s="307"/>
      <c r="AV118" s="507"/>
      <c r="AW118" s="187"/>
      <c r="AX118" s="24"/>
      <c r="AY118" s="51"/>
      <c r="AZ118" s="505"/>
      <c r="BA118" s="505"/>
      <c r="BB118" s="505"/>
      <c r="BC118" s="51"/>
      <c r="BD118" s="505"/>
      <c r="BE118" s="505"/>
      <c r="BF118" s="505"/>
      <c r="BG118" s="51"/>
      <c r="BH118" s="505"/>
      <c r="BI118" s="505"/>
      <c r="BJ118" s="505"/>
      <c r="BK118" s="51"/>
      <c r="BL118" s="519"/>
      <c r="BM118" s="329"/>
      <c r="BN118" s="516"/>
      <c r="BO118" s="307"/>
      <c r="BP118" s="507"/>
      <c r="BQ118" s="18"/>
      <c r="BR118" s="49"/>
    </row>
    <row r="119" spans="1:70" ht="60" x14ac:dyDescent="0.95">
      <c r="A119" s="12"/>
      <c r="B119" s="14"/>
      <c r="C119" s="522"/>
      <c r="D119" s="202"/>
      <c r="E119" s="524"/>
      <c r="F119" s="18"/>
      <c r="G119" s="30"/>
      <c r="H119" s="444" t="str">
        <f>_xlfn.XLOOKUP('MAPEO MALLA'!H115,'ASIGNACIÓN ASIGNATURAS'!$AD:$AD,'ASIGNACIÓN ASIGNATURAS'!$T:$T,"",0)</f>
        <v/>
      </c>
      <c r="I119" s="459" t="str">
        <f>_xlfn.XLOOKUP('MAPEO MALLA'!H115,'ASIGNACIÓN ASIGNATURAS'!$AD:$AD,'ASIGNACIÓN ASIGNATURAS'!$U:$U,"",0)</f>
        <v/>
      </c>
      <c r="J119" s="443">
        <f>IF(H119="",,(H119+I119)/48)</f>
        <v>0</v>
      </c>
      <c r="K119" s="106"/>
      <c r="L119" s="444" t="str">
        <f>_xlfn.XLOOKUP('MAPEO MALLA'!L115,'ASIGNACIÓN ASIGNATURAS'!$AD:$AD,'ASIGNACIÓN ASIGNATURAS'!$T:$T,"",0)</f>
        <v/>
      </c>
      <c r="M119" s="459" t="str">
        <f>_xlfn.XLOOKUP('MAPEO MALLA'!L115,'ASIGNACIÓN ASIGNATURAS'!$AD:$AD,'ASIGNACIÓN ASIGNATURAS'!$U:$U,"",0)</f>
        <v/>
      </c>
      <c r="N119" s="443">
        <f>IF(L119="",,(L119+M119)/48)</f>
        <v>0</v>
      </c>
      <c r="O119" s="106"/>
      <c r="P119" s="444" t="str">
        <f>_xlfn.XLOOKUP('MAPEO MALLA'!P115,'ASIGNACIÓN ASIGNATURAS'!$AD:$AD,'ASIGNACIÓN ASIGNATURAS'!$T:$T,"",0)</f>
        <v/>
      </c>
      <c r="Q119" s="459" t="str">
        <f>_xlfn.XLOOKUP('MAPEO MALLA'!P115,'ASIGNACIÓN ASIGNATURAS'!$AD:$AD,'ASIGNACIÓN ASIGNATURAS'!$U:$U,"",0)</f>
        <v/>
      </c>
      <c r="R119" s="443">
        <f>IF(P119="",,(P119+Q119)/48)</f>
        <v>0</v>
      </c>
      <c r="S119" s="106"/>
      <c r="T119" s="444" t="str">
        <f>_xlfn.XLOOKUP('MAPEO MALLA'!T115,'ASIGNACIÓN ASIGNATURAS'!$AD:$AD,'ASIGNACIÓN ASIGNATURAS'!$T:$T,"",0)</f>
        <v/>
      </c>
      <c r="U119" s="459" t="str">
        <f>_xlfn.XLOOKUP('MAPEO MALLA'!T115,'ASIGNACIÓN ASIGNATURAS'!$AD:$AD,'ASIGNACIÓN ASIGNATURAS'!$U:$U,"",0)</f>
        <v/>
      </c>
      <c r="V119" s="443">
        <f>IF(T119="",,(T119+U119)/48)</f>
        <v>0</v>
      </c>
      <c r="W119" s="30"/>
      <c r="X119" s="510"/>
      <c r="Y119" s="329"/>
      <c r="Z119" s="510"/>
      <c r="AA119" s="307"/>
      <c r="AB119" s="510"/>
      <c r="AC119" s="30"/>
      <c r="AD119" s="24"/>
      <c r="AE119" s="106"/>
      <c r="AF119" s="444" t="str">
        <f>_xlfn.XLOOKUP('MAPEO MALLA'!AF115,'ASIGNACIÓN ASIGNATURAS'!$AD:$AD,'ASIGNACIÓN ASIGNATURAS'!$T:$T,"",0)</f>
        <v/>
      </c>
      <c r="AG119" s="459" t="str">
        <f>_xlfn.XLOOKUP('MAPEO MALLA'!AF115,'ASIGNACIÓN ASIGNATURAS'!$AD:$AD,'ASIGNACIÓN ASIGNATURAS'!$U:$U,"",0)</f>
        <v/>
      </c>
      <c r="AH119" s="443">
        <f>IF(AF119="",,(AF119+AG119)/48)</f>
        <v>0</v>
      </c>
      <c r="AI119" s="106"/>
      <c r="AJ119" s="444" t="str">
        <f>_xlfn.XLOOKUP('MAPEO MALLA'!AJ115,'ASIGNACIÓN ASIGNATURAS'!$AD:$AD,'ASIGNACIÓN ASIGNATURAS'!$T:$T,"",0)</f>
        <v/>
      </c>
      <c r="AK119" s="459" t="str">
        <f>_xlfn.XLOOKUP('MAPEO MALLA'!AJ115,'ASIGNACIÓN ASIGNATURAS'!$AD:$AD,'ASIGNACIÓN ASIGNATURAS'!$U:$U,"",0)</f>
        <v/>
      </c>
      <c r="AL119" s="443">
        <f>IF(AJ119="",,(AJ119+AK119)/48)</f>
        <v>0</v>
      </c>
      <c r="AM119" s="51"/>
      <c r="AN119" s="51" t="str">
        <f>_xlfn.XLOOKUP('MAPEO MALLA'!AN115,'ASIGNACIÓN ASIGNATURAS'!$AD:$AD,'ASIGNACIÓN ASIGNATURAS'!$T:$T,"",0)</f>
        <v/>
      </c>
      <c r="AO119" s="51" t="str">
        <f>_xlfn.XLOOKUP('MAPEO MALLA'!AN115,'ASIGNACIÓN ASIGNATURAS'!$AD:$AD,'ASIGNACIÓN ASIGNATURAS'!$U:$U,"",0)</f>
        <v/>
      </c>
      <c r="AP119" s="51">
        <f>IF(AN119="",,(AN119+AO119)/48)</f>
        <v>0</v>
      </c>
      <c r="AQ119" s="51"/>
      <c r="AR119" s="513"/>
      <c r="AS119" s="329"/>
      <c r="AT119" s="516"/>
      <c r="AU119" s="307"/>
      <c r="AV119" s="507"/>
      <c r="AW119" s="187"/>
      <c r="AX119" s="97"/>
      <c r="AY119" s="106"/>
      <c r="AZ119" s="444" t="str">
        <f>_xlfn.XLOOKUP('MAPEO MALLA'!AZ115,'ASIGNACIÓN ASIGNATURAS'!$AD:$AD,'ASIGNACIÓN ASIGNATURAS'!$T:$T,"",0)</f>
        <v/>
      </c>
      <c r="BA119" s="459" t="str">
        <f>_xlfn.XLOOKUP('MAPEO MALLA'!AZ115,'ASIGNACIÓN ASIGNATURAS'!$AD:$AD,'ASIGNACIÓN ASIGNATURAS'!$U:$U,"",0)</f>
        <v/>
      </c>
      <c r="BB119" s="443">
        <f>IF(AZ119="",,(AZ119+BA119)/48)</f>
        <v>0</v>
      </c>
      <c r="BC119" s="106"/>
      <c r="BD119" s="444" t="str">
        <f>_xlfn.XLOOKUP('MAPEO MALLA'!BD115,'ASIGNACIÓN ASIGNATURAS'!$AD:$AD,'ASIGNACIÓN ASIGNATURAS'!$T:$T,"",0)</f>
        <v/>
      </c>
      <c r="BE119" s="459" t="str">
        <f>_xlfn.XLOOKUP('MAPEO MALLA'!BD115,'ASIGNACIÓN ASIGNATURAS'!$AD:$AD,'ASIGNACIÓN ASIGNATURAS'!$U:$U,"",0)</f>
        <v/>
      </c>
      <c r="BF119" s="443">
        <f>IF(BD119="",,(BD119+BE119)/48)</f>
        <v>0</v>
      </c>
      <c r="BG119" s="106"/>
      <c r="BH119" s="444" t="str">
        <f>_xlfn.XLOOKUP('MAPEO MALLA'!BH115,'ASIGNACIÓN ASIGNATURAS'!$AD:$AD,'ASIGNACIÓN ASIGNATURAS'!$T:$T,"",0)</f>
        <v/>
      </c>
      <c r="BI119" s="459" t="str">
        <f>_xlfn.XLOOKUP('MAPEO MALLA'!BH115,'ASIGNACIÓN ASIGNATURAS'!$AD:$AD,'ASIGNACIÓN ASIGNATURAS'!$U:$U,"",0)</f>
        <v/>
      </c>
      <c r="BJ119" s="443">
        <f>IF(BH119="",,(BH119+BI119)/48)</f>
        <v>0</v>
      </c>
      <c r="BK119" s="106"/>
      <c r="BL119" s="519"/>
      <c r="BM119" s="329"/>
      <c r="BN119" s="516"/>
      <c r="BO119" s="307"/>
      <c r="BP119" s="507"/>
      <c r="BQ119" s="18"/>
      <c r="BR119" s="49"/>
    </row>
    <row r="120" spans="1:70" ht="60" x14ac:dyDescent="0.95">
      <c r="A120" s="12"/>
      <c r="B120" s="14"/>
      <c r="C120" s="522"/>
      <c r="D120" s="202"/>
      <c r="E120" s="524"/>
      <c r="F120" s="18"/>
      <c r="G120" s="30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0"/>
      <c r="Y120" s="334"/>
      <c r="Z120" s="510"/>
      <c r="AA120" s="334"/>
      <c r="AB120" s="510"/>
      <c r="AC120" s="30"/>
      <c r="AD120" s="24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3"/>
      <c r="AS120" s="334"/>
      <c r="AT120" s="516"/>
      <c r="AU120" s="334"/>
      <c r="AV120" s="507"/>
      <c r="AW120" s="187"/>
      <c r="AX120" s="97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  <c r="BL120" s="519"/>
      <c r="BM120" s="334"/>
      <c r="BN120" s="516"/>
      <c r="BO120" s="334"/>
      <c r="BP120" s="507"/>
      <c r="BQ120" s="18"/>
      <c r="BR120" s="49"/>
    </row>
    <row r="121" spans="1:70" ht="124.5" customHeight="1" x14ac:dyDescent="0.95">
      <c r="A121" s="12"/>
      <c r="B121" s="14"/>
      <c r="C121" s="522"/>
      <c r="D121" s="202"/>
      <c r="E121" s="524"/>
      <c r="F121" s="18"/>
      <c r="G121" s="30"/>
      <c r="H121" s="504" t="str">
        <f>_xlfn.XLOOKUP('MAPEO MALLA'!H120,'ASIGNACIÓN ASIGNATURAS'!$AD:$AD,'ASIGNACIÓN ASIGNATURAS'!$O:$O,"",0)</f>
        <v/>
      </c>
      <c r="I121" s="504"/>
      <c r="J121" s="504"/>
      <c r="K121" s="51"/>
      <c r="L121" s="504" t="str">
        <f>_xlfn.XLOOKUP('MAPEO MALLA'!L120,'ASIGNACIÓN ASIGNATURAS'!$AD:$AD,'ASIGNACIÓN ASIGNATURAS'!$O:$O,"",0)</f>
        <v/>
      </c>
      <c r="M121" s="504"/>
      <c r="N121" s="504"/>
      <c r="O121" s="51"/>
      <c r="P121" s="504" t="str">
        <f>_xlfn.XLOOKUP('MAPEO MALLA'!P120,'ASIGNACIÓN ASIGNATURAS'!$AD:$AD,'ASIGNACIÓN ASIGNATURAS'!$O:$O,"",0)</f>
        <v/>
      </c>
      <c r="Q121" s="504"/>
      <c r="R121" s="504"/>
      <c r="S121" s="51"/>
      <c r="T121" s="504" t="str">
        <f>_xlfn.XLOOKUP('MAPEO MALLA'!T120,'ASIGNACIÓN ASIGNATURAS'!$AD:$AD,'ASIGNACIÓN ASIGNATURAS'!$O:$O,"",0)</f>
        <v/>
      </c>
      <c r="U121" s="504"/>
      <c r="V121" s="504"/>
      <c r="W121" s="30"/>
      <c r="X121" s="510"/>
      <c r="Y121" s="329"/>
      <c r="Z121" s="510"/>
      <c r="AA121" s="307"/>
      <c r="AB121" s="510"/>
      <c r="AC121" s="30"/>
      <c r="AD121" s="24"/>
      <c r="AE121" s="51"/>
      <c r="AF121" s="504" t="str">
        <f>_xlfn.XLOOKUP('MAPEO MALLA'!AF120,'ASIGNACIÓN ASIGNATURAS'!$AD:$AD,'ASIGNACIÓN ASIGNATURAS'!$O:$O,"",0)</f>
        <v/>
      </c>
      <c r="AG121" s="504"/>
      <c r="AH121" s="504"/>
      <c r="AI121" s="51"/>
      <c r="AJ121" s="504" t="str">
        <f>_xlfn.XLOOKUP('MAPEO MALLA'!AJ120,'ASIGNACIÓN ASIGNATURAS'!$AD:$AD,'ASIGNACIÓN ASIGNATURAS'!$O:$O,"",0)</f>
        <v/>
      </c>
      <c r="AK121" s="504"/>
      <c r="AL121" s="504"/>
      <c r="AM121" s="51"/>
      <c r="AN121" s="51" t="str">
        <f>_xlfn.XLOOKUP('MAPEO MALLA'!AN120,'ASIGNACIÓN ASIGNATURAS'!$AD:$AD,'ASIGNACIÓN ASIGNATURAS'!$O:$O,"",0)</f>
        <v/>
      </c>
      <c r="AO121" s="51"/>
      <c r="AP121" s="51"/>
      <c r="AQ121" s="51"/>
      <c r="AR121" s="513"/>
      <c r="AS121" s="329"/>
      <c r="AT121" s="516"/>
      <c r="AU121" s="307"/>
      <c r="AV121" s="507"/>
      <c r="AW121" s="187"/>
      <c r="AX121" s="24"/>
      <c r="AY121" s="51"/>
      <c r="AZ121" s="504" t="str">
        <f>_xlfn.XLOOKUP('MAPEO MALLA'!AZ120,'ASIGNACIÓN ASIGNATURAS'!$AD:$AD,'ASIGNACIÓN ASIGNATURAS'!$O:$O,"",0)</f>
        <v/>
      </c>
      <c r="BA121" s="504"/>
      <c r="BB121" s="504"/>
      <c r="BC121" s="51"/>
      <c r="BD121" s="504" t="str">
        <f>_xlfn.XLOOKUP('MAPEO MALLA'!BD120,'ASIGNACIÓN ASIGNATURAS'!$AD:$AD,'ASIGNACIÓN ASIGNATURAS'!$O:$O,"",0)</f>
        <v/>
      </c>
      <c r="BE121" s="504"/>
      <c r="BF121" s="504"/>
      <c r="BG121" s="51"/>
      <c r="BH121" s="504" t="str">
        <f>_xlfn.XLOOKUP('MAPEO MALLA'!BH120,'ASIGNACIÓN ASIGNATURAS'!$AD:$AD,'ASIGNACIÓN ASIGNATURAS'!$O:$O,"",0)</f>
        <v/>
      </c>
      <c r="BI121" s="504"/>
      <c r="BJ121" s="504"/>
      <c r="BK121" s="51"/>
      <c r="BL121" s="519"/>
      <c r="BM121" s="329"/>
      <c r="BN121" s="516"/>
      <c r="BO121" s="307"/>
      <c r="BP121" s="507"/>
      <c r="BQ121" s="18"/>
      <c r="BR121" s="49"/>
    </row>
    <row r="122" spans="1:70" ht="60" customHeight="1" x14ac:dyDescent="0.95">
      <c r="A122" s="12"/>
      <c r="B122" s="14"/>
      <c r="C122" s="522"/>
      <c r="D122" s="202"/>
      <c r="E122" s="524"/>
      <c r="F122" s="18"/>
      <c r="G122" s="30"/>
      <c r="H122" s="505" t="str">
        <f>_xlfn.XLOOKUP('MAPEO MALLA'!H120,'ASIGNACIÓN ASIGNATURAS'!$AD:$AD,'ASIGNACIÓN ASIGNATURAS'!$AG:$AG,"",0)</f>
        <v/>
      </c>
      <c r="I122" s="505"/>
      <c r="J122" s="505"/>
      <c r="K122" s="106"/>
      <c r="L122" s="505" t="str">
        <f>_xlfn.XLOOKUP('MAPEO MALLA'!L120,'ASIGNACIÓN ASIGNATURAS'!$AD:$AD,'ASIGNACIÓN ASIGNATURAS'!$AG:$AG,"",0)</f>
        <v/>
      </c>
      <c r="M122" s="505"/>
      <c r="N122" s="505"/>
      <c r="O122" s="106"/>
      <c r="P122" s="505" t="str">
        <f>_xlfn.XLOOKUP('MAPEO MALLA'!P120,'ASIGNACIÓN ASIGNATURAS'!$AD:$AD,'ASIGNACIÓN ASIGNATURAS'!$AG:$AG,"",0)</f>
        <v/>
      </c>
      <c r="Q122" s="505"/>
      <c r="R122" s="505"/>
      <c r="S122" s="106"/>
      <c r="T122" s="505" t="str">
        <f>_xlfn.XLOOKUP('MAPEO MALLA'!T120,'ASIGNACIÓN ASIGNATURAS'!$AD:$AD,'ASIGNACIÓN ASIGNATURAS'!$AG:$AG,"",0)</f>
        <v/>
      </c>
      <c r="U122" s="505"/>
      <c r="V122" s="505"/>
      <c r="W122" s="30"/>
      <c r="X122" s="510"/>
      <c r="Y122" s="329"/>
      <c r="Z122" s="510"/>
      <c r="AA122" s="307"/>
      <c r="AB122" s="510"/>
      <c r="AC122" s="30"/>
      <c r="AD122" s="24"/>
      <c r="AE122" s="106"/>
      <c r="AF122" s="505" t="str">
        <f>_xlfn.XLOOKUP('MAPEO MALLA'!AF120,'ASIGNACIÓN ASIGNATURAS'!$AD:$AD,'ASIGNACIÓN ASIGNATURAS'!$AG:$AG,"",0)</f>
        <v/>
      </c>
      <c r="AG122" s="505"/>
      <c r="AH122" s="505"/>
      <c r="AI122" s="106"/>
      <c r="AJ122" s="505" t="str">
        <f>_xlfn.XLOOKUP('MAPEO MALLA'!AJ120,'ASIGNACIÓN ASIGNATURAS'!$AD:$AD,'ASIGNACIÓN ASIGNATURAS'!$AG:$AG,"",0)</f>
        <v/>
      </c>
      <c r="AK122" s="505"/>
      <c r="AL122" s="505"/>
      <c r="AM122" s="51"/>
      <c r="AN122" s="51" t="str">
        <f>_xlfn.XLOOKUP('MAPEO MALLA'!AN120,'ASIGNACIÓN ASIGNATURAS'!$AD:$AD,'ASIGNACIÓN ASIGNATURAS'!$AG:$AG,"",0)</f>
        <v/>
      </c>
      <c r="AO122" s="51"/>
      <c r="AP122" s="51"/>
      <c r="AQ122" s="51"/>
      <c r="AR122" s="513"/>
      <c r="AS122" s="329"/>
      <c r="AT122" s="516"/>
      <c r="AU122" s="307"/>
      <c r="AV122" s="507"/>
      <c r="AW122" s="187"/>
      <c r="AX122" s="24"/>
      <c r="AY122" s="106"/>
      <c r="AZ122" s="505" t="str">
        <f>_xlfn.XLOOKUP('MAPEO MALLA'!AZ120,'ASIGNACIÓN ASIGNATURAS'!$AD:$AD,'ASIGNACIÓN ASIGNATURAS'!$AG:$AG,"",0)</f>
        <v/>
      </c>
      <c r="BA122" s="505"/>
      <c r="BB122" s="505"/>
      <c r="BC122" s="106"/>
      <c r="BD122" s="505" t="str">
        <f>_xlfn.XLOOKUP('MAPEO MALLA'!BD120,'ASIGNACIÓN ASIGNATURAS'!$AD:$AD,'ASIGNACIÓN ASIGNATURAS'!$AG:$AG,"",0)</f>
        <v/>
      </c>
      <c r="BE122" s="505"/>
      <c r="BF122" s="505"/>
      <c r="BG122" s="106"/>
      <c r="BH122" s="505" t="str">
        <f>_xlfn.XLOOKUP('MAPEO MALLA'!BH120,'ASIGNACIÓN ASIGNATURAS'!$AD:$AD,'ASIGNACIÓN ASIGNATURAS'!$AG:$AG,"",0)</f>
        <v/>
      </c>
      <c r="BI122" s="505"/>
      <c r="BJ122" s="505"/>
      <c r="BK122" s="106"/>
      <c r="BL122" s="519"/>
      <c r="BM122" s="329"/>
      <c r="BN122" s="516"/>
      <c r="BO122" s="307"/>
      <c r="BP122" s="507"/>
      <c r="BQ122" s="18"/>
      <c r="BR122" s="49"/>
    </row>
    <row r="123" spans="1:70" ht="60" x14ac:dyDescent="0.95">
      <c r="A123" s="12"/>
      <c r="B123" s="14"/>
      <c r="C123" s="522"/>
      <c r="D123" s="202"/>
      <c r="E123" s="524"/>
      <c r="F123" s="18"/>
      <c r="G123" s="30"/>
      <c r="H123" s="505"/>
      <c r="I123" s="505"/>
      <c r="J123" s="505"/>
      <c r="K123" s="51"/>
      <c r="L123" s="505"/>
      <c r="M123" s="505"/>
      <c r="N123" s="505"/>
      <c r="O123" s="51"/>
      <c r="P123" s="505"/>
      <c r="Q123" s="505"/>
      <c r="R123" s="505"/>
      <c r="S123" s="51"/>
      <c r="T123" s="505"/>
      <c r="U123" s="505"/>
      <c r="V123" s="505"/>
      <c r="W123" s="30"/>
      <c r="X123" s="510"/>
      <c r="Y123" s="329"/>
      <c r="Z123" s="510"/>
      <c r="AA123" s="307"/>
      <c r="AB123" s="510"/>
      <c r="AC123" s="30"/>
      <c r="AD123" s="24"/>
      <c r="AE123" s="51"/>
      <c r="AF123" s="505"/>
      <c r="AG123" s="505"/>
      <c r="AH123" s="505"/>
      <c r="AI123" s="51"/>
      <c r="AJ123" s="505"/>
      <c r="AK123" s="505"/>
      <c r="AL123" s="505"/>
      <c r="AM123" s="51"/>
      <c r="AN123" s="51"/>
      <c r="AO123" s="51"/>
      <c r="AP123" s="51"/>
      <c r="AQ123" s="51"/>
      <c r="AR123" s="513"/>
      <c r="AS123" s="329"/>
      <c r="AT123" s="516"/>
      <c r="AU123" s="307"/>
      <c r="AV123" s="507"/>
      <c r="AW123" s="187"/>
      <c r="AX123" s="24"/>
      <c r="AY123" s="51"/>
      <c r="AZ123" s="505"/>
      <c r="BA123" s="505"/>
      <c r="BB123" s="505"/>
      <c r="BC123" s="51"/>
      <c r="BD123" s="505"/>
      <c r="BE123" s="505"/>
      <c r="BF123" s="505"/>
      <c r="BG123" s="51"/>
      <c r="BH123" s="505"/>
      <c r="BI123" s="505"/>
      <c r="BJ123" s="505"/>
      <c r="BK123" s="51"/>
      <c r="BL123" s="519"/>
      <c r="BM123" s="329"/>
      <c r="BN123" s="516"/>
      <c r="BO123" s="307"/>
      <c r="BP123" s="507"/>
      <c r="BQ123" s="18"/>
      <c r="BR123" s="49"/>
    </row>
    <row r="124" spans="1:70" ht="84" customHeight="1" thickBot="1" x14ac:dyDescent="1">
      <c r="A124" s="12"/>
      <c r="B124" s="14"/>
      <c r="C124" s="523"/>
      <c r="D124" s="202"/>
      <c r="E124" s="524"/>
      <c r="F124" s="18"/>
      <c r="G124" s="30"/>
      <c r="H124" s="444" t="str">
        <f>_xlfn.XLOOKUP('MAPEO MALLA'!H120,'ASIGNACIÓN ASIGNATURAS'!$AD:$AD,'ASIGNACIÓN ASIGNATURAS'!$T:$T,"",0)</f>
        <v/>
      </c>
      <c r="I124" s="459" t="str">
        <f>_xlfn.XLOOKUP('MAPEO MALLA'!H120,'ASIGNACIÓN ASIGNATURAS'!$AD:$AD,'ASIGNACIÓN ASIGNATURAS'!$U:$U,"",0)</f>
        <v/>
      </c>
      <c r="J124" s="443">
        <f>IF(H124="",,(H124+I124)/48)</f>
        <v>0</v>
      </c>
      <c r="K124" s="106"/>
      <c r="L124" s="444" t="str">
        <f>_xlfn.XLOOKUP('MAPEO MALLA'!L120,'ASIGNACIÓN ASIGNATURAS'!$AD:$AD,'ASIGNACIÓN ASIGNATURAS'!$T:$T,"",0)</f>
        <v/>
      </c>
      <c r="M124" s="459" t="str">
        <f>_xlfn.XLOOKUP('MAPEO MALLA'!L120,'ASIGNACIÓN ASIGNATURAS'!$AD:$AD,'ASIGNACIÓN ASIGNATURAS'!$U:$U,"",0)</f>
        <v/>
      </c>
      <c r="N124" s="443">
        <f>IF(L124="",,(L124+M124)/48)</f>
        <v>0</v>
      </c>
      <c r="O124" s="106"/>
      <c r="P124" s="444" t="str">
        <f>_xlfn.XLOOKUP('MAPEO MALLA'!P120,'ASIGNACIÓN ASIGNATURAS'!$AD:$AD,'ASIGNACIÓN ASIGNATURAS'!$T:$T,"",0)</f>
        <v/>
      </c>
      <c r="Q124" s="459" t="str">
        <f>_xlfn.XLOOKUP('MAPEO MALLA'!P120,'ASIGNACIÓN ASIGNATURAS'!$AD:$AD,'ASIGNACIÓN ASIGNATURAS'!$U:$U,"",0)</f>
        <v/>
      </c>
      <c r="R124" s="443">
        <f>IF(P124="",,(P124+Q124)/48)</f>
        <v>0</v>
      </c>
      <c r="S124" s="106"/>
      <c r="T124" s="444" t="str">
        <f>_xlfn.XLOOKUP('MAPEO MALLA'!T120,'ASIGNACIÓN ASIGNATURAS'!$AD:$AD,'ASIGNACIÓN ASIGNATURAS'!$T:$T,"",0)</f>
        <v/>
      </c>
      <c r="U124" s="459" t="str">
        <f>_xlfn.XLOOKUP('MAPEO MALLA'!T120,'ASIGNACIÓN ASIGNATURAS'!$AD:$AD,'ASIGNACIÓN ASIGNATURAS'!$U:$U,"",0)</f>
        <v/>
      </c>
      <c r="V124" s="443">
        <f>IF(T124="",,(T124+U124)/48)</f>
        <v>0</v>
      </c>
      <c r="W124" s="30"/>
      <c r="X124" s="511"/>
      <c r="Y124" s="329"/>
      <c r="Z124" s="511"/>
      <c r="AA124" s="307"/>
      <c r="AB124" s="511"/>
      <c r="AC124" s="30"/>
      <c r="AD124" s="24"/>
      <c r="AE124" s="30"/>
      <c r="AF124" s="444" t="str">
        <f>_xlfn.XLOOKUP('MAPEO MALLA'!AF120,'ASIGNACIÓN ASIGNATURAS'!$AD:$AD,'ASIGNACIÓN ASIGNATURAS'!$T:$T,"",0)</f>
        <v/>
      </c>
      <c r="AG124" s="459" t="str">
        <f>_xlfn.XLOOKUP('MAPEO MALLA'!AF120,'ASIGNACIÓN ASIGNATURAS'!$AD:$AD,'ASIGNACIÓN ASIGNATURAS'!$U:$U,"",0)</f>
        <v/>
      </c>
      <c r="AH124" s="443">
        <f>IF(AF124="",,(AF124+AG124)/48)</f>
        <v>0</v>
      </c>
      <c r="AI124" s="106"/>
      <c r="AJ124" s="444" t="str">
        <f>_xlfn.XLOOKUP('MAPEO MALLA'!AJ120,'ASIGNACIÓN ASIGNATURAS'!$AD:$AD,'ASIGNACIÓN ASIGNATURAS'!$T:$T,"",0)</f>
        <v/>
      </c>
      <c r="AK124" s="459" t="str">
        <f>_xlfn.XLOOKUP('MAPEO MALLA'!AJ120,'ASIGNACIÓN ASIGNATURAS'!$AD:$AD,'ASIGNACIÓN ASIGNATURAS'!$U:$U,"",0)</f>
        <v/>
      </c>
      <c r="AL124" s="443">
        <f>IF(AJ124="",,(AJ124+AK124)/48)</f>
        <v>0</v>
      </c>
      <c r="AM124" s="51"/>
      <c r="AN124" s="51" t="str">
        <f>_xlfn.XLOOKUP('MAPEO MALLA'!AN120,'ASIGNACIÓN ASIGNATURAS'!$AD:$AD,'ASIGNACIÓN ASIGNATURAS'!$T:$T,"",0)</f>
        <v/>
      </c>
      <c r="AO124" s="51" t="str">
        <f>_xlfn.XLOOKUP('MAPEO MALLA'!AN120,'ASIGNACIÓN ASIGNATURAS'!$AD:$AD,'ASIGNACIÓN ASIGNATURAS'!$U:$U,"",0)</f>
        <v/>
      </c>
      <c r="AP124" s="51">
        <f>IF(AN124="",,(AN124+AO124)/48)</f>
        <v>0</v>
      </c>
      <c r="AQ124" s="51"/>
      <c r="AR124" s="514"/>
      <c r="AS124" s="329"/>
      <c r="AT124" s="517"/>
      <c r="AU124" s="307"/>
      <c r="AV124" s="508"/>
      <c r="AW124" s="187"/>
      <c r="AX124" s="97"/>
      <c r="AY124" s="51"/>
      <c r="AZ124" s="444" t="str">
        <f>_xlfn.XLOOKUP('MAPEO MALLA'!AZ120,'ASIGNACIÓN ASIGNATURAS'!$AD:$AD,'ASIGNACIÓN ASIGNATURAS'!$T:$T,"",0)</f>
        <v/>
      </c>
      <c r="BA124" s="459" t="str">
        <f>_xlfn.XLOOKUP('MAPEO MALLA'!AZ120,'ASIGNACIÓN ASIGNATURAS'!$AD:$AD,'ASIGNACIÓN ASIGNATURAS'!$U:$U,"",0)</f>
        <v/>
      </c>
      <c r="BB124" s="443">
        <f>IF(AZ124="",,(AZ124+BA124)/48)</f>
        <v>0</v>
      </c>
      <c r="BC124" s="106"/>
      <c r="BD124" s="444" t="str">
        <f>_xlfn.XLOOKUP('MAPEO MALLA'!BD120,'ASIGNACIÓN ASIGNATURAS'!$AD:$AD,'ASIGNACIÓN ASIGNATURAS'!$T:$T,"",0)</f>
        <v/>
      </c>
      <c r="BE124" s="459" t="str">
        <f>_xlfn.XLOOKUP('MAPEO MALLA'!BD120,'ASIGNACIÓN ASIGNATURAS'!$AD:$AD,'ASIGNACIÓN ASIGNATURAS'!$U:$U,"",0)</f>
        <v/>
      </c>
      <c r="BF124" s="443">
        <f>IF(BD124="",,(BD124+BE124)/48)</f>
        <v>0</v>
      </c>
      <c r="BG124" s="106"/>
      <c r="BH124" s="444" t="str">
        <f>_xlfn.XLOOKUP('MAPEO MALLA'!BH120,'ASIGNACIÓN ASIGNATURAS'!$AD:$AD,'ASIGNACIÓN ASIGNATURAS'!$T:$T,"",0)</f>
        <v/>
      </c>
      <c r="BI124" s="459" t="str">
        <f>_xlfn.XLOOKUP('MAPEO MALLA'!BH120,'ASIGNACIÓN ASIGNATURAS'!$AD:$AD,'ASIGNACIÓN ASIGNATURAS'!$U:$U,"",0)</f>
        <v/>
      </c>
      <c r="BJ124" s="443">
        <f>IF(BH124="",,(BH124+BI124)/48)</f>
        <v>0</v>
      </c>
      <c r="BK124" s="106"/>
      <c r="BL124" s="520"/>
      <c r="BM124" s="329"/>
      <c r="BN124" s="517"/>
      <c r="BO124" s="307"/>
      <c r="BP124" s="508"/>
      <c r="BQ124" s="18"/>
      <c r="BR124" s="49"/>
    </row>
    <row r="125" spans="1:70" ht="60" x14ac:dyDescent="0.95">
      <c r="A125" s="2"/>
      <c r="B125" s="159"/>
      <c r="C125" s="154"/>
      <c r="D125" s="154"/>
      <c r="E125" s="155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9"/>
      <c r="T125" s="157"/>
      <c r="U125" s="157"/>
      <c r="V125" s="157"/>
      <c r="W125" s="157"/>
      <c r="X125" s="155"/>
      <c r="Y125" s="157"/>
      <c r="Z125" s="160"/>
      <c r="AA125" s="157"/>
      <c r="AB125" s="157"/>
      <c r="AC125" s="157"/>
      <c r="AD125" s="157"/>
      <c r="AE125" s="157"/>
      <c r="AF125" s="157"/>
      <c r="AG125" s="157"/>
      <c r="AH125" s="157"/>
      <c r="AI125" s="159"/>
      <c r="AJ125" s="157"/>
      <c r="AK125" s="157"/>
      <c r="AL125" s="157"/>
      <c r="AM125" s="157"/>
      <c r="AN125" s="157"/>
      <c r="AO125" s="157"/>
      <c r="AP125" s="157"/>
      <c r="AQ125" s="157"/>
      <c r="AR125" s="155"/>
      <c r="AS125" s="157"/>
      <c r="AT125" s="163"/>
      <c r="AU125" s="157"/>
      <c r="AV125" s="157"/>
      <c r="AW125" s="157"/>
      <c r="AX125" s="157"/>
      <c r="AY125" s="157"/>
      <c r="AZ125" s="157"/>
      <c r="BA125" s="157"/>
      <c r="BB125" s="157"/>
      <c r="BC125" s="159"/>
      <c r="BD125" s="157"/>
      <c r="BE125" s="157"/>
      <c r="BF125" s="157"/>
      <c r="BG125" s="157"/>
      <c r="BH125" s="157"/>
      <c r="BI125" s="157"/>
      <c r="BJ125" s="157"/>
      <c r="BK125" s="159"/>
      <c r="BL125" s="155"/>
      <c r="BM125" s="157"/>
      <c r="BN125" s="160"/>
      <c r="BO125" s="157"/>
      <c r="BP125" s="159"/>
      <c r="BQ125" s="465"/>
      <c r="BR125" s="223"/>
    </row>
  </sheetData>
  <sheetProtection selectLockedCells="1" selectUnlockedCells="1"/>
  <mergeCells count="598">
    <mergeCell ref="AF69:AH69"/>
    <mergeCell ref="AZ69:BB69"/>
    <mergeCell ref="BD69:BF69"/>
    <mergeCell ref="BH30:BJ31"/>
    <mergeCell ref="AZ30:BB31"/>
    <mergeCell ref="BD30:BF31"/>
    <mergeCell ref="AZ35:BB36"/>
    <mergeCell ref="BD35:BF36"/>
    <mergeCell ref="BH35:BJ36"/>
    <mergeCell ref="BH34:BJ34"/>
    <mergeCell ref="BH54:BJ54"/>
    <mergeCell ref="BD65:BF66"/>
    <mergeCell ref="BH55:BJ56"/>
    <mergeCell ref="BH64:BJ64"/>
    <mergeCell ref="AF49:AH49"/>
    <mergeCell ref="AF44:AH44"/>
    <mergeCell ref="AJ44:AL44"/>
    <mergeCell ref="AF45:AH46"/>
    <mergeCell ref="AJ45:AL46"/>
    <mergeCell ref="AF59:AH59"/>
    <mergeCell ref="AJ59:AL59"/>
    <mergeCell ref="AJ60:AL61"/>
    <mergeCell ref="AZ40:BB41"/>
    <mergeCell ref="AR29:AR32"/>
    <mergeCell ref="BD122:BF123"/>
    <mergeCell ref="BH122:BJ123"/>
    <mergeCell ref="H67:H68"/>
    <mergeCell ref="I67:I68"/>
    <mergeCell ref="J67:J68"/>
    <mergeCell ref="AG67:AG68"/>
    <mergeCell ref="AH67:AH68"/>
    <mergeCell ref="AF67:AF68"/>
    <mergeCell ref="AJ67:AJ68"/>
    <mergeCell ref="BE67:BE68"/>
    <mergeCell ref="BF67:BF68"/>
    <mergeCell ref="BI67:BI68"/>
    <mergeCell ref="BJ67:BJ68"/>
    <mergeCell ref="AL67:AL68"/>
    <mergeCell ref="AK67:AK68"/>
    <mergeCell ref="BD75:BF75"/>
    <mergeCell ref="BH75:BJ75"/>
    <mergeCell ref="AZ91:BB92"/>
    <mergeCell ref="BD91:BF92"/>
    <mergeCell ref="BH91:BJ92"/>
    <mergeCell ref="BD86:BF87"/>
    <mergeCell ref="BH86:BJ87"/>
    <mergeCell ref="AF85:AH85"/>
    <mergeCell ref="AJ85:AL85"/>
    <mergeCell ref="C10:C12"/>
    <mergeCell ref="E10:E12"/>
    <mergeCell ref="H10:J12"/>
    <mergeCell ref="L10:N12"/>
    <mergeCell ref="P10:R12"/>
    <mergeCell ref="T10:V12"/>
    <mergeCell ref="E14:E17"/>
    <mergeCell ref="BP14:BP67"/>
    <mergeCell ref="E19:E22"/>
    <mergeCell ref="E24:E27"/>
    <mergeCell ref="BH24:BJ24"/>
    <mergeCell ref="BH25:BJ26"/>
    <mergeCell ref="X10:X12"/>
    <mergeCell ref="AZ59:BB59"/>
    <mergeCell ref="BD59:BF59"/>
    <mergeCell ref="BH59:BJ59"/>
    <mergeCell ref="BL59:BL62"/>
    <mergeCell ref="AZ60:BB61"/>
    <mergeCell ref="BD60:BF61"/>
    <mergeCell ref="BH60:BJ61"/>
    <mergeCell ref="BN14:BN67"/>
    <mergeCell ref="BL14:BL17"/>
    <mergeCell ref="BL19:BL22"/>
    <mergeCell ref="BL64:BL68"/>
    <mergeCell ref="B2:E4"/>
    <mergeCell ref="B6:BQ6"/>
    <mergeCell ref="H7:R7"/>
    <mergeCell ref="C8:E8"/>
    <mergeCell ref="H8:V8"/>
    <mergeCell ref="X8:AB8"/>
    <mergeCell ref="AR8:AV8"/>
    <mergeCell ref="AZ8:BJ8"/>
    <mergeCell ref="BL8:BP8"/>
    <mergeCell ref="AF8:AL8"/>
    <mergeCell ref="F2:BJ4"/>
    <mergeCell ref="BK2:BQ2"/>
    <mergeCell ref="BK3:BQ3"/>
    <mergeCell ref="BK4:BQ4"/>
    <mergeCell ref="Z10:Z12"/>
    <mergeCell ref="AB10:AB12"/>
    <mergeCell ref="AZ14:BB14"/>
    <mergeCell ref="BD14:BF14"/>
    <mergeCell ref="BH14:BJ14"/>
    <mergeCell ref="AZ15:BB16"/>
    <mergeCell ref="BD15:BF16"/>
    <mergeCell ref="BH15:BJ16"/>
    <mergeCell ref="AZ19:BB19"/>
    <mergeCell ref="BD19:BF19"/>
    <mergeCell ref="BH19:BJ19"/>
    <mergeCell ref="BL10:BL12"/>
    <mergeCell ref="BN10:BN12"/>
    <mergeCell ref="BH20:BJ21"/>
    <mergeCell ref="AZ25:BB26"/>
    <mergeCell ref="BP10:BP12"/>
    <mergeCell ref="AF10:AH12"/>
    <mergeCell ref="AJ10:AL12"/>
    <mergeCell ref="AN10:AP12"/>
    <mergeCell ref="AR10:AR12"/>
    <mergeCell ref="AT10:AT12"/>
    <mergeCell ref="AV10:AV12"/>
    <mergeCell ref="BH10:BJ12"/>
    <mergeCell ref="AZ10:BB12"/>
    <mergeCell ref="BD10:BF12"/>
    <mergeCell ref="AJ15:AL16"/>
    <mergeCell ref="AF19:AH19"/>
    <mergeCell ref="AJ19:AL19"/>
    <mergeCell ref="AN19:AP19"/>
    <mergeCell ref="AF24:AH24"/>
    <mergeCell ref="AJ24:AL24"/>
    <mergeCell ref="AN24:AP24"/>
    <mergeCell ref="AR14:AR17"/>
    <mergeCell ref="BL49:BL52"/>
    <mergeCell ref="BL54:BL57"/>
    <mergeCell ref="BH44:BJ44"/>
    <mergeCell ref="BH49:BJ49"/>
    <mergeCell ref="BH50:BJ51"/>
    <mergeCell ref="BH40:BJ41"/>
    <mergeCell ref="BD24:BF24"/>
    <mergeCell ref="BD25:BF26"/>
    <mergeCell ref="BD54:BF54"/>
    <mergeCell ref="BD49:BF49"/>
    <mergeCell ref="BD34:BF34"/>
    <mergeCell ref="BD39:BF39"/>
    <mergeCell ref="BH39:BJ39"/>
    <mergeCell ref="BD40:BF41"/>
    <mergeCell ref="BL24:BL27"/>
    <mergeCell ref="BL29:BL32"/>
    <mergeCell ref="BL34:BL37"/>
    <mergeCell ref="BL39:BL42"/>
    <mergeCell ref="BL44:BL47"/>
    <mergeCell ref="BD29:BF29"/>
    <mergeCell ref="BH29:BJ29"/>
    <mergeCell ref="AZ29:BB29"/>
    <mergeCell ref="BD50:BF51"/>
    <mergeCell ref="AR49:AR52"/>
    <mergeCell ref="BA67:BA68"/>
    <mergeCell ref="BB67:BB68"/>
    <mergeCell ref="BD67:BD68"/>
    <mergeCell ref="AZ20:BB21"/>
    <mergeCell ref="BD20:BF21"/>
    <mergeCell ref="AZ34:BB34"/>
    <mergeCell ref="AZ39:BB39"/>
    <mergeCell ref="AR34:AR37"/>
    <mergeCell ref="AR24:AR27"/>
    <mergeCell ref="AZ24:BB24"/>
    <mergeCell ref="AZ44:BB44"/>
    <mergeCell ref="AR19:AR22"/>
    <mergeCell ref="AR44:AR47"/>
    <mergeCell ref="AZ49:BB49"/>
    <mergeCell ref="AZ50:BB51"/>
    <mergeCell ref="AV14:AV67"/>
    <mergeCell ref="BD64:BF64"/>
    <mergeCell ref="BD55:BF56"/>
    <mergeCell ref="AZ64:BB64"/>
    <mergeCell ref="AR59:AR62"/>
    <mergeCell ref="BD44:BF44"/>
    <mergeCell ref="AR39:AR42"/>
    <mergeCell ref="T35:V36"/>
    <mergeCell ref="AF35:AH36"/>
    <mergeCell ref="AF14:AH14"/>
    <mergeCell ref="AJ14:AL14"/>
    <mergeCell ref="AJ29:AL29"/>
    <mergeCell ref="AJ34:AL34"/>
    <mergeCell ref="AF30:AH31"/>
    <mergeCell ref="AF29:AH29"/>
    <mergeCell ref="AJ39:AL39"/>
    <mergeCell ref="AJ30:AL31"/>
    <mergeCell ref="T15:V16"/>
    <mergeCell ref="AF15:AH16"/>
    <mergeCell ref="T24:V24"/>
    <mergeCell ref="X39:X42"/>
    <mergeCell ref="AF20:AH21"/>
    <mergeCell ref="AJ20:AL21"/>
    <mergeCell ref="AN20:AP21"/>
    <mergeCell ref="AN25:AP26"/>
    <mergeCell ref="AJ25:AL26"/>
    <mergeCell ref="T30:V31"/>
    <mergeCell ref="AJ49:AL49"/>
    <mergeCell ref="AJ50:AL51"/>
    <mergeCell ref="P39:R39"/>
    <mergeCell ref="T39:V39"/>
    <mergeCell ref="AF39:AH39"/>
    <mergeCell ref="AF34:AH34"/>
    <mergeCell ref="L40:N41"/>
    <mergeCell ref="AJ35:AL36"/>
    <mergeCell ref="AF40:AH41"/>
    <mergeCell ref="AJ40:AL41"/>
    <mergeCell ref="L39:N39"/>
    <mergeCell ref="X44:X47"/>
    <mergeCell ref="L34:N34"/>
    <mergeCell ref="P34:R34"/>
    <mergeCell ref="T34:V34"/>
    <mergeCell ref="X34:X37"/>
    <mergeCell ref="L35:N36"/>
    <mergeCell ref="P35:R36"/>
    <mergeCell ref="AJ54:AL54"/>
    <mergeCell ref="AN54:AP54"/>
    <mergeCell ref="AZ54:BB54"/>
    <mergeCell ref="P55:R56"/>
    <mergeCell ref="T55:V56"/>
    <mergeCell ref="AF55:AH56"/>
    <mergeCell ref="AJ55:AL56"/>
    <mergeCell ref="AN55:AP56"/>
    <mergeCell ref="AZ55:BB56"/>
    <mergeCell ref="AR54:AR57"/>
    <mergeCell ref="AT14:AT68"/>
    <mergeCell ref="AZ45:BB46"/>
    <mergeCell ref="AF65:AH66"/>
    <mergeCell ref="P59:R59"/>
    <mergeCell ref="T59:V59"/>
    <mergeCell ref="P24:R24"/>
    <mergeCell ref="X24:X27"/>
    <mergeCell ref="AN30:AP31"/>
    <mergeCell ref="AN29:AP29"/>
    <mergeCell ref="X19:X22"/>
    <mergeCell ref="X49:X52"/>
    <mergeCell ref="P50:R51"/>
    <mergeCell ref="T50:V51"/>
    <mergeCell ref="AF50:AH51"/>
    <mergeCell ref="E29:E32"/>
    <mergeCell ref="E34:E37"/>
    <mergeCell ref="E39:E42"/>
    <mergeCell ref="E44:E47"/>
    <mergeCell ref="E49:E52"/>
    <mergeCell ref="E54:E57"/>
    <mergeCell ref="H54:J54"/>
    <mergeCell ref="X54:X57"/>
    <mergeCell ref="T54:V54"/>
    <mergeCell ref="L49:N49"/>
    <mergeCell ref="H50:J51"/>
    <mergeCell ref="L50:N51"/>
    <mergeCell ref="H39:J39"/>
    <mergeCell ref="H40:J41"/>
    <mergeCell ref="L44:N44"/>
    <mergeCell ref="P40:R41"/>
    <mergeCell ref="T40:V41"/>
    <mergeCell ref="H30:J31"/>
    <mergeCell ref="L30:N31"/>
    <mergeCell ref="P30:R31"/>
    <mergeCell ref="T29:V29"/>
    <mergeCell ref="X29:X32"/>
    <mergeCell ref="H34:J34"/>
    <mergeCell ref="H29:J29"/>
    <mergeCell ref="H15:J16"/>
    <mergeCell ref="L15:N16"/>
    <mergeCell ref="P15:R16"/>
    <mergeCell ref="P60:R61"/>
    <mergeCell ref="AF60:AH61"/>
    <mergeCell ref="T60:V61"/>
    <mergeCell ref="X59:X62"/>
    <mergeCell ref="T45:V46"/>
    <mergeCell ref="AF54:AH54"/>
    <mergeCell ref="H59:J59"/>
    <mergeCell ref="L59:N59"/>
    <mergeCell ref="H60:J61"/>
    <mergeCell ref="L60:N61"/>
    <mergeCell ref="L20:N21"/>
    <mergeCell ref="H25:J26"/>
    <mergeCell ref="L25:N26"/>
    <mergeCell ref="P25:R26"/>
    <mergeCell ref="T25:V26"/>
    <mergeCell ref="AF25:AH26"/>
    <mergeCell ref="X14:X17"/>
    <mergeCell ref="L29:N29"/>
    <mergeCell ref="P29:R29"/>
    <mergeCell ref="H35:J36"/>
    <mergeCell ref="E64:E68"/>
    <mergeCell ref="H64:J64"/>
    <mergeCell ref="P64:R64"/>
    <mergeCell ref="L54:N54"/>
    <mergeCell ref="P54:R54"/>
    <mergeCell ref="H45:J46"/>
    <mergeCell ref="L45:N46"/>
    <mergeCell ref="P45:R46"/>
    <mergeCell ref="BH65:BJ66"/>
    <mergeCell ref="AZ67:AZ68"/>
    <mergeCell ref="AZ65:BB66"/>
    <mergeCell ref="AR64:AR68"/>
    <mergeCell ref="BH67:BH68"/>
    <mergeCell ref="BD45:BF46"/>
    <mergeCell ref="BH45:BJ46"/>
    <mergeCell ref="E59:E62"/>
    <mergeCell ref="T65:V66"/>
    <mergeCell ref="L67:L68"/>
    <mergeCell ref="M67:M68"/>
    <mergeCell ref="N67:N68"/>
    <mergeCell ref="P67:P68"/>
    <mergeCell ref="Q67:Q68"/>
    <mergeCell ref="R67:R68"/>
    <mergeCell ref="T67:T68"/>
    <mergeCell ref="C70:C78"/>
    <mergeCell ref="E70:E73"/>
    <mergeCell ref="H70:J70"/>
    <mergeCell ref="L70:N70"/>
    <mergeCell ref="P70:R70"/>
    <mergeCell ref="T70:V70"/>
    <mergeCell ref="E75:E78"/>
    <mergeCell ref="AJ65:AL66"/>
    <mergeCell ref="AJ70:AL70"/>
    <mergeCell ref="X64:X68"/>
    <mergeCell ref="AF64:AH64"/>
    <mergeCell ref="AJ64:AL64"/>
    <mergeCell ref="H69:J69"/>
    <mergeCell ref="L69:N69"/>
    <mergeCell ref="P69:R69"/>
    <mergeCell ref="L64:N64"/>
    <mergeCell ref="AB70:AB78"/>
    <mergeCell ref="AF70:AH70"/>
    <mergeCell ref="C14:C68"/>
    <mergeCell ref="Z14:Z68"/>
    <mergeCell ref="AB14:AB67"/>
    <mergeCell ref="T64:V64"/>
    <mergeCell ref="L65:N66"/>
    <mergeCell ref="P65:R66"/>
    <mergeCell ref="BL70:BL73"/>
    <mergeCell ref="BN70:BN78"/>
    <mergeCell ref="BP70:BP78"/>
    <mergeCell ref="H71:J72"/>
    <mergeCell ref="L71:N72"/>
    <mergeCell ref="P71:R72"/>
    <mergeCell ref="T71:V72"/>
    <mergeCell ref="AF71:AH72"/>
    <mergeCell ref="AJ71:AL72"/>
    <mergeCell ref="AR70:AR73"/>
    <mergeCell ref="AT70:AT78"/>
    <mergeCell ref="AV70:AV78"/>
    <mergeCell ref="AZ70:BB70"/>
    <mergeCell ref="BD70:BF70"/>
    <mergeCell ref="BH70:BJ70"/>
    <mergeCell ref="AZ71:BB72"/>
    <mergeCell ref="BD71:BF72"/>
    <mergeCell ref="BH71:BJ72"/>
    <mergeCell ref="AR75:AR78"/>
    <mergeCell ref="X70:X73"/>
    <mergeCell ref="Z70:Z78"/>
    <mergeCell ref="AZ76:BB77"/>
    <mergeCell ref="BL75:BL78"/>
    <mergeCell ref="H76:J77"/>
    <mergeCell ref="L76:N77"/>
    <mergeCell ref="P76:R77"/>
    <mergeCell ref="T76:V77"/>
    <mergeCell ref="AF76:AH77"/>
    <mergeCell ref="AJ76:AL77"/>
    <mergeCell ref="H75:J75"/>
    <mergeCell ref="L75:N75"/>
    <mergeCell ref="P75:R75"/>
    <mergeCell ref="T75:V75"/>
    <mergeCell ref="X75:X78"/>
    <mergeCell ref="AF75:AH75"/>
    <mergeCell ref="AJ75:AL75"/>
    <mergeCell ref="BD76:BF77"/>
    <mergeCell ref="BH76:BJ77"/>
    <mergeCell ref="AZ75:BB75"/>
    <mergeCell ref="BN80:BN103"/>
    <mergeCell ref="BP80:BP103"/>
    <mergeCell ref="H81:J82"/>
    <mergeCell ref="L81:N82"/>
    <mergeCell ref="P81:R82"/>
    <mergeCell ref="T81:V82"/>
    <mergeCell ref="AF81:AH82"/>
    <mergeCell ref="AJ81:AL82"/>
    <mergeCell ref="AZ81:BB82"/>
    <mergeCell ref="AT80:AT103"/>
    <mergeCell ref="AV80:AV103"/>
    <mergeCell ref="AZ80:BB80"/>
    <mergeCell ref="BD80:BF80"/>
    <mergeCell ref="BH80:BJ80"/>
    <mergeCell ref="BL80:BL83"/>
    <mergeCell ref="BD81:BF82"/>
    <mergeCell ref="BH81:BJ82"/>
    <mergeCell ref="AZ85:BB85"/>
    <mergeCell ref="BD85:BF85"/>
    <mergeCell ref="Z80:Z103"/>
    <mergeCell ref="AR90:AR93"/>
    <mergeCell ref="BD90:BF90"/>
    <mergeCell ref="BL85:BL88"/>
    <mergeCell ref="BD95:BF95"/>
    <mergeCell ref="AN90:AP90"/>
    <mergeCell ref="BH85:BJ85"/>
    <mergeCell ref="H86:J87"/>
    <mergeCell ref="L86:N87"/>
    <mergeCell ref="P86:R87"/>
    <mergeCell ref="T86:V87"/>
    <mergeCell ref="AF86:AH87"/>
    <mergeCell ref="AJ86:AL87"/>
    <mergeCell ref="AN86:AP87"/>
    <mergeCell ref="AZ86:BB87"/>
    <mergeCell ref="AZ90:BB90"/>
    <mergeCell ref="BH90:BJ90"/>
    <mergeCell ref="BL90:BL93"/>
    <mergeCell ref="H90:J90"/>
    <mergeCell ref="L90:N90"/>
    <mergeCell ref="P90:R90"/>
    <mergeCell ref="T90:V90"/>
    <mergeCell ref="X90:X93"/>
    <mergeCell ref="AF90:AH90"/>
    <mergeCell ref="AJ90:AL90"/>
    <mergeCell ref="AB80:AB103"/>
    <mergeCell ref="AF80:AH80"/>
    <mergeCell ref="AJ80:AL80"/>
    <mergeCell ref="AR80:AR83"/>
    <mergeCell ref="AN85:AP85"/>
    <mergeCell ref="AR85:AR88"/>
    <mergeCell ref="E85:E88"/>
    <mergeCell ref="H85:J85"/>
    <mergeCell ref="L85:N85"/>
    <mergeCell ref="P85:R85"/>
    <mergeCell ref="T85:V85"/>
    <mergeCell ref="X85:X88"/>
    <mergeCell ref="E90:E93"/>
    <mergeCell ref="H95:J95"/>
    <mergeCell ref="L95:N95"/>
    <mergeCell ref="P95:R95"/>
    <mergeCell ref="T95:V95"/>
    <mergeCell ref="X95:X98"/>
    <mergeCell ref="H91:J92"/>
    <mergeCell ref="L91:N92"/>
    <mergeCell ref="P91:R92"/>
    <mergeCell ref="T91:V92"/>
    <mergeCell ref="H96:J97"/>
    <mergeCell ref="L96:N97"/>
    <mergeCell ref="P96:R97"/>
    <mergeCell ref="T96:V97"/>
    <mergeCell ref="AN96:AP97"/>
    <mergeCell ref="AF95:AH95"/>
    <mergeCell ref="AJ95:AL95"/>
    <mergeCell ref="AN95:AP95"/>
    <mergeCell ref="AR95:AR98"/>
    <mergeCell ref="AN91:AP92"/>
    <mergeCell ref="BL100:BL103"/>
    <mergeCell ref="BL95:BL98"/>
    <mergeCell ref="BD96:BF97"/>
    <mergeCell ref="AZ96:BB97"/>
    <mergeCell ref="AZ95:BB95"/>
    <mergeCell ref="AF91:AH92"/>
    <mergeCell ref="AJ91:AL92"/>
    <mergeCell ref="H101:J102"/>
    <mergeCell ref="L101:N102"/>
    <mergeCell ref="P101:R102"/>
    <mergeCell ref="T101:V102"/>
    <mergeCell ref="AF101:AH102"/>
    <mergeCell ref="BH96:BJ97"/>
    <mergeCell ref="E100:E103"/>
    <mergeCell ref="H100:J100"/>
    <mergeCell ref="L100:N100"/>
    <mergeCell ref="P100:R100"/>
    <mergeCell ref="T100:V100"/>
    <mergeCell ref="X100:X103"/>
    <mergeCell ref="AF100:AH100"/>
    <mergeCell ref="AJ100:AL100"/>
    <mergeCell ref="AN100:AP100"/>
    <mergeCell ref="E95:E98"/>
    <mergeCell ref="AJ101:AL102"/>
    <mergeCell ref="AN101:AP102"/>
    <mergeCell ref="AZ101:BB102"/>
    <mergeCell ref="BD101:BF102"/>
    <mergeCell ref="BH101:BJ102"/>
    <mergeCell ref="BH95:BJ95"/>
    <mergeCell ref="AF96:AH97"/>
    <mergeCell ref="AJ96:AL97"/>
    <mergeCell ref="C107:E113"/>
    <mergeCell ref="X107:AB107"/>
    <mergeCell ref="AR107:AV107"/>
    <mergeCell ref="H109:H113"/>
    <mergeCell ref="I109:I113"/>
    <mergeCell ref="AR100:AR103"/>
    <mergeCell ref="AZ100:BB100"/>
    <mergeCell ref="BD100:BF100"/>
    <mergeCell ref="BH100:BJ100"/>
    <mergeCell ref="C80:C103"/>
    <mergeCell ref="E80:E83"/>
    <mergeCell ref="H80:J80"/>
    <mergeCell ref="L80:N80"/>
    <mergeCell ref="P80:R80"/>
    <mergeCell ref="T80:V80"/>
    <mergeCell ref="X80:X83"/>
    <mergeCell ref="J109:J113"/>
    <mergeCell ref="L109:L113"/>
    <mergeCell ref="M109:M113"/>
    <mergeCell ref="N109:N113"/>
    <mergeCell ref="P109:P113"/>
    <mergeCell ref="Q109:Q113"/>
    <mergeCell ref="AJ109:AJ113"/>
    <mergeCell ref="AK109:AK113"/>
    <mergeCell ref="BL109:BP113"/>
    <mergeCell ref="X111:AB111"/>
    <mergeCell ref="AR111:AV111"/>
    <mergeCell ref="X113:AB113"/>
    <mergeCell ref="AR113:AV113"/>
    <mergeCell ref="BJ109:BJ113"/>
    <mergeCell ref="BL107:BP107"/>
    <mergeCell ref="H108:J108"/>
    <mergeCell ref="L108:N108"/>
    <mergeCell ref="P108:R108"/>
    <mergeCell ref="T108:V108"/>
    <mergeCell ref="AF108:AH108"/>
    <mergeCell ref="AJ108:AL108"/>
    <mergeCell ref="AN108:AP108"/>
    <mergeCell ref="AZ108:BB108"/>
    <mergeCell ref="BD108:BF108"/>
    <mergeCell ref="AG109:AG113"/>
    <mergeCell ref="AH109:AH113"/>
    <mergeCell ref="AL109:AL113"/>
    <mergeCell ref="AN109:AN113"/>
    <mergeCell ref="R109:R113"/>
    <mergeCell ref="T109:T113"/>
    <mergeCell ref="U109:U113"/>
    <mergeCell ref="V109:V113"/>
    <mergeCell ref="BD109:BD113"/>
    <mergeCell ref="BE109:BE113"/>
    <mergeCell ref="BF109:BF113"/>
    <mergeCell ref="BH109:BH113"/>
    <mergeCell ref="BI109:BI113"/>
    <mergeCell ref="AO109:AO113"/>
    <mergeCell ref="AP109:AP113"/>
    <mergeCell ref="AR109:AV109"/>
    <mergeCell ref="AZ109:AZ113"/>
    <mergeCell ref="BA109:BA113"/>
    <mergeCell ref="BB109:BB113"/>
    <mergeCell ref="AJ122:AL123"/>
    <mergeCell ref="H116:J116"/>
    <mergeCell ref="H117:J118"/>
    <mergeCell ref="P117:R118"/>
    <mergeCell ref="H121:J121"/>
    <mergeCell ref="L121:N121"/>
    <mergeCell ref="P121:R121"/>
    <mergeCell ref="X109:AB109"/>
    <mergeCell ref="AF109:AF113"/>
    <mergeCell ref="L116:N116"/>
    <mergeCell ref="L117:N118"/>
    <mergeCell ref="P116:R116"/>
    <mergeCell ref="C116:C124"/>
    <mergeCell ref="E116:E124"/>
    <mergeCell ref="T116:V116"/>
    <mergeCell ref="X116:X124"/>
    <mergeCell ref="H122:J123"/>
    <mergeCell ref="L122:N123"/>
    <mergeCell ref="P122:R123"/>
    <mergeCell ref="AF116:AH116"/>
    <mergeCell ref="AF121:AH121"/>
    <mergeCell ref="AF117:AH118"/>
    <mergeCell ref="AF122:AH123"/>
    <mergeCell ref="BP116:BP124"/>
    <mergeCell ref="T121:V121"/>
    <mergeCell ref="AJ121:AL121"/>
    <mergeCell ref="Z116:Z124"/>
    <mergeCell ref="AB116:AB124"/>
    <mergeCell ref="AJ116:AL116"/>
    <mergeCell ref="AR116:AR124"/>
    <mergeCell ref="AT116:AT124"/>
    <mergeCell ref="T117:V118"/>
    <mergeCell ref="T122:V123"/>
    <mergeCell ref="AZ116:BB116"/>
    <mergeCell ref="BD116:BF116"/>
    <mergeCell ref="BH116:BJ116"/>
    <mergeCell ref="AV116:AV124"/>
    <mergeCell ref="BL116:BL124"/>
    <mergeCell ref="BN116:BN124"/>
    <mergeCell ref="AZ121:BB121"/>
    <mergeCell ref="BD121:BF121"/>
    <mergeCell ref="BH121:BJ121"/>
    <mergeCell ref="AZ117:BB118"/>
    <mergeCell ref="BD117:BF118"/>
    <mergeCell ref="BH117:BJ118"/>
    <mergeCell ref="AZ122:BB123"/>
    <mergeCell ref="AJ117:AL118"/>
    <mergeCell ref="U67:U68"/>
    <mergeCell ref="V67:V68"/>
    <mergeCell ref="P14:R14"/>
    <mergeCell ref="T14:V14"/>
    <mergeCell ref="H19:J19"/>
    <mergeCell ref="L19:N19"/>
    <mergeCell ref="H24:J24"/>
    <mergeCell ref="L24:N24"/>
    <mergeCell ref="H44:J44"/>
    <mergeCell ref="H14:J14"/>
    <mergeCell ref="L14:N14"/>
    <mergeCell ref="H65:J66"/>
    <mergeCell ref="H55:J56"/>
    <mergeCell ref="L55:N56"/>
    <mergeCell ref="P49:R49"/>
    <mergeCell ref="H49:J49"/>
    <mergeCell ref="P44:R44"/>
    <mergeCell ref="T44:V44"/>
    <mergeCell ref="H20:J21"/>
    <mergeCell ref="P20:R21"/>
    <mergeCell ref="T20:V21"/>
    <mergeCell ref="P19:R19"/>
    <mergeCell ref="T19:V19"/>
    <mergeCell ref="T49:V4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231C1-7EDB-4627-9697-25CFA3756EAF}">
  <sheetPr codeName="Hoja8"/>
  <dimension ref="A1:AK167"/>
  <sheetViews>
    <sheetView topLeftCell="K95" zoomScale="85" zoomScaleNormal="85" workbookViewId="0">
      <selection activeCell="S108" sqref="S108:S122"/>
    </sheetView>
  </sheetViews>
  <sheetFormatPr baseColWidth="10" defaultColWidth="10.88671875" defaultRowHeight="14.4" x14ac:dyDescent="0.3"/>
  <cols>
    <col min="1" max="1" width="10.88671875" style="234"/>
    <col min="2" max="2" width="12.6640625" style="234" bestFit="1" customWidth="1"/>
    <col min="3" max="3" width="6.33203125" style="234" bestFit="1" customWidth="1"/>
    <col min="4" max="4" width="21" style="234" bestFit="1" customWidth="1"/>
    <col min="5" max="5" width="15.6640625" style="234" bestFit="1" customWidth="1"/>
    <col min="6" max="6" width="14.33203125" style="234" customWidth="1"/>
    <col min="7" max="7" width="10.88671875" style="234"/>
    <col min="8" max="8" width="10.44140625" style="234" bestFit="1" customWidth="1"/>
    <col min="9" max="9" width="13.6640625" style="234" bestFit="1" customWidth="1"/>
    <col min="10" max="10" width="15.6640625" style="234" bestFit="1" customWidth="1"/>
    <col min="11" max="11" width="3.33203125" style="234" customWidth="1"/>
    <col min="12" max="12" width="15.33203125" style="234" bestFit="1" customWidth="1"/>
    <col min="13" max="13" width="9.33203125" style="234" bestFit="1" customWidth="1"/>
    <col min="14" max="14" width="13.6640625" style="234" bestFit="1" customWidth="1"/>
    <col min="15" max="15" width="15.6640625" style="234" bestFit="1" customWidth="1"/>
    <col min="16" max="16" width="10.88671875" style="234"/>
    <col min="17" max="17" width="33.88671875" style="234" bestFit="1" customWidth="1"/>
    <col min="18" max="18" width="15.33203125" style="234" bestFit="1" customWidth="1"/>
    <col min="19" max="19" width="14.33203125" style="234" bestFit="1" customWidth="1"/>
    <col min="20" max="20" width="52" style="234" customWidth="1"/>
    <col min="21" max="21" width="25.33203125" style="234" bestFit="1" customWidth="1"/>
    <col min="22" max="27" width="10.88671875" style="234"/>
    <col min="28" max="28" width="27.33203125" style="234" bestFit="1" customWidth="1"/>
    <col min="29" max="29" width="20.109375" style="234" customWidth="1"/>
    <col min="30" max="30" width="10.88671875" style="234"/>
    <col min="31" max="31" width="29.6640625" style="234" bestFit="1" customWidth="1"/>
    <col min="32" max="32" width="14.33203125" style="234" bestFit="1" customWidth="1"/>
    <col min="33" max="16384" width="10.88671875" style="234"/>
  </cols>
  <sheetData>
    <row r="1" spans="1:37" ht="15" thickBot="1" x14ac:dyDescent="0.35">
      <c r="Q1" s="620" t="s">
        <v>93</v>
      </c>
      <c r="R1" s="621"/>
      <c r="S1" s="621"/>
      <c r="T1" s="621"/>
      <c r="U1" s="621"/>
      <c r="V1" s="621"/>
      <c r="W1" s="621"/>
      <c r="X1" s="621"/>
      <c r="Y1" s="622"/>
    </row>
    <row r="2" spans="1:37" ht="14.7" customHeight="1" x14ac:dyDescent="0.3">
      <c r="A2" s="287"/>
      <c r="B2" s="623" t="s">
        <v>94</v>
      </c>
      <c r="C2" s="623"/>
      <c r="D2" s="623"/>
      <c r="E2" s="623"/>
      <c r="F2" s="287"/>
      <c r="G2" s="623" t="s">
        <v>95</v>
      </c>
      <c r="H2" s="623"/>
      <c r="I2" s="623"/>
      <c r="J2" s="623"/>
      <c r="K2" s="287"/>
      <c r="L2" s="623" t="s">
        <v>96</v>
      </c>
      <c r="M2" s="623"/>
      <c r="N2" s="623"/>
      <c r="O2" s="623"/>
      <c r="P2" s="287"/>
      <c r="Q2" s="279" t="s">
        <v>3</v>
      </c>
      <c r="R2" s="279" t="s">
        <v>4</v>
      </c>
      <c r="S2" s="279" t="s">
        <v>5</v>
      </c>
      <c r="T2" s="279" t="s">
        <v>6</v>
      </c>
      <c r="U2" s="279" t="s">
        <v>7</v>
      </c>
      <c r="V2" s="279" t="s">
        <v>8</v>
      </c>
      <c r="W2" s="279" t="s">
        <v>97</v>
      </c>
      <c r="X2" s="279" t="s">
        <v>98</v>
      </c>
      <c r="Y2" s="279" t="s">
        <v>99</v>
      </c>
      <c r="AB2" s="617" t="s">
        <v>100</v>
      </c>
      <c r="AC2" s="618"/>
      <c r="AD2" s="618"/>
      <c r="AE2" s="618"/>
      <c r="AF2" s="618"/>
      <c r="AG2" s="618"/>
      <c r="AH2" s="618"/>
      <c r="AI2" s="618"/>
      <c r="AJ2" s="619"/>
    </row>
    <row r="3" spans="1:37" ht="57.6" x14ac:dyDescent="0.3">
      <c r="A3" s="287"/>
      <c r="B3" s="248" t="s">
        <v>19</v>
      </c>
      <c r="C3" s="248" t="s">
        <v>86</v>
      </c>
      <c r="D3" s="248" t="s">
        <v>101</v>
      </c>
      <c r="E3" s="248" t="s">
        <v>102</v>
      </c>
      <c r="F3" s="287"/>
      <c r="G3" s="248" t="s">
        <v>19</v>
      </c>
      <c r="H3" s="248" t="s">
        <v>86</v>
      </c>
      <c r="I3" s="248" t="s">
        <v>101</v>
      </c>
      <c r="J3" s="248" t="s">
        <v>102</v>
      </c>
      <c r="K3" s="287"/>
      <c r="L3" s="248" t="s">
        <v>19</v>
      </c>
      <c r="M3" s="248" t="s">
        <v>86</v>
      </c>
      <c r="N3" s="248" t="s">
        <v>101</v>
      </c>
      <c r="O3" s="248" t="s">
        <v>102</v>
      </c>
      <c r="P3" s="287"/>
      <c r="Q3" s="433" t="s">
        <v>57</v>
      </c>
      <c r="R3" s="434" t="s">
        <v>58</v>
      </c>
      <c r="S3" s="435" t="s">
        <v>74</v>
      </c>
      <c r="T3" s="435" t="s">
        <v>103</v>
      </c>
      <c r="U3" s="434" t="s">
        <v>104</v>
      </c>
      <c r="V3" s="436" t="s">
        <v>105</v>
      </c>
      <c r="W3" s="435">
        <v>2</v>
      </c>
      <c r="X3" s="288"/>
      <c r="Y3" s="288"/>
      <c r="AB3" s="421" t="s">
        <v>3</v>
      </c>
      <c r="AC3" s="421" t="s">
        <v>4</v>
      </c>
      <c r="AD3" s="421" t="s">
        <v>5</v>
      </c>
      <c r="AE3" s="421" t="s">
        <v>6</v>
      </c>
      <c r="AF3" s="421" t="s">
        <v>7</v>
      </c>
      <c r="AG3" s="421" t="s">
        <v>8</v>
      </c>
      <c r="AH3" s="421" t="s">
        <v>97</v>
      </c>
      <c r="AI3" s="279" t="s">
        <v>98</v>
      </c>
      <c r="AJ3" s="289" t="s">
        <v>99</v>
      </c>
    </row>
    <row r="4" spans="1:37" x14ac:dyDescent="0.3">
      <c r="B4" s="244">
        <v>1</v>
      </c>
      <c r="C4" s="244">
        <v>48</v>
      </c>
      <c r="D4" s="244">
        <v>16</v>
      </c>
      <c r="E4" s="244">
        <v>32</v>
      </c>
      <c r="G4" s="244">
        <v>1</v>
      </c>
      <c r="H4" s="244">
        <v>48</v>
      </c>
      <c r="I4" s="244">
        <v>8</v>
      </c>
      <c r="J4" s="244">
        <v>40</v>
      </c>
      <c r="L4" s="244">
        <v>1</v>
      </c>
      <c r="M4" s="244">
        <v>48</v>
      </c>
      <c r="N4" s="244">
        <v>12</v>
      </c>
      <c r="O4" s="244">
        <v>36</v>
      </c>
      <c r="Q4" s="433" t="s">
        <v>57</v>
      </c>
      <c r="R4" s="434" t="s">
        <v>58</v>
      </c>
      <c r="S4" s="435" t="s">
        <v>74</v>
      </c>
      <c r="T4" s="435" t="s">
        <v>103</v>
      </c>
      <c r="U4" s="434" t="s">
        <v>104</v>
      </c>
      <c r="V4" s="436" t="s">
        <v>106</v>
      </c>
      <c r="W4" s="435">
        <v>2</v>
      </c>
      <c r="X4" s="288"/>
      <c r="Y4" s="288"/>
      <c r="AB4" s="269" t="s">
        <v>57</v>
      </c>
      <c r="AC4" s="269" t="s">
        <v>60</v>
      </c>
      <c r="AD4" s="269" t="s">
        <v>74</v>
      </c>
      <c r="AE4" s="269" t="s">
        <v>107</v>
      </c>
      <c r="AF4" s="269" t="s">
        <v>104</v>
      </c>
      <c r="AG4" s="269" t="s">
        <v>108</v>
      </c>
      <c r="AH4" s="422">
        <v>2</v>
      </c>
      <c r="AI4" s="291"/>
      <c r="AJ4" s="292"/>
      <c r="AK4" s="234" t="str">
        <f>_xlfn.XLOOKUP(AE4,T6:T25,R6:R25,"",0)</f>
        <v/>
      </c>
    </row>
    <row r="5" spans="1:37" x14ac:dyDescent="0.3">
      <c r="B5" s="244">
        <v>2</v>
      </c>
      <c r="C5" s="244">
        <v>96</v>
      </c>
      <c r="D5" s="244">
        <v>32</v>
      </c>
      <c r="E5" s="244">
        <v>64</v>
      </c>
      <c r="G5" s="244">
        <v>2</v>
      </c>
      <c r="H5" s="244">
        <v>96</v>
      </c>
      <c r="I5" s="244">
        <v>16</v>
      </c>
      <c r="J5" s="244">
        <v>80</v>
      </c>
      <c r="L5" s="244">
        <v>2</v>
      </c>
      <c r="M5" s="244">
        <v>100</v>
      </c>
      <c r="N5" s="244">
        <v>24</v>
      </c>
      <c r="O5" s="244">
        <v>72</v>
      </c>
      <c r="Q5" s="433" t="s">
        <v>57</v>
      </c>
      <c r="R5" s="434" t="s">
        <v>62</v>
      </c>
      <c r="S5" s="435" t="s">
        <v>81</v>
      </c>
      <c r="T5" s="435" t="s">
        <v>109</v>
      </c>
      <c r="U5" s="434" t="s">
        <v>104</v>
      </c>
      <c r="V5" s="436" t="s">
        <v>110</v>
      </c>
      <c r="W5" s="435">
        <v>2</v>
      </c>
      <c r="X5" s="288"/>
      <c r="Y5" s="288"/>
      <c r="AB5" s="269" t="s">
        <v>57</v>
      </c>
      <c r="AC5" s="269" t="s">
        <v>60</v>
      </c>
      <c r="AD5" s="269" t="s">
        <v>74</v>
      </c>
      <c r="AE5" s="269" t="s">
        <v>107</v>
      </c>
      <c r="AF5" s="269" t="s">
        <v>104</v>
      </c>
      <c r="AG5" s="269" t="s">
        <v>111</v>
      </c>
      <c r="AH5" s="422">
        <v>2</v>
      </c>
      <c r="AI5" s="291"/>
      <c r="AJ5" s="292"/>
      <c r="AK5" s="234" t="str">
        <f>_xlfn.XLOOKUP(AE5,T7:T26,R7:R26,"",0)</f>
        <v/>
      </c>
    </row>
    <row r="6" spans="1:37" x14ac:dyDescent="0.3">
      <c r="B6" s="244">
        <v>3</v>
      </c>
      <c r="C6" s="244">
        <v>144</v>
      </c>
      <c r="D6" s="244">
        <v>48</v>
      </c>
      <c r="E6" s="244">
        <v>96</v>
      </c>
      <c r="G6" s="244">
        <v>3</v>
      </c>
      <c r="H6" s="244">
        <v>144</v>
      </c>
      <c r="I6" s="244">
        <v>24</v>
      </c>
      <c r="J6" s="244">
        <v>120</v>
      </c>
      <c r="L6" s="244">
        <v>3</v>
      </c>
      <c r="M6" s="244">
        <v>144</v>
      </c>
      <c r="N6" s="244">
        <v>36</v>
      </c>
      <c r="O6" s="244">
        <v>108</v>
      </c>
      <c r="Q6" s="433" t="s">
        <v>57</v>
      </c>
      <c r="R6" s="434" t="s">
        <v>59</v>
      </c>
      <c r="S6" s="435" t="s">
        <v>74</v>
      </c>
      <c r="T6" s="435" t="s">
        <v>112</v>
      </c>
      <c r="U6" s="434" t="s">
        <v>104</v>
      </c>
      <c r="V6" s="436" t="s">
        <v>113</v>
      </c>
      <c r="W6" s="435">
        <v>2</v>
      </c>
      <c r="X6" s="288"/>
      <c r="Y6" s="288"/>
      <c r="AB6" s="269" t="s">
        <v>57</v>
      </c>
      <c r="AC6" s="269" t="s">
        <v>60</v>
      </c>
      <c r="AD6" s="269" t="s">
        <v>74</v>
      </c>
      <c r="AE6" s="269" t="s">
        <v>107</v>
      </c>
      <c r="AF6" s="269" t="s">
        <v>104</v>
      </c>
      <c r="AG6" s="269" t="s">
        <v>114</v>
      </c>
      <c r="AH6" s="422">
        <v>2</v>
      </c>
      <c r="AI6" s="291"/>
      <c r="AJ6" s="292"/>
      <c r="AK6" s="234" t="str">
        <f>_xlfn.XLOOKUP(AE6,T8:T27,R8:R27,"",0)</f>
        <v/>
      </c>
    </row>
    <row r="7" spans="1:37" x14ac:dyDescent="0.3">
      <c r="B7" s="244">
        <v>4</v>
      </c>
      <c r="C7" s="244">
        <v>192</v>
      </c>
      <c r="D7" s="244">
        <v>64</v>
      </c>
      <c r="E7" s="244">
        <v>128</v>
      </c>
      <c r="G7" s="244">
        <v>4</v>
      </c>
      <c r="H7" s="244">
        <v>192</v>
      </c>
      <c r="I7" s="244">
        <v>32</v>
      </c>
      <c r="J7" s="244">
        <v>160</v>
      </c>
      <c r="L7" s="244">
        <v>4</v>
      </c>
      <c r="M7" s="244">
        <v>192</v>
      </c>
      <c r="N7" s="244">
        <v>48</v>
      </c>
      <c r="O7" s="244">
        <v>144</v>
      </c>
      <c r="Q7" s="433" t="s">
        <v>57</v>
      </c>
      <c r="R7" s="434" t="s">
        <v>61</v>
      </c>
      <c r="S7" s="435" t="s">
        <v>74</v>
      </c>
      <c r="T7" s="435" t="s">
        <v>115</v>
      </c>
      <c r="U7" s="434" t="s">
        <v>104</v>
      </c>
      <c r="V7" s="436" t="s">
        <v>116</v>
      </c>
      <c r="W7" s="435">
        <v>2</v>
      </c>
      <c r="X7" s="288"/>
      <c r="Y7" s="288"/>
      <c r="AB7" s="269" t="s">
        <v>57</v>
      </c>
      <c r="AC7" s="269" t="s">
        <v>60</v>
      </c>
      <c r="AD7" s="269" t="s">
        <v>74</v>
      </c>
      <c r="AE7" s="269" t="s">
        <v>107</v>
      </c>
      <c r="AF7" s="269" t="s">
        <v>104</v>
      </c>
      <c r="AG7" s="269" t="s">
        <v>117</v>
      </c>
      <c r="AH7" s="422">
        <v>2</v>
      </c>
      <c r="AI7" s="291"/>
      <c r="AJ7" s="292"/>
      <c r="AK7" s="234" t="str">
        <f>_xlfn.XLOOKUP(AE7,T15:T34,R15:R34,"",0)</f>
        <v/>
      </c>
    </row>
    <row r="8" spans="1:37" x14ac:dyDescent="0.3">
      <c r="B8" s="244">
        <v>5</v>
      </c>
      <c r="C8" s="244">
        <v>240</v>
      </c>
      <c r="D8" s="244">
        <v>80</v>
      </c>
      <c r="E8" s="244">
        <v>160</v>
      </c>
      <c r="G8" s="244">
        <v>5</v>
      </c>
      <c r="H8" s="244">
        <v>240</v>
      </c>
      <c r="I8" s="244">
        <v>40</v>
      </c>
      <c r="J8" s="244">
        <v>200</v>
      </c>
      <c r="L8" s="244">
        <v>5</v>
      </c>
      <c r="M8" s="244">
        <v>240</v>
      </c>
      <c r="N8" s="244">
        <v>60</v>
      </c>
      <c r="O8" s="244">
        <v>180</v>
      </c>
      <c r="Q8" s="433" t="s">
        <v>57</v>
      </c>
      <c r="R8" s="434" t="s">
        <v>62</v>
      </c>
      <c r="S8" s="435" t="s">
        <v>84</v>
      </c>
      <c r="T8" s="435" t="s">
        <v>118</v>
      </c>
      <c r="U8" s="434" t="s">
        <v>104</v>
      </c>
      <c r="V8" s="436" t="s">
        <v>119</v>
      </c>
      <c r="W8" s="435">
        <v>2</v>
      </c>
      <c r="X8" s="288"/>
      <c r="Y8" s="288"/>
      <c r="AB8" s="269" t="s">
        <v>57</v>
      </c>
      <c r="AC8" s="269" t="s">
        <v>60</v>
      </c>
      <c r="AD8" s="269" t="s">
        <v>74</v>
      </c>
      <c r="AE8" s="269" t="s">
        <v>107</v>
      </c>
      <c r="AF8" s="269" t="s">
        <v>104</v>
      </c>
      <c r="AG8" s="269" t="s">
        <v>120</v>
      </c>
      <c r="AH8" s="422">
        <v>2</v>
      </c>
      <c r="AI8" s="291"/>
      <c r="AJ8" s="292"/>
      <c r="AK8" s="234" t="str">
        <f>_xlfn.XLOOKUP(AE8,T16:T35,R16:R35,"",0)</f>
        <v/>
      </c>
    </row>
    <row r="9" spans="1:37" x14ac:dyDescent="0.3">
      <c r="Q9" s="433" t="s">
        <v>52</v>
      </c>
      <c r="R9" s="434" t="s">
        <v>53</v>
      </c>
      <c r="S9" s="435" t="s">
        <v>77</v>
      </c>
      <c r="T9" s="435" t="s">
        <v>121</v>
      </c>
      <c r="U9" s="434" t="s">
        <v>122</v>
      </c>
      <c r="V9" s="436" t="s">
        <v>123</v>
      </c>
      <c r="W9" s="435">
        <v>5</v>
      </c>
      <c r="X9" s="288"/>
      <c r="Y9" s="288"/>
      <c r="AB9" s="269" t="s">
        <v>57</v>
      </c>
      <c r="AC9" s="269" t="s">
        <v>58</v>
      </c>
      <c r="AD9" s="269" t="s">
        <v>74</v>
      </c>
      <c r="AE9" s="269" t="s">
        <v>103</v>
      </c>
      <c r="AF9" s="269" t="s">
        <v>104</v>
      </c>
      <c r="AG9" s="269" t="s">
        <v>124</v>
      </c>
      <c r="AH9" s="422">
        <v>1</v>
      </c>
      <c r="AI9" s="291"/>
      <c r="AJ9" s="292"/>
      <c r="AK9" s="234" t="str">
        <f>_xlfn.XLOOKUP(AE9,T17:T36,R17:R36,"",0)</f>
        <v>Emprendimiento</v>
      </c>
    </row>
    <row r="10" spans="1:37" x14ac:dyDescent="0.3">
      <c r="Q10" s="433" t="s">
        <v>52</v>
      </c>
      <c r="R10" s="434" t="s">
        <v>53</v>
      </c>
      <c r="S10" s="435" t="s">
        <v>85</v>
      </c>
      <c r="T10" s="435" t="s">
        <v>125</v>
      </c>
      <c r="U10" s="434" t="s">
        <v>122</v>
      </c>
      <c r="V10" s="436" t="s">
        <v>123</v>
      </c>
      <c r="W10" s="435">
        <v>5</v>
      </c>
      <c r="X10" s="288"/>
      <c r="Y10" s="288"/>
      <c r="AB10" s="269" t="s">
        <v>57</v>
      </c>
      <c r="AC10" s="269" t="s">
        <v>58</v>
      </c>
      <c r="AD10" s="269" t="s">
        <v>74</v>
      </c>
      <c r="AE10" s="269" t="s">
        <v>103</v>
      </c>
      <c r="AF10" s="269" t="s">
        <v>104</v>
      </c>
      <c r="AG10" s="269" t="s">
        <v>106</v>
      </c>
      <c r="AH10" s="422">
        <v>1</v>
      </c>
      <c r="AI10" s="291"/>
      <c r="AJ10" s="292"/>
    </row>
    <row r="11" spans="1:37" x14ac:dyDescent="0.3">
      <c r="Q11" s="433" t="s">
        <v>52</v>
      </c>
      <c r="R11" s="434" t="s">
        <v>53</v>
      </c>
      <c r="S11" s="435" t="s">
        <v>82</v>
      </c>
      <c r="T11" s="435" t="s">
        <v>126</v>
      </c>
      <c r="U11" s="434" t="s">
        <v>122</v>
      </c>
      <c r="V11" s="436" t="s">
        <v>123</v>
      </c>
      <c r="W11" s="435">
        <v>5</v>
      </c>
      <c r="X11" s="288"/>
      <c r="Y11" s="288"/>
      <c r="AB11" s="269" t="s">
        <v>57</v>
      </c>
      <c r="AC11" s="269" t="s">
        <v>58</v>
      </c>
      <c r="AD11" s="269" t="s">
        <v>74</v>
      </c>
      <c r="AE11" s="269" t="s">
        <v>103</v>
      </c>
      <c r="AF11" s="269" t="s">
        <v>104</v>
      </c>
      <c r="AG11" s="269" t="s">
        <v>108</v>
      </c>
      <c r="AH11" s="422">
        <v>1</v>
      </c>
      <c r="AI11" s="291"/>
      <c r="AJ11" s="292"/>
    </row>
    <row r="12" spans="1:37" ht="14.7" customHeight="1" x14ac:dyDescent="0.3">
      <c r="A12" s="250" t="s">
        <v>127</v>
      </c>
      <c r="B12" s="250" t="s">
        <v>128</v>
      </c>
      <c r="C12" s="287"/>
      <c r="D12" s="279" t="s">
        <v>50</v>
      </c>
      <c r="E12" s="287"/>
      <c r="F12" s="279" t="s">
        <v>129</v>
      </c>
      <c r="G12" s="287"/>
      <c r="H12" s="279" t="s">
        <v>27</v>
      </c>
      <c r="I12" s="287"/>
      <c r="J12" s="279" t="s">
        <v>46</v>
      </c>
      <c r="L12" s="279" t="s">
        <v>130</v>
      </c>
      <c r="Q12" s="433" t="s">
        <v>52</v>
      </c>
      <c r="R12" s="434" t="s">
        <v>53</v>
      </c>
      <c r="S12" s="435" t="s">
        <v>77</v>
      </c>
      <c r="T12" s="435" t="s">
        <v>121</v>
      </c>
      <c r="U12" s="434" t="s">
        <v>122</v>
      </c>
      <c r="V12" s="436" t="s">
        <v>131</v>
      </c>
      <c r="W12" s="435">
        <v>5</v>
      </c>
      <c r="X12" s="288"/>
      <c r="Y12" s="288"/>
      <c r="AB12" s="269" t="s">
        <v>57</v>
      </c>
      <c r="AC12" s="269" t="s">
        <v>58</v>
      </c>
      <c r="AD12" s="269" t="s">
        <v>74</v>
      </c>
      <c r="AE12" s="269" t="s">
        <v>103</v>
      </c>
      <c r="AF12" s="269" t="s">
        <v>104</v>
      </c>
      <c r="AG12" s="269" t="s">
        <v>132</v>
      </c>
      <c r="AH12" s="422">
        <v>1</v>
      </c>
      <c r="AI12" s="291"/>
      <c r="AJ12" s="292"/>
    </row>
    <row r="13" spans="1:37" x14ac:dyDescent="0.3">
      <c r="A13" s="244" t="s">
        <v>74</v>
      </c>
      <c r="B13" s="244" t="str" cm="1">
        <f t="array" ref="B13:C13">IF('ASIGNACIÓN ASIGNATURAS'!$B$3:$C$3="","",A13)</f>
        <v/>
      </c>
      <c r="C13" s="234" t="str">
        <v/>
      </c>
      <c r="D13" s="293" t="s">
        <v>52</v>
      </c>
      <c r="F13" s="244" t="s">
        <v>104</v>
      </c>
      <c r="H13" s="244" t="s">
        <v>133</v>
      </c>
      <c r="J13" s="244" t="s">
        <v>134</v>
      </c>
      <c r="L13" s="407" t="str" cm="1">
        <f t="array" ref="L13:M13">IF('ASIGNACIÓN ASIGNATURAS'!$B$3:$C$3="PREGRADO",IF('ASIGNACIÓN ASIGNATURAS'!C13="","",'ASIGNACIÓN ASIGNATURAS'!C13),"")</f>
        <v/>
      </c>
      <c r="M13" s="234" t="str">
        <v/>
      </c>
      <c r="Q13" s="433" t="s">
        <v>52</v>
      </c>
      <c r="R13" s="434" t="s">
        <v>53</v>
      </c>
      <c r="S13" s="435" t="s">
        <v>85</v>
      </c>
      <c r="T13" s="435" t="s">
        <v>125</v>
      </c>
      <c r="U13" s="434" t="s">
        <v>122</v>
      </c>
      <c r="V13" s="436" t="s">
        <v>131</v>
      </c>
      <c r="W13" s="435">
        <v>5</v>
      </c>
      <c r="X13" s="288"/>
      <c r="Y13" s="288"/>
      <c r="AB13" s="269" t="s">
        <v>57</v>
      </c>
      <c r="AC13" s="269" t="s">
        <v>58</v>
      </c>
      <c r="AD13" s="269" t="s">
        <v>74</v>
      </c>
      <c r="AE13" s="269" t="s">
        <v>103</v>
      </c>
      <c r="AF13" s="269" t="s">
        <v>104</v>
      </c>
      <c r="AG13" s="269" t="s">
        <v>105</v>
      </c>
      <c r="AH13" s="422">
        <v>1</v>
      </c>
      <c r="AI13" s="291"/>
      <c r="AJ13" s="292"/>
    </row>
    <row r="14" spans="1:37" x14ac:dyDescent="0.3">
      <c r="A14" s="244" t="s">
        <v>75</v>
      </c>
      <c r="B14" s="244" t="str" cm="1">
        <f t="array" ref="B14:C14">IF('ASIGNACIÓN ASIGNATURAS'!$B$3:$C$3="","",A14)</f>
        <v/>
      </c>
      <c r="C14" s="234" t="str">
        <v/>
      </c>
      <c r="D14" s="293" t="s">
        <v>54</v>
      </c>
      <c r="F14" s="244" t="s">
        <v>135</v>
      </c>
      <c r="H14" s="244" t="s">
        <v>136</v>
      </c>
      <c r="J14" s="244" t="s">
        <v>137</v>
      </c>
      <c r="L14" s="407" t="str" cm="1">
        <f t="array" ref="L14:M14">IF('ASIGNACIÓN ASIGNATURAS'!$B$3:$C$3="PREGRADO",IF('ASIGNACIÓN ASIGNATURAS'!C14="","",'ASIGNACIÓN ASIGNATURAS'!C14),"")</f>
        <v/>
      </c>
      <c r="M14" s="234" t="str">
        <v/>
      </c>
      <c r="Q14" s="433" t="s">
        <v>52</v>
      </c>
      <c r="R14" s="434" t="s">
        <v>53</v>
      </c>
      <c r="S14" s="435" t="s">
        <v>82</v>
      </c>
      <c r="T14" s="435" t="s">
        <v>126</v>
      </c>
      <c r="U14" s="434" t="s">
        <v>122</v>
      </c>
      <c r="V14" s="436" t="s">
        <v>131</v>
      </c>
      <c r="W14" s="435">
        <v>5</v>
      </c>
      <c r="X14" s="288"/>
      <c r="Y14" s="288"/>
      <c r="AB14" s="269" t="s">
        <v>57</v>
      </c>
      <c r="AC14" s="269" t="s">
        <v>62</v>
      </c>
      <c r="AD14" s="269" t="s">
        <v>74</v>
      </c>
      <c r="AE14" s="269" t="s">
        <v>138</v>
      </c>
      <c r="AF14" s="269" t="s">
        <v>104</v>
      </c>
      <c r="AG14" s="269" t="s">
        <v>139</v>
      </c>
      <c r="AH14" s="422">
        <v>1</v>
      </c>
      <c r="AI14" s="291"/>
      <c r="AJ14" s="292"/>
    </row>
    <row r="15" spans="1:37" x14ac:dyDescent="0.3">
      <c r="A15" s="244" t="s">
        <v>76</v>
      </c>
      <c r="B15" s="244" t="str" cm="1">
        <f t="array" ref="B15:C15">IF('ASIGNACIÓN ASIGNATURAS'!$B$3:$C$3="","",IF('ASIGNACIÓN ASIGNATURAS'!$B$3:$C$3="POSGRADO","",DATA!A15))</f>
        <v/>
      </c>
      <c r="C15" s="234" t="str">
        <v/>
      </c>
      <c r="D15" s="293" t="s">
        <v>57</v>
      </c>
      <c r="F15" s="244" t="s">
        <v>122</v>
      </c>
      <c r="J15" s="244" t="s">
        <v>140</v>
      </c>
      <c r="L15" s="407" t="str" cm="1">
        <f t="array" ref="L15:M15">IF('ASIGNACIÓN ASIGNATURAS'!$B$3:$C$3="PREGRADO",IF('ASIGNACIÓN ASIGNATURAS'!C15="","",'ASIGNACIÓN ASIGNATURAS'!C15),"")</f>
        <v/>
      </c>
      <c r="M15" s="234" t="str">
        <v/>
      </c>
      <c r="Q15" s="433" t="s">
        <v>57</v>
      </c>
      <c r="R15" s="434" t="s">
        <v>58</v>
      </c>
      <c r="S15" s="435" t="s">
        <v>83</v>
      </c>
      <c r="T15" s="435" t="s">
        <v>141</v>
      </c>
      <c r="U15" s="434" t="s">
        <v>135</v>
      </c>
      <c r="V15" s="436" t="s">
        <v>142</v>
      </c>
      <c r="W15" s="435">
        <v>2</v>
      </c>
      <c r="X15" s="288"/>
      <c r="Y15" s="288"/>
      <c r="AB15" s="269" t="s">
        <v>57</v>
      </c>
      <c r="AC15" s="269" t="s">
        <v>62</v>
      </c>
      <c r="AD15" s="269" t="s">
        <v>74</v>
      </c>
      <c r="AE15" s="269" t="s">
        <v>138</v>
      </c>
      <c r="AF15" s="269" t="s">
        <v>104</v>
      </c>
      <c r="AG15" s="269" t="s">
        <v>143</v>
      </c>
      <c r="AH15" s="422">
        <v>1</v>
      </c>
      <c r="AI15" s="291"/>
      <c r="AJ15" s="292"/>
    </row>
    <row r="16" spans="1:37" x14ac:dyDescent="0.3">
      <c r="A16" s="244" t="s">
        <v>77</v>
      </c>
      <c r="B16" s="244" t="str" cm="1">
        <f t="array" ref="B16:C16">IF('ASIGNACIÓN ASIGNATURAS'!$B$3:$C$3="","",IF('ASIGNACIÓN ASIGNATURAS'!$B$3:$C$3="POSGRADO","",DATA!A16))</f>
        <v/>
      </c>
      <c r="C16" s="234" t="str">
        <v/>
      </c>
      <c r="D16" s="293" t="str" cm="1">
        <f t="array" ref="D16:E16">IF('ASIGNACIÓN ASIGNATURAS'!$B$3:$C$3="","",IF('ASIGNACIÓN ASIGNATURAS'!$B$3:$C$3="PREGRADO",D17,""))</f>
        <v/>
      </c>
      <c r="E16" s="234" t="str">
        <v/>
      </c>
      <c r="L16" s="407" t="str" cm="1">
        <f t="array" ref="L16:M16">IF('ASIGNACIÓN ASIGNATURAS'!$B$3:$C$3="PREGRADO",IF('ASIGNACIÓN ASIGNATURAS'!C16="","",'ASIGNACIÓN ASIGNATURAS'!C16),"")</f>
        <v/>
      </c>
      <c r="M16" s="234" t="str">
        <v/>
      </c>
      <c r="Q16" s="433" t="s">
        <v>57</v>
      </c>
      <c r="R16" s="434" t="s">
        <v>60</v>
      </c>
      <c r="S16" s="435" t="s">
        <v>83</v>
      </c>
      <c r="T16" s="435" t="s">
        <v>144</v>
      </c>
      <c r="U16" s="434" t="s">
        <v>135</v>
      </c>
      <c r="V16" s="436" t="s">
        <v>145</v>
      </c>
      <c r="W16" s="435">
        <v>2</v>
      </c>
      <c r="X16" s="288"/>
      <c r="Y16" s="288"/>
      <c r="AB16" s="269" t="s">
        <v>57</v>
      </c>
      <c r="AC16" s="269" t="s">
        <v>62</v>
      </c>
      <c r="AD16" s="269" t="s">
        <v>74</v>
      </c>
      <c r="AE16" s="269" t="s">
        <v>138</v>
      </c>
      <c r="AF16" s="269" t="s">
        <v>104</v>
      </c>
      <c r="AG16" s="269" t="s">
        <v>146</v>
      </c>
      <c r="AH16" s="422">
        <v>1</v>
      </c>
      <c r="AI16" s="291"/>
      <c r="AJ16" s="292"/>
    </row>
    <row r="17" spans="1:36" x14ac:dyDescent="0.3">
      <c r="A17" s="244" t="s">
        <v>81</v>
      </c>
      <c r="B17" s="244" t="str" cm="1">
        <f t="array" ref="B17:C17">IF('ASIGNACIÓN ASIGNATURAS'!$B$3:$C$3="","",IF('ASIGNACIÓN ASIGNATURAS'!$B$3:$C$3="POSGRADO","",DATA!A17))</f>
        <v/>
      </c>
      <c r="C17" s="234" t="str">
        <v/>
      </c>
      <c r="D17" s="234" t="s">
        <v>63</v>
      </c>
      <c r="L17" s="407" t="str" cm="1">
        <f t="array" ref="L17:M17">IF('ASIGNACIÓN ASIGNATURAS'!$B$3:$C$3="PREGRADO",IF('ASIGNACIÓN ASIGNATURAS'!C17="","",'ASIGNACIÓN ASIGNATURAS'!C17),"")</f>
        <v/>
      </c>
      <c r="M17" s="234" t="str">
        <v/>
      </c>
      <c r="Q17" s="433" t="s">
        <v>57</v>
      </c>
      <c r="R17" s="434" t="s">
        <v>59</v>
      </c>
      <c r="S17" s="435" t="s">
        <v>76</v>
      </c>
      <c r="T17" s="435" t="s">
        <v>147</v>
      </c>
      <c r="U17" s="434" t="s">
        <v>104</v>
      </c>
      <c r="V17" s="436" t="s">
        <v>148</v>
      </c>
      <c r="W17" s="435">
        <v>2</v>
      </c>
      <c r="X17" s="288"/>
      <c r="Y17" s="288"/>
      <c r="AB17" s="269" t="s">
        <v>57</v>
      </c>
      <c r="AC17" s="269" t="s">
        <v>62</v>
      </c>
      <c r="AD17" s="269" t="s">
        <v>74</v>
      </c>
      <c r="AE17" s="269" t="s">
        <v>138</v>
      </c>
      <c r="AF17" s="269" t="s">
        <v>104</v>
      </c>
      <c r="AG17" s="269" t="s">
        <v>149</v>
      </c>
      <c r="AH17" s="422">
        <v>1</v>
      </c>
      <c r="AI17" s="291"/>
      <c r="AJ17" s="292"/>
    </row>
    <row r="18" spans="1:36" x14ac:dyDescent="0.3">
      <c r="A18" s="244" t="s">
        <v>82</v>
      </c>
      <c r="B18" s="244" t="str" cm="1">
        <f t="array" ref="B18:C18">IF('ASIGNACIÓN ASIGNATURAS'!$B$3:$C$3="","",IF('ASIGNACIÓN ASIGNATURAS'!$B$3:$C$3="POSGRADO","",DATA!A18))</f>
        <v/>
      </c>
      <c r="C18" s="234" t="str">
        <v/>
      </c>
      <c r="L18" s="407" t="str" cm="1">
        <f t="array" ref="L18:M18">IF('ASIGNACIÓN ASIGNATURAS'!$B$3:$C$3="PREGRADO",IF('ASIGNACIÓN ASIGNATURAS'!C18="","",'ASIGNACIÓN ASIGNATURAS'!C18),"")</f>
        <v/>
      </c>
      <c r="M18" s="234" t="str">
        <v/>
      </c>
      <c r="Q18" s="433" t="s">
        <v>57</v>
      </c>
      <c r="R18" s="434" t="s">
        <v>60</v>
      </c>
      <c r="S18" s="435" t="s">
        <v>83</v>
      </c>
      <c r="T18" s="435" t="s">
        <v>144</v>
      </c>
      <c r="U18" s="434" t="s">
        <v>135</v>
      </c>
      <c r="V18" s="436" t="s">
        <v>150</v>
      </c>
      <c r="W18" s="435">
        <v>2</v>
      </c>
      <c r="X18" s="288"/>
      <c r="Y18" s="288"/>
      <c r="AB18" s="269" t="s">
        <v>57</v>
      </c>
      <c r="AC18" s="269" t="s">
        <v>62</v>
      </c>
      <c r="AD18" s="269" t="s">
        <v>74</v>
      </c>
      <c r="AE18" s="269" t="s">
        <v>138</v>
      </c>
      <c r="AF18" s="269" t="s">
        <v>104</v>
      </c>
      <c r="AG18" s="269" t="s">
        <v>151</v>
      </c>
      <c r="AH18" s="422">
        <v>1</v>
      </c>
      <c r="AI18" s="291"/>
      <c r="AJ18" s="292"/>
    </row>
    <row r="19" spans="1:36" ht="72" x14ac:dyDescent="0.3">
      <c r="A19" s="244" t="s">
        <v>83</v>
      </c>
      <c r="B19" s="244" t="str" cm="1">
        <f t="array" ref="B19:C19">IF('ASIGNACIÓN ASIGNATURAS'!$B$3:$C$3="","",IF('ASIGNACIÓN ASIGNATURAS'!$B$3:$C$3="POSGRADO","",DATA!A19))</f>
        <v/>
      </c>
      <c r="C19" s="234" t="str">
        <v/>
      </c>
      <c r="L19" s="407" t="str" cm="1">
        <f t="array" ref="L19:M19">IF('ASIGNACIÓN ASIGNATURAS'!$B$3:$C$3="PREGRADO",IF('ASIGNACIÓN ASIGNATURAS'!C19="","",'ASIGNACIÓN ASIGNATURAS'!C19),"")</f>
        <v/>
      </c>
      <c r="M19" s="234" t="str">
        <v/>
      </c>
      <c r="Q19" s="433" t="s">
        <v>57</v>
      </c>
      <c r="R19" s="434" t="s">
        <v>58</v>
      </c>
      <c r="S19" s="435" t="s">
        <v>83</v>
      </c>
      <c r="T19" s="435" t="s">
        <v>141</v>
      </c>
      <c r="U19" s="434" t="s">
        <v>135</v>
      </c>
      <c r="V19" s="436" t="s">
        <v>152</v>
      </c>
      <c r="W19" s="435">
        <v>2</v>
      </c>
      <c r="X19" s="288"/>
      <c r="Y19" s="288"/>
      <c r="AB19" s="269" t="s">
        <v>57</v>
      </c>
      <c r="AC19" s="269" t="s">
        <v>58</v>
      </c>
      <c r="AD19" s="269" t="s">
        <v>75</v>
      </c>
      <c r="AE19" s="269" t="s">
        <v>153</v>
      </c>
      <c r="AF19" s="269" t="s">
        <v>104</v>
      </c>
      <c r="AG19" s="423" t="s">
        <v>154</v>
      </c>
      <c r="AH19" s="422">
        <v>2</v>
      </c>
      <c r="AI19" s="291"/>
      <c r="AJ19" s="292"/>
    </row>
    <row r="20" spans="1:36" x14ac:dyDescent="0.3">
      <c r="A20" s="244" t="s">
        <v>84</v>
      </c>
      <c r="B20" s="244" t="str" cm="1">
        <f t="array" ref="B20:C20">IF('ASIGNACIÓN ASIGNATURAS'!$B$3:$C$3="","",IF('ASIGNACIÓN ASIGNATURAS'!$B$3:$C$3="POSGRADO","",DATA!A20))</f>
        <v/>
      </c>
      <c r="C20" s="234" t="str">
        <v/>
      </c>
      <c r="L20" s="407" t="str" cm="1">
        <f t="array" ref="L20:M20">IF('ASIGNACIÓN ASIGNATURAS'!$B$3:$C$3="PREGRADO",IF('ASIGNACIÓN ASIGNATURAS'!C20="","",'ASIGNACIÓN ASIGNATURAS'!C20),"")</f>
        <v/>
      </c>
      <c r="M20" s="234" t="str">
        <v/>
      </c>
      <c r="Q20" s="433" t="s">
        <v>57</v>
      </c>
      <c r="R20" s="434" t="s">
        <v>58</v>
      </c>
      <c r="S20" s="435" t="s">
        <v>81</v>
      </c>
      <c r="T20" s="435" t="s">
        <v>155</v>
      </c>
      <c r="U20" s="434" t="s">
        <v>135</v>
      </c>
      <c r="V20" s="436" t="s">
        <v>58</v>
      </c>
      <c r="W20" s="435">
        <v>2</v>
      </c>
      <c r="X20" s="288"/>
      <c r="Y20" s="288"/>
      <c r="AB20" s="269" t="s">
        <v>57</v>
      </c>
      <c r="AC20" s="269" t="s">
        <v>58</v>
      </c>
      <c r="AD20" s="269" t="s">
        <v>75</v>
      </c>
      <c r="AE20" s="269" t="s">
        <v>153</v>
      </c>
      <c r="AF20" s="269" t="s">
        <v>104</v>
      </c>
      <c r="AG20" s="419" t="s">
        <v>152</v>
      </c>
      <c r="AH20" s="422">
        <v>2</v>
      </c>
      <c r="AI20" s="291"/>
      <c r="AJ20" s="292"/>
    </row>
    <row r="21" spans="1:36" x14ac:dyDescent="0.3">
      <c r="A21" s="244" t="s">
        <v>85</v>
      </c>
      <c r="B21" s="244" t="str" cm="1">
        <f t="array" ref="B21:C21">IF('ASIGNACIÓN ASIGNATURAS'!$B$3:$C$3="","",IF('ASIGNACIÓN ASIGNATURAS'!$B$3:$C$3="POSGRADO","",DATA!A21))</f>
        <v/>
      </c>
      <c r="C21" s="234" t="str">
        <v/>
      </c>
      <c r="L21" s="407" t="str" cm="1">
        <f t="array" ref="L21:M21">IF('ASIGNACIÓN ASIGNATURAS'!$B$3:$C$3="PREGRADO",IF('ASIGNACIÓN ASIGNATURAS'!C21="","",'ASIGNACIÓN ASIGNATURAS'!C21),"")</f>
        <v/>
      </c>
      <c r="M21" s="234" t="str">
        <v/>
      </c>
      <c r="Q21" s="433" t="s">
        <v>57</v>
      </c>
      <c r="R21" s="434" t="s">
        <v>58</v>
      </c>
      <c r="S21" s="435" t="s">
        <v>83</v>
      </c>
      <c r="T21" s="435" t="s">
        <v>141</v>
      </c>
      <c r="U21" s="434" t="s">
        <v>135</v>
      </c>
      <c r="V21" s="436" t="s">
        <v>156</v>
      </c>
      <c r="W21" s="435">
        <v>2</v>
      </c>
      <c r="X21" s="288"/>
      <c r="Y21" s="288"/>
      <c r="AB21" s="269" t="s">
        <v>57</v>
      </c>
      <c r="AC21" s="269" t="s">
        <v>58</v>
      </c>
      <c r="AD21" s="269" t="s">
        <v>75</v>
      </c>
      <c r="AE21" s="269" t="s">
        <v>153</v>
      </c>
      <c r="AF21" s="269" t="s">
        <v>104</v>
      </c>
      <c r="AG21" s="419" t="s">
        <v>157</v>
      </c>
      <c r="AH21" s="422">
        <v>2</v>
      </c>
      <c r="AI21" s="291"/>
      <c r="AJ21" s="292"/>
    </row>
    <row r="22" spans="1:36" x14ac:dyDescent="0.3">
      <c r="A22" s="244"/>
      <c r="B22" s="244" t="str" cm="1">
        <f t="array" ref="B22:C22">IF('ASIGNACIÓN ASIGNATURAS'!$B$3:$C$3="","",IF('ASIGNACIÓN ASIGNATURAS'!$B$3:$C$3="POSGRADO","",DATA!A22))</f>
        <v/>
      </c>
      <c r="C22" s="234" t="str">
        <v/>
      </c>
      <c r="L22" s="407" t="str" cm="1">
        <f t="array" ref="L22:M22">IF('ASIGNACIÓN ASIGNATURAS'!$B$3:$C$3="PREGRADO",IF('ASIGNACIÓN ASIGNATURAS'!C22="","",'ASIGNACIÓN ASIGNATURAS'!C22),"")</f>
        <v/>
      </c>
      <c r="M22" s="234" t="str">
        <v/>
      </c>
      <c r="Q22" s="433" t="s">
        <v>57</v>
      </c>
      <c r="R22" s="434" t="s">
        <v>62</v>
      </c>
      <c r="S22" s="435" t="s">
        <v>81</v>
      </c>
      <c r="T22" s="435" t="s">
        <v>109</v>
      </c>
      <c r="U22" s="434" t="s">
        <v>104</v>
      </c>
      <c r="V22" s="436" t="s">
        <v>158</v>
      </c>
      <c r="W22" s="435">
        <v>2</v>
      </c>
      <c r="X22" s="288"/>
      <c r="Y22" s="288"/>
      <c r="AB22" s="269" t="s">
        <v>57</v>
      </c>
      <c r="AC22" s="269" t="s">
        <v>58</v>
      </c>
      <c r="AD22" s="269" t="s">
        <v>75</v>
      </c>
      <c r="AE22" s="269" t="s">
        <v>153</v>
      </c>
      <c r="AF22" s="269" t="s">
        <v>104</v>
      </c>
      <c r="AG22" s="419" t="s">
        <v>159</v>
      </c>
      <c r="AH22" s="422">
        <v>2</v>
      </c>
      <c r="AI22" s="291"/>
      <c r="AJ22" s="292"/>
    </row>
    <row r="23" spans="1:36" x14ac:dyDescent="0.3">
      <c r="L23" s="407" t="str" cm="1">
        <f t="array" ref="L23:M23">IF('ASIGNACIÓN ASIGNATURAS'!$B$3:$C$3="PREGRADO",IF('ASIGNACIÓN ASIGNATURAS'!C23="","",'ASIGNACIÓN ASIGNATURAS'!C23),"")</f>
        <v/>
      </c>
      <c r="M23" s="234" t="str">
        <v/>
      </c>
      <c r="Q23" s="433" t="s">
        <v>57</v>
      </c>
      <c r="R23" s="434" t="s">
        <v>62</v>
      </c>
      <c r="S23" s="435" t="s">
        <v>76</v>
      </c>
      <c r="T23" s="435" t="s">
        <v>160</v>
      </c>
      <c r="U23" s="434" t="s">
        <v>104</v>
      </c>
      <c r="V23" s="436" t="s">
        <v>161</v>
      </c>
      <c r="W23" s="435">
        <v>2</v>
      </c>
      <c r="X23" s="288"/>
      <c r="Y23" s="288"/>
      <c r="AB23" s="269" t="s">
        <v>57</v>
      </c>
      <c r="AC23" s="269" t="s">
        <v>58</v>
      </c>
      <c r="AD23" s="269" t="s">
        <v>75</v>
      </c>
      <c r="AE23" s="269" t="s">
        <v>153</v>
      </c>
      <c r="AF23" s="269" t="s">
        <v>104</v>
      </c>
      <c r="AG23" s="419" t="s">
        <v>162</v>
      </c>
      <c r="AH23" s="422">
        <v>2</v>
      </c>
      <c r="AI23" s="291"/>
      <c r="AJ23" s="292"/>
    </row>
    <row r="24" spans="1:36" x14ac:dyDescent="0.3">
      <c r="L24" s="407" t="str" cm="1">
        <f t="array" ref="L24:M24">IF('ASIGNACIÓN ASIGNATURAS'!$B$3:$C$3="PREGRADO",IF('ASIGNACIÓN ASIGNATURAS'!C24="","",'ASIGNACIÓN ASIGNATURAS'!C24),"")</f>
        <v/>
      </c>
      <c r="M24" s="234" t="str">
        <v/>
      </c>
      <c r="Q24" s="433" t="s">
        <v>57</v>
      </c>
      <c r="R24" s="434" t="s">
        <v>59</v>
      </c>
      <c r="S24" s="435" t="s">
        <v>75</v>
      </c>
      <c r="T24" s="435" t="s">
        <v>163</v>
      </c>
      <c r="U24" s="434" t="s">
        <v>104</v>
      </c>
      <c r="V24" s="436" t="s">
        <v>164</v>
      </c>
      <c r="W24" s="435">
        <v>2</v>
      </c>
      <c r="X24" s="288"/>
      <c r="Y24" s="288"/>
      <c r="AB24" s="269" t="s">
        <v>57</v>
      </c>
      <c r="AC24" s="269" t="s">
        <v>62</v>
      </c>
      <c r="AD24" s="269" t="s">
        <v>75</v>
      </c>
      <c r="AE24" s="269" t="s">
        <v>165</v>
      </c>
      <c r="AF24" s="269" t="s">
        <v>104</v>
      </c>
      <c r="AG24" s="269" t="s">
        <v>166</v>
      </c>
      <c r="AH24" s="422">
        <v>2</v>
      </c>
      <c r="AI24" s="291"/>
      <c r="AJ24" s="292"/>
    </row>
    <row r="25" spans="1:36" x14ac:dyDescent="0.3">
      <c r="L25" s="407" t="str" cm="1">
        <f t="array" ref="L25:M25">IF('ASIGNACIÓN ASIGNATURAS'!$B$3:$C$3="PREGRADO",IF('ASIGNACIÓN ASIGNATURAS'!C25="","",'ASIGNACIÓN ASIGNATURAS'!C25),"")</f>
        <v/>
      </c>
      <c r="M25" s="234" t="str">
        <v/>
      </c>
      <c r="Q25" s="433" t="s">
        <v>52</v>
      </c>
      <c r="R25" s="434" t="s">
        <v>53</v>
      </c>
      <c r="S25" s="435" t="s">
        <v>77</v>
      </c>
      <c r="T25" s="435" t="s">
        <v>121</v>
      </c>
      <c r="U25" s="434" t="s">
        <v>122</v>
      </c>
      <c r="V25" s="436" t="s">
        <v>167</v>
      </c>
      <c r="W25" s="435">
        <v>5</v>
      </c>
      <c r="X25" s="288"/>
      <c r="Y25" s="288"/>
      <c r="AB25" s="269" t="s">
        <v>57</v>
      </c>
      <c r="AC25" s="269" t="s">
        <v>62</v>
      </c>
      <c r="AD25" s="269" t="s">
        <v>75</v>
      </c>
      <c r="AE25" s="269" t="s">
        <v>165</v>
      </c>
      <c r="AF25" s="269" t="s">
        <v>104</v>
      </c>
      <c r="AG25" s="269" t="s">
        <v>168</v>
      </c>
      <c r="AH25" s="422">
        <v>2</v>
      </c>
      <c r="AI25" s="291"/>
      <c r="AJ25" s="292"/>
    </row>
    <row r="26" spans="1:36" x14ac:dyDescent="0.3">
      <c r="L26" s="407" t="str" cm="1">
        <f t="array" ref="L26:M26">IF('ASIGNACIÓN ASIGNATURAS'!$B$3:$C$3="PREGRADO",IF('ASIGNACIÓN ASIGNATURAS'!C26="","",'ASIGNACIÓN ASIGNATURAS'!C26),"")</f>
        <v/>
      </c>
      <c r="M26" s="234" t="str">
        <v/>
      </c>
      <c r="Q26" s="433" t="s">
        <v>52</v>
      </c>
      <c r="R26" s="434" t="s">
        <v>53</v>
      </c>
      <c r="S26" s="435" t="s">
        <v>85</v>
      </c>
      <c r="T26" s="435" t="s">
        <v>125</v>
      </c>
      <c r="U26" s="434" t="s">
        <v>122</v>
      </c>
      <c r="V26" s="436" t="s">
        <v>167</v>
      </c>
      <c r="W26" s="435">
        <v>5</v>
      </c>
      <c r="X26" s="288"/>
      <c r="Y26" s="288"/>
      <c r="AB26" s="269" t="s">
        <v>57</v>
      </c>
      <c r="AC26" s="269" t="s">
        <v>62</v>
      </c>
      <c r="AD26" s="269" t="s">
        <v>75</v>
      </c>
      <c r="AE26" s="269" t="s">
        <v>165</v>
      </c>
      <c r="AF26" s="269" t="s">
        <v>104</v>
      </c>
      <c r="AG26" s="269" t="s">
        <v>169</v>
      </c>
      <c r="AH26" s="422">
        <v>2</v>
      </c>
      <c r="AI26" s="291"/>
      <c r="AJ26" s="292"/>
    </row>
    <row r="27" spans="1:36" x14ac:dyDescent="0.3">
      <c r="L27" s="407" t="str" cm="1">
        <f t="array" ref="L27:M27">IF('ASIGNACIÓN ASIGNATURAS'!$B$3:$C$3="PREGRADO",IF('ASIGNACIÓN ASIGNATURAS'!C27="","",'ASIGNACIÓN ASIGNATURAS'!C27),"")</f>
        <v/>
      </c>
      <c r="M27" s="234" t="str">
        <v/>
      </c>
      <c r="Q27" s="437" t="s">
        <v>57</v>
      </c>
      <c r="R27" s="435" t="s">
        <v>60</v>
      </c>
      <c r="S27" s="438" t="s">
        <v>170</v>
      </c>
      <c r="T27" s="435" t="s">
        <v>171</v>
      </c>
      <c r="U27" s="435" t="s">
        <v>104</v>
      </c>
      <c r="V27" s="436" t="s">
        <v>172</v>
      </c>
      <c r="W27" s="435">
        <v>2</v>
      </c>
      <c r="X27" s="288"/>
      <c r="Y27" s="288"/>
      <c r="AB27" s="269" t="s">
        <v>57</v>
      </c>
      <c r="AC27" s="269" t="s">
        <v>62</v>
      </c>
      <c r="AD27" s="269" t="s">
        <v>75</v>
      </c>
      <c r="AE27" s="269" t="s">
        <v>165</v>
      </c>
      <c r="AF27" s="269" t="s">
        <v>104</v>
      </c>
      <c r="AG27" s="269" t="s">
        <v>173</v>
      </c>
      <c r="AH27" s="422">
        <v>2</v>
      </c>
      <c r="AI27" s="291"/>
      <c r="AJ27" s="292"/>
    </row>
    <row r="28" spans="1:36" x14ac:dyDescent="0.3">
      <c r="L28" s="407" t="str" cm="1">
        <f t="array" ref="L28:M28">IF('ASIGNACIÓN ASIGNATURAS'!$B$3:$C$3="PREGRADO",IF('ASIGNACIÓN ASIGNATURAS'!C28="","",'ASIGNACIÓN ASIGNATURAS'!C28),"")</f>
        <v/>
      </c>
      <c r="M28" s="234" t="str">
        <v/>
      </c>
      <c r="Q28" s="437" t="s">
        <v>57</v>
      </c>
      <c r="R28" s="435" t="s">
        <v>60</v>
      </c>
      <c r="S28" s="438" t="s">
        <v>170</v>
      </c>
      <c r="T28" s="435" t="s">
        <v>171</v>
      </c>
      <c r="U28" s="435" t="s">
        <v>104</v>
      </c>
      <c r="V28" s="436" t="s">
        <v>174</v>
      </c>
      <c r="W28" s="435">
        <v>2</v>
      </c>
      <c r="X28" s="288"/>
      <c r="Y28" s="288"/>
      <c r="AB28" s="269" t="s">
        <v>54</v>
      </c>
      <c r="AC28" s="269" t="s">
        <v>56</v>
      </c>
      <c r="AD28" s="269" t="s">
        <v>75</v>
      </c>
      <c r="AE28" s="269" t="s">
        <v>175</v>
      </c>
      <c r="AF28" s="269" t="s">
        <v>104</v>
      </c>
      <c r="AG28" s="424"/>
      <c r="AH28" s="422">
        <v>2</v>
      </c>
      <c r="AI28" s="291"/>
      <c r="AJ28" s="292"/>
    </row>
    <row r="29" spans="1:36" x14ac:dyDescent="0.3">
      <c r="L29" s="407" t="str" cm="1">
        <f t="array" ref="L29:M29">IF('ASIGNACIÓN ASIGNATURAS'!$B$3:$C$3="PREGRADO",IF('ASIGNACIÓN ASIGNATURAS'!C29="","",'ASIGNACIÓN ASIGNATURAS'!C29),"")</f>
        <v/>
      </c>
      <c r="M29" s="234" t="str">
        <v/>
      </c>
      <c r="Q29" s="437" t="s">
        <v>57</v>
      </c>
      <c r="R29" s="435" t="s">
        <v>60</v>
      </c>
      <c r="S29" s="438" t="s">
        <v>170</v>
      </c>
      <c r="T29" s="435" t="s">
        <v>171</v>
      </c>
      <c r="U29" s="435" t="s">
        <v>104</v>
      </c>
      <c r="V29" s="436" t="s">
        <v>176</v>
      </c>
      <c r="W29" s="435">
        <v>2</v>
      </c>
      <c r="X29" s="288"/>
      <c r="Y29" s="288"/>
      <c r="AB29" s="269" t="s">
        <v>54</v>
      </c>
      <c r="AC29" s="269" t="s">
        <v>56</v>
      </c>
      <c r="AD29" s="269" t="s">
        <v>75</v>
      </c>
      <c r="AE29" s="269" t="s">
        <v>175</v>
      </c>
      <c r="AF29" s="269" t="s">
        <v>104</v>
      </c>
      <c r="AG29" s="424"/>
      <c r="AH29" s="422">
        <v>2</v>
      </c>
      <c r="AI29" s="291"/>
      <c r="AJ29" s="292"/>
    </row>
    <row r="30" spans="1:36" x14ac:dyDescent="0.3">
      <c r="L30" s="407" t="str" cm="1">
        <f t="array" ref="L30:M30">IF('ASIGNACIÓN ASIGNATURAS'!$B$3:$C$3="PREGRADO",IF('ASIGNACIÓN ASIGNATURAS'!C30="","",'ASIGNACIÓN ASIGNATURAS'!C30),"")</f>
        <v/>
      </c>
      <c r="M30" s="234" t="str">
        <v/>
      </c>
      <c r="Q30" s="437" t="s">
        <v>57</v>
      </c>
      <c r="R30" s="435" t="s">
        <v>60</v>
      </c>
      <c r="S30" s="438" t="s">
        <v>170</v>
      </c>
      <c r="T30" s="435" t="s">
        <v>171</v>
      </c>
      <c r="U30" s="435" t="s">
        <v>104</v>
      </c>
      <c r="V30" s="436" t="s">
        <v>177</v>
      </c>
      <c r="W30" s="435">
        <v>2</v>
      </c>
      <c r="X30" s="288"/>
      <c r="Y30" s="288"/>
      <c r="AB30" s="269" t="s">
        <v>54</v>
      </c>
      <c r="AC30" s="269" t="s">
        <v>56</v>
      </c>
      <c r="AD30" s="269" t="s">
        <v>75</v>
      </c>
      <c r="AE30" s="269" t="s">
        <v>175</v>
      </c>
      <c r="AF30" s="269" t="s">
        <v>104</v>
      </c>
      <c r="AG30" s="424"/>
      <c r="AH30" s="422">
        <v>2</v>
      </c>
      <c r="AI30" s="291"/>
      <c r="AJ30" s="292"/>
    </row>
    <row r="31" spans="1:36" ht="14.7" customHeight="1" x14ac:dyDescent="0.3">
      <c r="L31" s="407" t="str" cm="1">
        <f t="array" ref="L31:M31">IF('ASIGNACIÓN ASIGNATURAS'!$B$3:$C$3="PREGRADO",IF('ASIGNACIÓN ASIGNATURAS'!C31="","",'ASIGNACIÓN ASIGNATURAS'!C31),"")</f>
        <v/>
      </c>
      <c r="M31" s="234" t="str">
        <v/>
      </c>
      <c r="Q31" s="437" t="s">
        <v>57</v>
      </c>
      <c r="R31" s="435" t="s">
        <v>60</v>
      </c>
      <c r="S31" s="438" t="s">
        <v>170</v>
      </c>
      <c r="T31" s="435" t="s">
        <v>171</v>
      </c>
      <c r="U31" s="435" t="s">
        <v>104</v>
      </c>
      <c r="V31" s="436" t="s">
        <v>178</v>
      </c>
      <c r="W31" s="435">
        <v>2</v>
      </c>
      <c r="X31" s="288"/>
      <c r="Y31" s="288"/>
      <c r="AB31" s="269" t="s">
        <v>54</v>
      </c>
      <c r="AC31" s="269" t="s">
        <v>56</v>
      </c>
      <c r="AD31" s="269" t="s">
        <v>75</v>
      </c>
      <c r="AE31" s="269" t="s">
        <v>175</v>
      </c>
      <c r="AF31" s="269" t="s">
        <v>104</v>
      </c>
      <c r="AG31" s="424"/>
      <c r="AH31" s="422">
        <v>2</v>
      </c>
      <c r="AI31" s="291"/>
      <c r="AJ31" s="292"/>
    </row>
    <row r="32" spans="1:36" x14ac:dyDescent="0.3">
      <c r="L32" s="406" t="str" cm="1">
        <f t="array" ref="L32:M32">IF('ASIGNACIÓN ASIGNATURAS'!$B$3:$C$3="POSGRADO",IF('ASIGNACIÓN ASIGNATURAS'!C35="","",'ASIGNACIÓN ASIGNATURAS'!C35),"")</f>
        <v/>
      </c>
      <c r="M32" s="234" t="str">
        <v/>
      </c>
      <c r="Q32" s="433" t="s">
        <v>52</v>
      </c>
      <c r="R32" s="434" t="s">
        <v>53</v>
      </c>
      <c r="S32" s="435" t="s">
        <v>82</v>
      </c>
      <c r="T32" s="435" t="s">
        <v>126</v>
      </c>
      <c r="U32" s="434" t="s">
        <v>122</v>
      </c>
      <c r="V32" s="436" t="s">
        <v>167</v>
      </c>
      <c r="W32" s="435">
        <v>5</v>
      </c>
      <c r="X32" s="288"/>
      <c r="Y32" s="288"/>
      <c r="AB32" s="269" t="s">
        <v>54</v>
      </c>
      <c r="AC32" s="269" t="s">
        <v>56</v>
      </c>
      <c r="AD32" s="269" t="s">
        <v>75</v>
      </c>
      <c r="AE32" s="269" t="s">
        <v>175</v>
      </c>
      <c r="AF32" s="269" t="s">
        <v>104</v>
      </c>
      <c r="AG32" s="424"/>
      <c r="AH32" s="422">
        <v>2</v>
      </c>
      <c r="AI32" s="291"/>
      <c r="AJ32" s="292"/>
    </row>
    <row r="33" spans="12:36" x14ac:dyDescent="0.3">
      <c r="L33" s="406" t="str" cm="1">
        <f t="array" ref="L33:M33">IF('ASIGNACIÓN ASIGNATURAS'!$B$3:$C$3="POSGRADO",IF('ASIGNACIÓN ASIGNATURAS'!C36="","",'ASIGNACIÓN ASIGNATURAS'!C36),"")</f>
        <v/>
      </c>
      <c r="M33" s="234" t="str">
        <v/>
      </c>
      <c r="Q33" s="433" t="s">
        <v>57</v>
      </c>
      <c r="R33" s="434" t="s">
        <v>58</v>
      </c>
      <c r="S33" s="435" t="s">
        <v>83</v>
      </c>
      <c r="T33" s="435" t="s">
        <v>141</v>
      </c>
      <c r="U33" s="434" t="s">
        <v>135</v>
      </c>
      <c r="V33" s="436" t="s">
        <v>179</v>
      </c>
      <c r="W33" s="435">
        <v>2</v>
      </c>
      <c r="X33" s="288"/>
      <c r="Y33" s="288"/>
      <c r="AB33" s="269" t="s">
        <v>54</v>
      </c>
      <c r="AC33" s="269" t="s">
        <v>56</v>
      </c>
      <c r="AD33" s="269" t="s">
        <v>75</v>
      </c>
      <c r="AE33" s="269" t="s">
        <v>175</v>
      </c>
      <c r="AF33" s="269" t="s">
        <v>104</v>
      </c>
      <c r="AG33" s="424"/>
      <c r="AH33" s="422">
        <v>2</v>
      </c>
      <c r="AI33" s="291"/>
      <c r="AJ33" s="292"/>
    </row>
    <row r="34" spans="12:36" ht="14.7" customHeight="1" x14ac:dyDescent="0.3">
      <c r="L34" s="406" t="str" cm="1">
        <f t="array" ref="L34:M34">IF('ASIGNACIÓN ASIGNATURAS'!$B$3:$C$3="POSGRADO",IF('ASIGNACIÓN ASIGNATURAS'!C37="","",'ASIGNACIÓN ASIGNATURAS'!C37),"")</f>
        <v/>
      </c>
      <c r="M34" s="234" t="str">
        <v/>
      </c>
      <c r="Q34" s="433" t="s">
        <v>57</v>
      </c>
      <c r="R34" s="434" t="s">
        <v>58</v>
      </c>
      <c r="S34" s="435" t="s">
        <v>74</v>
      </c>
      <c r="T34" s="435" t="s">
        <v>103</v>
      </c>
      <c r="U34" s="434" t="s">
        <v>104</v>
      </c>
      <c r="V34" s="436" t="s">
        <v>124</v>
      </c>
      <c r="W34" s="435">
        <v>2</v>
      </c>
      <c r="X34" s="288"/>
      <c r="Y34" s="288"/>
      <c r="AB34" s="269" t="s">
        <v>54</v>
      </c>
      <c r="AC34" s="269" t="s">
        <v>56</v>
      </c>
      <c r="AD34" s="269" t="s">
        <v>75</v>
      </c>
      <c r="AE34" s="269" t="s">
        <v>175</v>
      </c>
      <c r="AF34" s="269" t="s">
        <v>104</v>
      </c>
      <c r="AG34" s="424"/>
      <c r="AH34" s="422">
        <v>2</v>
      </c>
      <c r="AI34" s="291"/>
      <c r="AJ34" s="292"/>
    </row>
    <row r="35" spans="12:36" x14ac:dyDescent="0.3">
      <c r="L35" s="406" t="str" cm="1">
        <f t="array" ref="L35:M35">IF('ASIGNACIÓN ASIGNATURAS'!$B$3:$C$3="POSGRADO",IF('ASIGNACIÓN ASIGNATURAS'!C38="","",'ASIGNACIÓN ASIGNATURAS'!C38),"")</f>
        <v/>
      </c>
      <c r="M35" s="234" t="str">
        <v/>
      </c>
      <c r="Q35" s="433" t="s">
        <v>57</v>
      </c>
      <c r="R35" s="434" t="s">
        <v>62</v>
      </c>
      <c r="S35" s="435" t="s">
        <v>84</v>
      </c>
      <c r="T35" s="435" t="s">
        <v>118</v>
      </c>
      <c r="U35" s="434" t="s">
        <v>104</v>
      </c>
      <c r="V35" s="436" t="s">
        <v>180</v>
      </c>
      <c r="W35" s="435">
        <v>2</v>
      </c>
      <c r="X35" s="288"/>
      <c r="Y35" s="288"/>
      <c r="AB35" s="269" t="s">
        <v>54</v>
      </c>
      <c r="AC35" s="269" t="s">
        <v>56</v>
      </c>
      <c r="AD35" s="269" t="s">
        <v>75</v>
      </c>
      <c r="AE35" s="269" t="s">
        <v>175</v>
      </c>
      <c r="AF35" s="269" t="s">
        <v>104</v>
      </c>
      <c r="AG35" s="424"/>
      <c r="AH35" s="422">
        <v>2</v>
      </c>
      <c r="AI35" s="291"/>
      <c r="AJ35" s="292"/>
    </row>
    <row r="36" spans="12:36" x14ac:dyDescent="0.3">
      <c r="L36" s="406" t="str" cm="1">
        <f t="array" ref="L36:M36">IF('ASIGNACIÓN ASIGNATURAS'!$B$3:$C$3="POSGRADO",IF('ASIGNACIÓN ASIGNATURAS'!C39="","",'ASIGNACIÓN ASIGNATURAS'!C39),"")</f>
        <v/>
      </c>
      <c r="M36" s="234" t="str">
        <v/>
      </c>
      <c r="Q36" s="433" t="s">
        <v>57</v>
      </c>
      <c r="R36" s="434" t="s">
        <v>58</v>
      </c>
      <c r="S36" s="435" t="s">
        <v>74</v>
      </c>
      <c r="T36" s="435" t="s">
        <v>103</v>
      </c>
      <c r="U36" s="434" t="s">
        <v>104</v>
      </c>
      <c r="V36" s="436" t="s">
        <v>108</v>
      </c>
      <c r="W36" s="435">
        <v>2</v>
      </c>
      <c r="X36" s="288"/>
      <c r="Y36" s="288"/>
      <c r="AB36" s="269" t="s">
        <v>54</v>
      </c>
      <c r="AC36" s="269" t="s">
        <v>56</v>
      </c>
      <c r="AD36" s="269" t="s">
        <v>75</v>
      </c>
      <c r="AE36" s="269" t="s">
        <v>175</v>
      </c>
      <c r="AF36" s="269" t="s">
        <v>104</v>
      </c>
      <c r="AG36" s="424"/>
      <c r="AH36" s="422">
        <v>2</v>
      </c>
      <c r="AI36" s="291"/>
      <c r="AJ36" s="292"/>
    </row>
    <row r="37" spans="12:36" x14ac:dyDescent="0.3">
      <c r="L37" s="406" t="str" cm="1">
        <f t="array" ref="L37:M37">IF('ASIGNACIÓN ASIGNATURAS'!$B$3:$C$3="POSGRADO",IF('ASIGNACIÓN ASIGNATURAS'!C40="","",'ASIGNACIÓN ASIGNATURAS'!C40),"")</f>
        <v/>
      </c>
      <c r="M37" s="234" t="str">
        <v/>
      </c>
      <c r="Q37" s="433" t="s">
        <v>57</v>
      </c>
      <c r="R37" s="434" t="s">
        <v>59</v>
      </c>
      <c r="S37" s="435" t="s">
        <v>74</v>
      </c>
      <c r="T37" s="435" t="s">
        <v>112</v>
      </c>
      <c r="U37" s="434" t="s">
        <v>104</v>
      </c>
      <c r="V37" s="436" t="s">
        <v>181</v>
      </c>
      <c r="W37" s="435">
        <v>2</v>
      </c>
      <c r="X37" s="288"/>
      <c r="Y37" s="288"/>
      <c r="AB37" s="269" t="s">
        <v>54</v>
      </c>
      <c r="AC37" s="269" t="s">
        <v>56</v>
      </c>
      <c r="AD37" s="269" t="s">
        <v>75</v>
      </c>
      <c r="AE37" s="269" t="s">
        <v>175</v>
      </c>
      <c r="AF37" s="269" t="s">
        <v>104</v>
      </c>
      <c r="AG37" s="424"/>
      <c r="AH37" s="422">
        <v>2</v>
      </c>
      <c r="AI37" s="291"/>
      <c r="AJ37" s="292"/>
    </row>
    <row r="38" spans="12:36" ht="14.7" customHeight="1" x14ac:dyDescent="0.3">
      <c r="L38" s="406" t="str" cm="1">
        <f t="array" ref="L38:M38">IF('ASIGNACIÓN ASIGNATURAS'!$B$3:$C$3="POSGRADO",IF('ASIGNACIÓN ASIGNATURAS'!C41="","",'ASIGNACIÓN ASIGNATURAS'!C41),"")</f>
        <v/>
      </c>
      <c r="M38" s="234" t="str">
        <v/>
      </c>
      <c r="Q38" s="433" t="s">
        <v>57</v>
      </c>
      <c r="R38" s="434" t="s">
        <v>59</v>
      </c>
      <c r="S38" s="435" t="s">
        <v>74</v>
      </c>
      <c r="T38" s="435" t="s">
        <v>112</v>
      </c>
      <c r="U38" s="434" t="s">
        <v>104</v>
      </c>
      <c r="V38" s="436" t="s">
        <v>182</v>
      </c>
      <c r="W38" s="435">
        <v>2</v>
      </c>
      <c r="X38" s="288"/>
      <c r="Y38" s="288"/>
      <c r="AB38" s="269" t="s">
        <v>54</v>
      </c>
      <c r="AC38" s="269" t="s">
        <v>56</v>
      </c>
      <c r="AD38" s="269" t="s">
        <v>75</v>
      </c>
      <c r="AE38" s="269" t="s">
        <v>175</v>
      </c>
      <c r="AF38" s="269" t="s">
        <v>104</v>
      </c>
      <c r="AG38" s="424"/>
      <c r="AH38" s="422">
        <v>2</v>
      </c>
      <c r="AI38" s="291"/>
      <c r="AJ38" s="292"/>
    </row>
    <row r="39" spans="12:36" x14ac:dyDescent="0.3">
      <c r="L39" s="406" t="str" cm="1">
        <f t="array" ref="L39:M39">IF('ASIGNACIÓN ASIGNATURAS'!$B$3:$C$3="POSGRADO",IF('ASIGNACIÓN ASIGNATURAS'!C42="","",'ASIGNACIÓN ASIGNATURAS'!C42),"")</f>
        <v/>
      </c>
      <c r="M39" s="234" t="str">
        <v/>
      </c>
      <c r="Q39" s="433" t="s">
        <v>57</v>
      </c>
      <c r="R39" s="434" t="s">
        <v>62</v>
      </c>
      <c r="S39" s="435" t="s">
        <v>81</v>
      </c>
      <c r="T39" s="435" t="s">
        <v>109</v>
      </c>
      <c r="U39" s="434" t="s">
        <v>104</v>
      </c>
      <c r="V39" s="436" t="s">
        <v>183</v>
      </c>
      <c r="W39" s="435">
        <v>2</v>
      </c>
      <c r="X39" s="288"/>
      <c r="Y39" s="288"/>
      <c r="AB39" s="269" t="s">
        <v>54</v>
      </c>
      <c r="AC39" s="269" t="s">
        <v>56</v>
      </c>
      <c r="AD39" s="269" t="s">
        <v>75</v>
      </c>
      <c r="AE39" s="269" t="s">
        <v>175</v>
      </c>
      <c r="AF39" s="269" t="s">
        <v>104</v>
      </c>
      <c r="AG39" s="424"/>
      <c r="AH39" s="422">
        <v>2</v>
      </c>
      <c r="AI39" s="291"/>
      <c r="AJ39" s="292"/>
    </row>
    <row r="40" spans="12:36" x14ac:dyDescent="0.3">
      <c r="L40" s="406" t="str" cm="1">
        <f t="array" ref="L40:M40">IF('ASIGNACIÓN ASIGNATURAS'!$B$3:$C$3="POSGRADO",IF('ASIGNACIÓN ASIGNATURAS'!C43="","",'ASIGNACIÓN ASIGNATURAS'!C43),"")</f>
        <v/>
      </c>
      <c r="M40" s="234" t="str">
        <v/>
      </c>
      <c r="Q40" s="433" t="s">
        <v>57</v>
      </c>
      <c r="R40" s="434" t="s">
        <v>60</v>
      </c>
      <c r="S40" s="435" t="s">
        <v>83</v>
      </c>
      <c r="T40" s="435" t="s">
        <v>144</v>
      </c>
      <c r="U40" s="434" t="s">
        <v>135</v>
      </c>
      <c r="V40" s="436" t="s">
        <v>184</v>
      </c>
      <c r="W40" s="435">
        <v>2</v>
      </c>
      <c r="X40" s="288"/>
      <c r="Y40" s="288"/>
      <c r="AB40" s="269" t="s">
        <v>54</v>
      </c>
      <c r="AC40" s="269" t="s">
        <v>56</v>
      </c>
      <c r="AD40" s="269" t="s">
        <v>75</v>
      </c>
      <c r="AE40" s="269" t="s">
        <v>175</v>
      </c>
      <c r="AF40" s="269" t="s">
        <v>104</v>
      </c>
      <c r="AG40" s="424"/>
      <c r="AH40" s="422">
        <v>2</v>
      </c>
      <c r="AI40" s="291"/>
      <c r="AJ40" s="292"/>
    </row>
    <row r="41" spans="12:36" ht="14.7" customHeight="1" x14ac:dyDescent="0.3">
      <c r="Q41" s="433" t="s">
        <v>57</v>
      </c>
      <c r="R41" s="434" t="s">
        <v>60</v>
      </c>
      <c r="S41" s="435" t="s">
        <v>83</v>
      </c>
      <c r="T41" s="435" t="s">
        <v>144</v>
      </c>
      <c r="U41" s="434" t="s">
        <v>135</v>
      </c>
      <c r="V41" s="436" t="s">
        <v>185</v>
      </c>
      <c r="W41" s="435">
        <v>2</v>
      </c>
      <c r="X41" s="288"/>
      <c r="Y41" s="288"/>
      <c r="AB41" s="269" t="s">
        <v>54</v>
      </c>
      <c r="AC41" s="269" t="s">
        <v>56</v>
      </c>
      <c r="AD41" s="269" t="s">
        <v>75</v>
      </c>
      <c r="AE41" s="269" t="s">
        <v>175</v>
      </c>
      <c r="AF41" s="269" t="s">
        <v>104</v>
      </c>
      <c r="AG41" s="424"/>
      <c r="AH41" s="422">
        <v>2</v>
      </c>
      <c r="AI41" s="291"/>
      <c r="AJ41" s="292"/>
    </row>
    <row r="42" spans="12:36" x14ac:dyDescent="0.3">
      <c r="Q42" s="433" t="s">
        <v>57</v>
      </c>
      <c r="R42" s="434" t="s">
        <v>62</v>
      </c>
      <c r="S42" s="435" t="s">
        <v>81</v>
      </c>
      <c r="T42" s="435" t="s">
        <v>109</v>
      </c>
      <c r="U42" s="434" t="s">
        <v>104</v>
      </c>
      <c r="V42" s="436" t="s">
        <v>186</v>
      </c>
      <c r="W42" s="435">
        <v>2</v>
      </c>
      <c r="X42" s="288"/>
      <c r="Y42" s="288"/>
      <c r="AB42" s="269" t="s">
        <v>54</v>
      </c>
      <c r="AC42" s="269" t="s">
        <v>56</v>
      </c>
      <c r="AD42" s="269" t="s">
        <v>75</v>
      </c>
      <c r="AE42" s="269" t="s">
        <v>175</v>
      </c>
      <c r="AF42" s="269" t="s">
        <v>104</v>
      </c>
      <c r="AG42" s="424"/>
      <c r="AH42" s="422">
        <v>2</v>
      </c>
      <c r="AI42" s="291"/>
      <c r="AJ42" s="292"/>
    </row>
    <row r="43" spans="12:36" x14ac:dyDescent="0.3">
      <c r="Q43" s="433" t="s">
        <v>57</v>
      </c>
      <c r="R43" s="434" t="s">
        <v>59</v>
      </c>
      <c r="S43" s="435" t="s">
        <v>76</v>
      </c>
      <c r="T43" s="435" t="s">
        <v>147</v>
      </c>
      <c r="U43" s="434" t="s">
        <v>104</v>
      </c>
      <c r="V43" s="436" t="s">
        <v>187</v>
      </c>
      <c r="W43" s="435">
        <v>2</v>
      </c>
      <c r="X43" s="288"/>
      <c r="Y43" s="288"/>
    </row>
    <row r="44" spans="12:36" x14ac:dyDescent="0.3">
      <c r="Q44" s="433" t="s">
        <v>57</v>
      </c>
      <c r="R44" s="434" t="s">
        <v>59</v>
      </c>
      <c r="S44" s="435" t="s">
        <v>76</v>
      </c>
      <c r="T44" s="435" t="s">
        <v>147</v>
      </c>
      <c r="U44" s="434" t="s">
        <v>104</v>
      </c>
      <c r="V44" s="436" t="s">
        <v>188</v>
      </c>
      <c r="W44" s="435">
        <v>2</v>
      </c>
      <c r="X44" s="288"/>
      <c r="Y44" s="288"/>
    </row>
    <row r="45" spans="12:36" x14ac:dyDescent="0.3">
      <c r="Q45" s="433" t="s">
        <v>57</v>
      </c>
      <c r="R45" s="434" t="s">
        <v>59</v>
      </c>
      <c r="S45" s="435" t="s">
        <v>76</v>
      </c>
      <c r="T45" s="435" t="s">
        <v>147</v>
      </c>
      <c r="U45" s="434" t="s">
        <v>104</v>
      </c>
      <c r="V45" s="436" t="s">
        <v>189</v>
      </c>
      <c r="W45" s="435">
        <v>2</v>
      </c>
      <c r="X45" s="288"/>
      <c r="Y45" s="288"/>
    </row>
    <row r="46" spans="12:36" x14ac:dyDescent="0.3">
      <c r="Q46" s="433" t="s">
        <v>57</v>
      </c>
      <c r="R46" s="434" t="s">
        <v>59</v>
      </c>
      <c r="S46" s="435" t="s">
        <v>76</v>
      </c>
      <c r="T46" s="435" t="s">
        <v>147</v>
      </c>
      <c r="U46" s="434" t="s">
        <v>104</v>
      </c>
      <c r="V46" s="436" t="s">
        <v>190</v>
      </c>
      <c r="W46" s="435">
        <v>2</v>
      </c>
      <c r="X46" s="288"/>
      <c r="Y46" s="288"/>
    </row>
    <row r="47" spans="12:36" x14ac:dyDescent="0.3">
      <c r="Q47" s="433" t="s">
        <v>57</v>
      </c>
      <c r="R47" s="434" t="s">
        <v>58</v>
      </c>
      <c r="S47" s="435" t="s">
        <v>83</v>
      </c>
      <c r="T47" s="435" t="s">
        <v>141</v>
      </c>
      <c r="U47" s="434" t="s">
        <v>135</v>
      </c>
      <c r="V47" s="436" t="s">
        <v>162</v>
      </c>
      <c r="W47" s="435">
        <v>2</v>
      </c>
      <c r="X47" s="288"/>
      <c r="Y47" s="288"/>
    </row>
    <row r="48" spans="12:36" x14ac:dyDescent="0.3">
      <c r="Q48" s="433" t="s">
        <v>57</v>
      </c>
      <c r="R48" s="434" t="s">
        <v>62</v>
      </c>
      <c r="S48" s="435" t="s">
        <v>76</v>
      </c>
      <c r="T48" s="435" t="s">
        <v>160</v>
      </c>
      <c r="U48" s="434" t="s">
        <v>104</v>
      </c>
      <c r="V48" s="436" t="s">
        <v>191</v>
      </c>
      <c r="W48" s="435">
        <v>2</v>
      </c>
      <c r="X48" s="288"/>
      <c r="Y48" s="288"/>
    </row>
    <row r="49" spans="17:25" x14ac:dyDescent="0.3">
      <c r="Q49" s="433" t="s">
        <v>57</v>
      </c>
      <c r="R49" s="434" t="s">
        <v>61</v>
      </c>
      <c r="S49" s="435" t="s">
        <v>74</v>
      </c>
      <c r="T49" s="435" t="s">
        <v>115</v>
      </c>
      <c r="U49" s="434" t="s">
        <v>104</v>
      </c>
      <c r="V49" s="436" t="s">
        <v>192</v>
      </c>
      <c r="W49" s="435">
        <v>2</v>
      </c>
      <c r="X49" s="288"/>
      <c r="Y49" s="288"/>
    </row>
    <row r="50" spans="17:25" x14ac:dyDescent="0.3">
      <c r="Q50" s="433" t="s">
        <v>57</v>
      </c>
      <c r="R50" s="434" t="s">
        <v>59</v>
      </c>
      <c r="S50" s="435" t="s">
        <v>75</v>
      </c>
      <c r="T50" s="435" t="s">
        <v>163</v>
      </c>
      <c r="U50" s="434" t="s">
        <v>104</v>
      </c>
      <c r="V50" s="436" t="s">
        <v>193</v>
      </c>
      <c r="W50" s="435">
        <v>2</v>
      </c>
      <c r="X50" s="288"/>
      <c r="Y50" s="288"/>
    </row>
    <row r="51" spans="17:25" x14ac:dyDescent="0.3">
      <c r="Q51" s="433" t="s">
        <v>57</v>
      </c>
      <c r="R51" s="434" t="s">
        <v>58</v>
      </c>
      <c r="S51" s="435" t="s">
        <v>74</v>
      </c>
      <c r="T51" s="435" t="s">
        <v>103</v>
      </c>
      <c r="U51" s="434" t="s">
        <v>104</v>
      </c>
      <c r="V51" s="436" t="s">
        <v>194</v>
      </c>
      <c r="W51" s="435">
        <v>2</v>
      </c>
      <c r="X51" s="288"/>
      <c r="Y51" s="288"/>
    </row>
    <row r="52" spans="17:25" x14ac:dyDescent="0.3">
      <c r="Q52" s="433" t="s">
        <v>57</v>
      </c>
      <c r="R52" s="434" t="s">
        <v>62</v>
      </c>
      <c r="S52" s="435" t="s">
        <v>76</v>
      </c>
      <c r="T52" s="435" t="s">
        <v>160</v>
      </c>
      <c r="U52" s="434" t="s">
        <v>104</v>
      </c>
      <c r="V52" s="436" t="s">
        <v>195</v>
      </c>
      <c r="W52" s="435">
        <v>2</v>
      </c>
      <c r="X52" s="288"/>
      <c r="Y52" s="288"/>
    </row>
    <row r="53" spans="17:25" x14ac:dyDescent="0.3">
      <c r="Q53" s="433" t="s">
        <v>57</v>
      </c>
      <c r="R53" s="434" t="s">
        <v>59</v>
      </c>
      <c r="S53" s="435" t="s">
        <v>74</v>
      </c>
      <c r="T53" s="435" t="s">
        <v>112</v>
      </c>
      <c r="U53" s="434" t="s">
        <v>104</v>
      </c>
      <c r="V53" s="436" t="s">
        <v>196</v>
      </c>
      <c r="W53" s="435">
        <v>2</v>
      </c>
      <c r="X53" s="288"/>
      <c r="Y53" s="288"/>
    </row>
    <row r="54" spans="17:25" x14ac:dyDescent="0.3">
      <c r="Q54" s="433" t="s">
        <v>57</v>
      </c>
      <c r="R54" s="434" t="s">
        <v>59</v>
      </c>
      <c r="S54" s="435" t="s">
        <v>75</v>
      </c>
      <c r="T54" s="435" t="s">
        <v>163</v>
      </c>
      <c r="U54" s="434" t="s">
        <v>104</v>
      </c>
      <c r="V54" s="436" t="s">
        <v>197</v>
      </c>
      <c r="W54" s="435">
        <v>2</v>
      </c>
      <c r="X54" s="288"/>
      <c r="Y54" s="288"/>
    </row>
    <row r="55" spans="17:25" x14ac:dyDescent="0.3">
      <c r="Q55" s="433" t="s">
        <v>57</v>
      </c>
      <c r="R55" s="434" t="s">
        <v>62</v>
      </c>
      <c r="S55" s="435" t="s">
        <v>84</v>
      </c>
      <c r="T55" s="435" t="s">
        <v>118</v>
      </c>
      <c r="U55" s="434" t="s">
        <v>104</v>
      </c>
      <c r="V55" s="436" t="s">
        <v>198</v>
      </c>
      <c r="W55" s="435">
        <v>2</v>
      </c>
      <c r="X55" s="288"/>
      <c r="Y55" s="288"/>
    </row>
    <row r="56" spans="17:25" x14ac:dyDescent="0.3">
      <c r="Q56" s="433" t="s">
        <v>57</v>
      </c>
      <c r="R56" s="434" t="s">
        <v>61</v>
      </c>
      <c r="S56" s="435" t="s">
        <v>74</v>
      </c>
      <c r="T56" s="435" t="s">
        <v>115</v>
      </c>
      <c r="U56" s="434" t="s">
        <v>104</v>
      </c>
      <c r="V56" s="436" t="s">
        <v>199</v>
      </c>
      <c r="W56" s="435">
        <v>2</v>
      </c>
      <c r="X56" s="288"/>
      <c r="Y56" s="288"/>
    </row>
    <row r="57" spans="17:25" x14ac:dyDescent="0.3">
      <c r="Q57" s="433" t="s">
        <v>57</v>
      </c>
      <c r="R57" s="434" t="s">
        <v>59</v>
      </c>
      <c r="S57" s="435" t="s">
        <v>74</v>
      </c>
      <c r="T57" s="435" t="s">
        <v>112</v>
      </c>
      <c r="U57" s="434" t="s">
        <v>104</v>
      </c>
      <c r="V57" s="436" t="s">
        <v>200</v>
      </c>
      <c r="W57" s="435">
        <v>2</v>
      </c>
      <c r="X57" s="288"/>
      <c r="Y57" s="288"/>
    </row>
    <row r="58" spans="17:25" ht="14.7" customHeight="1" x14ac:dyDescent="0.3">
      <c r="Q58" s="433" t="s">
        <v>57</v>
      </c>
      <c r="R58" s="434" t="s">
        <v>58</v>
      </c>
      <c r="S58" s="435" t="s">
        <v>81</v>
      </c>
      <c r="T58" s="435" t="s">
        <v>155</v>
      </c>
      <c r="U58" s="434" t="s">
        <v>135</v>
      </c>
      <c r="V58" s="436" t="s">
        <v>201</v>
      </c>
      <c r="W58" s="435">
        <v>2</v>
      </c>
      <c r="X58" s="288"/>
      <c r="Y58" s="288"/>
    </row>
    <row r="59" spans="17:25" x14ac:dyDescent="0.3">
      <c r="Q59" s="433" t="s">
        <v>57</v>
      </c>
      <c r="R59" s="434" t="s">
        <v>62</v>
      </c>
      <c r="S59" s="435" t="s">
        <v>84</v>
      </c>
      <c r="T59" s="435" t="s">
        <v>118</v>
      </c>
      <c r="U59" s="434" t="s">
        <v>104</v>
      </c>
      <c r="V59" s="436" t="s">
        <v>202</v>
      </c>
      <c r="W59" s="435">
        <v>2</v>
      </c>
      <c r="X59" s="288"/>
      <c r="Y59" s="288"/>
    </row>
    <row r="60" spans="17:25" x14ac:dyDescent="0.3">
      <c r="Q60" s="433" t="s">
        <v>52</v>
      </c>
      <c r="R60" s="434" t="s">
        <v>53</v>
      </c>
      <c r="S60" s="435" t="s">
        <v>77</v>
      </c>
      <c r="T60" s="435" t="s">
        <v>121</v>
      </c>
      <c r="U60" s="434" t="s">
        <v>122</v>
      </c>
      <c r="V60" s="436" t="s">
        <v>203</v>
      </c>
      <c r="W60" s="435">
        <v>5</v>
      </c>
      <c r="X60" s="288"/>
      <c r="Y60" s="288"/>
    </row>
    <row r="61" spans="17:25" ht="14.7" customHeight="1" x14ac:dyDescent="0.3">
      <c r="Q61" s="433" t="s">
        <v>52</v>
      </c>
      <c r="R61" s="434" t="s">
        <v>53</v>
      </c>
      <c r="S61" s="435" t="s">
        <v>85</v>
      </c>
      <c r="T61" s="435" t="s">
        <v>125</v>
      </c>
      <c r="U61" s="434" t="s">
        <v>122</v>
      </c>
      <c r="V61" s="436" t="s">
        <v>203</v>
      </c>
      <c r="W61" s="435">
        <v>5</v>
      </c>
      <c r="X61" s="288"/>
      <c r="Y61" s="288"/>
    </row>
    <row r="62" spans="17:25" x14ac:dyDescent="0.3">
      <c r="Q62" s="433" t="s">
        <v>52</v>
      </c>
      <c r="R62" s="434" t="s">
        <v>53</v>
      </c>
      <c r="S62" s="435" t="s">
        <v>82</v>
      </c>
      <c r="T62" s="435" t="s">
        <v>126</v>
      </c>
      <c r="U62" s="434" t="s">
        <v>122</v>
      </c>
      <c r="V62" s="436" t="s">
        <v>203</v>
      </c>
      <c r="W62" s="435">
        <v>5</v>
      </c>
      <c r="X62" s="288"/>
      <c r="Y62" s="288"/>
    </row>
    <row r="63" spans="17:25" x14ac:dyDescent="0.3">
      <c r="Q63" s="433" t="s">
        <v>57</v>
      </c>
      <c r="R63" s="434" t="s">
        <v>61</v>
      </c>
      <c r="S63" s="435" t="s">
        <v>74</v>
      </c>
      <c r="T63" s="435" t="s">
        <v>115</v>
      </c>
      <c r="U63" s="434" t="s">
        <v>104</v>
      </c>
      <c r="V63" s="436" t="s">
        <v>204</v>
      </c>
      <c r="W63" s="435">
        <v>2</v>
      </c>
      <c r="X63" s="288"/>
      <c r="Y63" s="288"/>
    </row>
    <row r="64" spans="17:25" x14ac:dyDescent="0.3">
      <c r="Q64" s="433" t="s">
        <v>57</v>
      </c>
      <c r="R64" s="434" t="s">
        <v>62</v>
      </c>
      <c r="S64" s="435" t="s">
        <v>76</v>
      </c>
      <c r="T64" s="435" t="s">
        <v>160</v>
      </c>
      <c r="U64" s="434" t="s">
        <v>104</v>
      </c>
      <c r="V64" s="436" t="s">
        <v>205</v>
      </c>
      <c r="W64" s="435">
        <v>2</v>
      </c>
      <c r="X64" s="288"/>
      <c r="Y64" s="288"/>
    </row>
    <row r="65" spans="17:25" ht="14.7" customHeight="1" x14ac:dyDescent="0.3">
      <c r="Q65" s="433" t="s">
        <v>57</v>
      </c>
      <c r="R65" s="434" t="s">
        <v>62</v>
      </c>
      <c r="S65" s="435" t="s">
        <v>76</v>
      </c>
      <c r="T65" s="435" t="s">
        <v>160</v>
      </c>
      <c r="U65" s="434" t="s">
        <v>104</v>
      </c>
      <c r="V65" s="436" t="s">
        <v>206</v>
      </c>
      <c r="W65" s="435">
        <v>2</v>
      </c>
      <c r="X65" s="288"/>
      <c r="Y65" s="288"/>
    </row>
    <row r="66" spans="17:25" x14ac:dyDescent="0.3">
      <c r="Q66" s="433" t="s">
        <v>57</v>
      </c>
      <c r="R66" s="434" t="s">
        <v>61</v>
      </c>
      <c r="S66" s="435" t="s">
        <v>74</v>
      </c>
      <c r="T66" s="435" t="s">
        <v>115</v>
      </c>
      <c r="U66" s="434" t="s">
        <v>104</v>
      </c>
      <c r="V66" s="436" t="s">
        <v>207</v>
      </c>
      <c r="W66" s="435">
        <v>2</v>
      </c>
      <c r="X66" s="288"/>
      <c r="Y66" s="288"/>
    </row>
    <row r="67" spans="17:25" x14ac:dyDescent="0.3">
      <c r="Q67" s="433" t="s">
        <v>57</v>
      </c>
      <c r="R67" s="434" t="s">
        <v>59</v>
      </c>
      <c r="S67" s="435" t="s">
        <v>75</v>
      </c>
      <c r="T67" s="435" t="s">
        <v>163</v>
      </c>
      <c r="U67" s="434" t="s">
        <v>104</v>
      </c>
      <c r="V67" s="436" t="s">
        <v>208</v>
      </c>
      <c r="W67" s="435">
        <v>2</v>
      </c>
      <c r="X67" s="288"/>
      <c r="Y67" s="288"/>
    </row>
    <row r="68" spans="17:25" ht="14.7" customHeight="1" x14ac:dyDescent="0.3">
      <c r="Q68" s="433" t="s">
        <v>57</v>
      </c>
      <c r="R68" s="434" t="s">
        <v>58</v>
      </c>
      <c r="S68" s="435" t="s">
        <v>81</v>
      </c>
      <c r="T68" s="435" t="s">
        <v>155</v>
      </c>
      <c r="U68" s="434" t="s">
        <v>135</v>
      </c>
      <c r="V68" s="436" t="s">
        <v>209</v>
      </c>
      <c r="W68" s="435">
        <v>2</v>
      </c>
      <c r="X68" s="288"/>
      <c r="Y68" s="288"/>
    </row>
    <row r="69" spans="17:25" x14ac:dyDescent="0.3">
      <c r="Q69" s="433" t="s">
        <v>57</v>
      </c>
      <c r="R69" s="434" t="s">
        <v>58</v>
      </c>
      <c r="S69" s="435" t="s">
        <v>81</v>
      </c>
      <c r="T69" s="435" t="s">
        <v>155</v>
      </c>
      <c r="U69" s="434" t="s">
        <v>135</v>
      </c>
      <c r="V69" s="436" t="s">
        <v>210</v>
      </c>
      <c r="W69" s="435">
        <v>2</v>
      </c>
      <c r="X69" s="288"/>
      <c r="Y69" s="288"/>
    </row>
    <row r="70" spans="17:25" x14ac:dyDescent="0.3">
      <c r="Q70" s="433" t="s">
        <v>57</v>
      </c>
      <c r="R70" s="434" t="s">
        <v>58</v>
      </c>
      <c r="S70" s="435" t="s">
        <v>81</v>
      </c>
      <c r="T70" s="435" t="s">
        <v>155</v>
      </c>
      <c r="U70" s="434" t="s">
        <v>135</v>
      </c>
      <c r="V70" s="436" t="s">
        <v>211</v>
      </c>
      <c r="W70" s="435">
        <v>2</v>
      </c>
      <c r="X70" s="288"/>
      <c r="Y70" s="288"/>
    </row>
    <row r="71" spans="17:25" x14ac:dyDescent="0.3">
      <c r="Q71" s="433" t="s">
        <v>57</v>
      </c>
      <c r="R71" s="434" t="s">
        <v>62</v>
      </c>
      <c r="S71" s="435" t="s">
        <v>81</v>
      </c>
      <c r="T71" s="435" t="s">
        <v>109</v>
      </c>
      <c r="U71" s="434" t="s">
        <v>104</v>
      </c>
      <c r="V71" s="436" t="s">
        <v>212</v>
      </c>
      <c r="W71" s="435">
        <v>2</v>
      </c>
      <c r="X71" s="288"/>
      <c r="Y71" s="288"/>
    </row>
    <row r="72" spans="17:25" x14ac:dyDescent="0.3">
      <c r="Q72" s="433" t="s">
        <v>57</v>
      </c>
      <c r="R72" s="434" t="s">
        <v>61</v>
      </c>
      <c r="S72" s="435" t="s">
        <v>74</v>
      </c>
      <c r="T72" s="435" t="s">
        <v>115</v>
      </c>
      <c r="U72" s="434" t="s">
        <v>104</v>
      </c>
      <c r="V72" s="436" t="s">
        <v>213</v>
      </c>
      <c r="W72" s="435">
        <v>2</v>
      </c>
      <c r="X72" s="288"/>
      <c r="Y72" s="288"/>
    </row>
    <row r="73" spans="17:25" x14ac:dyDescent="0.3">
      <c r="Q73" s="434" t="s">
        <v>57</v>
      </c>
      <c r="R73" s="434" t="s">
        <v>59</v>
      </c>
      <c r="S73" s="435" t="s">
        <v>75</v>
      </c>
      <c r="T73" s="435" t="s">
        <v>163</v>
      </c>
      <c r="U73" s="434" t="s">
        <v>104</v>
      </c>
      <c r="V73" s="436" t="s">
        <v>214</v>
      </c>
      <c r="W73" s="435">
        <v>2</v>
      </c>
      <c r="X73" s="288"/>
      <c r="Y73" s="288"/>
    </row>
    <row r="74" spans="17:25" x14ac:dyDescent="0.3">
      <c r="Q74" s="434" t="s">
        <v>52</v>
      </c>
      <c r="R74" s="434" t="s">
        <v>53</v>
      </c>
      <c r="S74" s="435" t="s">
        <v>77</v>
      </c>
      <c r="T74" s="435" t="s">
        <v>121</v>
      </c>
      <c r="U74" s="434" t="s">
        <v>122</v>
      </c>
      <c r="V74" s="436" t="s">
        <v>215</v>
      </c>
      <c r="W74" s="435">
        <v>5</v>
      </c>
      <c r="X74" s="288"/>
      <c r="Y74" s="288"/>
    </row>
    <row r="75" spans="17:25" x14ac:dyDescent="0.3">
      <c r="Q75" s="434" t="s">
        <v>52</v>
      </c>
      <c r="R75" s="434" t="s">
        <v>53</v>
      </c>
      <c r="S75" s="435" t="s">
        <v>85</v>
      </c>
      <c r="T75" s="435" t="s">
        <v>125</v>
      </c>
      <c r="U75" s="434" t="s">
        <v>122</v>
      </c>
      <c r="V75" s="436" t="s">
        <v>215</v>
      </c>
      <c r="W75" s="435">
        <v>5</v>
      </c>
      <c r="X75" s="288"/>
      <c r="Y75" s="288"/>
    </row>
    <row r="76" spans="17:25" x14ac:dyDescent="0.3">
      <c r="Q76" s="433" t="s">
        <v>52</v>
      </c>
      <c r="R76" s="434" t="s">
        <v>53</v>
      </c>
      <c r="S76" s="435" t="s">
        <v>82</v>
      </c>
      <c r="T76" s="435" t="s">
        <v>126</v>
      </c>
      <c r="U76" s="434" t="s">
        <v>122</v>
      </c>
      <c r="V76" s="436" t="s">
        <v>215</v>
      </c>
      <c r="W76" s="435">
        <v>5</v>
      </c>
      <c r="X76" s="288"/>
      <c r="Y76" s="288"/>
    </row>
    <row r="77" spans="17:25" x14ac:dyDescent="0.3">
      <c r="Q77" s="434" t="s">
        <v>57</v>
      </c>
      <c r="R77" s="434" t="s">
        <v>62</v>
      </c>
      <c r="S77" s="435" t="s">
        <v>84</v>
      </c>
      <c r="T77" s="435" t="s">
        <v>118</v>
      </c>
      <c r="U77" s="434" t="s">
        <v>104</v>
      </c>
      <c r="V77" s="436" t="s">
        <v>216</v>
      </c>
      <c r="W77" s="435">
        <v>2</v>
      </c>
      <c r="X77" s="288"/>
      <c r="Y77" s="288"/>
    </row>
    <row r="78" spans="17:25" x14ac:dyDescent="0.3">
      <c r="Q78" s="433" t="s">
        <v>54</v>
      </c>
      <c r="R78" s="434" t="s">
        <v>56</v>
      </c>
      <c r="S78" s="435" t="s">
        <v>75</v>
      </c>
      <c r="T78" s="435" t="s">
        <v>217</v>
      </c>
      <c r="U78" s="434" t="s">
        <v>104</v>
      </c>
      <c r="V78" s="439"/>
      <c r="W78" s="435">
        <v>2</v>
      </c>
      <c r="X78" s="288"/>
      <c r="Y78" s="288"/>
    </row>
    <row r="79" spans="17:25" x14ac:dyDescent="0.3">
      <c r="Q79" s="433" t="s">
        <v>54</v>
      </c>
      <c r="R79" s="434" t="s">
        <v>56</v>
      </c>
      <c r="S79" s="435" t="s">
        <v>75</v>
      </c>
      <c r="T79" s="435" t="s">
        <v>217</v>
      </c>
      <c r="U79" s="434" t="s">
        <v>104</v>
      </c>
      <c r="V79" s="439"/>
      <c r="W79" s="435">
        <v>2</v>
      </c>
      <c r="X79" s="288"/>
      <c r="Y79" s="288"/>
    </row>
    <row r="80" spans="17:25" x14ac:dyDescent="0.3">
      <c r="Q80" s="433" t="s">
        <v>54</v>
      </c>
      <c r="R80" s="434" t="s">
        <v>56</v>
      </c>
      <c r="S80" s="435" t="s">
        <v>75</v>
      </c>
      <c r="T80" s="435" t="s">
        <v>217</v>
      </c>
      <c r="U80" s="434" t="s">
        <v>104</v>
      </c>
      <c r="V80" s="439"/>
      <c r="W80" s="435">
        <v>2</v>
      </c>
      <c r="X80" s="288"/>
      <c r="Y80" s="288"/>
    </row>
    <row r="81" spans="17:25" x14ac:dyDescent="0.3">
      <c r="Q81" s="433" t="s">
        <v>54</v>
      </c>
      <c r="R81" s="434" t="s">
        <v>56</v>
      </c>
      <c r="S81" s="435" t="s">
        <v>75</v>
      </c>
      <c r="T81" s="435" t="s">
        <v>217</v>
      </c>
      <c r="U81" s="434" t="s">
        <v>104</v>
      </c>
      <c r="V81" s="439"/>
      <c r="W81" s="435">
        <v>2</v>
      </c>
      <c r="X81" s="288"/>
      <c r="Y81" s="288"/>
    </row>
    <row r="82" spans="17:25" x14ac:dyDescent="0.3">
      <c r="Q82" s="433" t="s">
        <v>54</v>
      </c>
      <c r="R82" s="434" t="s">
        <v>56</v>
      </c>
      <c r="S82" s="435" t="s">
        <v>75</v>
      </c>
      <c r="T82" s="435" t="s">
        <v>217</v>
      </c>
      <c r="U82" s="434" t="s">
        <v>104</v>
      </c>
      <c r="V82" s="439"/>
      <c r="W82" s="435">
        <v>2</v>
      </c>
      <c r="X82" s="288"/>
      <c r="Y82" s="288"/>
    </row>
    <row r="83" spans="17:25" x14ac:dyDescent="0.3">
      <c r="Q83" s="433" t="s">
        <v>54</v>
      </c>
      <c r="R83" s="434" t="s">
        <v>56</v>
      </c>
      <c r="S83" s="435" t="s">
        <v>75</v>
      </c>
      <c r="T83" s="435" t="s">
        <v>217</v>
      </c>
      <c r="U83" s="434" t="s">
        <v>104</v>
      </c>
      <c r="V83" s="439"/>
      <c r="W83" s="435">
        <v>2</v>
      </c>
      <c r="X83" s="288"/>
      <c r="Y83" s="288"/>
    </row>
    <row r="84" spans="17:25" x14ac:dyDescent="0.3">
      <c r="Q84" s="433" t="s">
        <v>54</v>
      </c>
      <c r="R84" s="434" t="s">
        <v>56</v>
      </c>
      <c r="S84" s="435" t="s">
        <v>75</v>
      </c>
      <c r="T84" s="435" t="s">
        <v>217</v>
      </c>
      <c r="U84" s="434" t="s">
        <v>104</v>
      </c>
      <c r="V84" s="439"/>
      <c r="W84" s="435">
        <v>2</v>
      </c>
      <c r="X84" s="288"/>
      <c r="Y84" s="288"/>
    </row>
    <row r="85" spans="17:25" x14ac:dyDescent="0.3">
      <c r="Q85" s="433" t="s">
        <v>54</v>
      </c>
      <c r="R85" s="434" t="s">
        <v>56</v>
      </c>
      <c r="S85" s="435" t="s">
        <v>75</v>
      </c>
      <c r="T85" s="435" t="s">
        <v>217</v>
      </c>
      <c r="U85" s="434" t="s">
        <v>104</v>
      </c>
      <c r="V85" s="439"/>
      <c r="W85" s="435">
        <v>2</v>
      </c>
      <c r="X85" s="288"/>
      <c r="Y85" s="288"/>
    </row>
    <row r="86" spans="17:25" x14ac:dyDescent="0.3">
      <c r="Q86" s="433" t="s">
        <v>54</v>
      </c>
      <c r="R86" s="434" t="s">
        <v>56</v>
      </c>
      <c r="S86" s="435" t="s">
        <v>75</v>
      </c>
      <c r="T86" s="435" t="s">
        <v>217</v>
      </c>
      <c r="U86" s="434" t="s">
        <v>104</v>
      </c>
      <c r="V86" s="439"/>
      <c r="W86" s="435">
        <v>2</v>
      </c>
      <c r="X86" s="288"/>
      <c r="Y86" s="288"/>
    </row>
    <row r="87" spans="17:25" x14ac:dyDescent="0.3">
      <c r="Q87" s="433" t="s">
        <v>54</v>
      </c>
      <c r="R87" s="434" t="s">
        <v>56</v>
      </c>
      <c r="S87" s="435" t="s">
        <v>75</v>
      </c>
      <c r="T87" s="435" t="s">
        <v>217</v>
      </c>
      <c r="U87" s="434" t="s">
        <v>104</v>
      </c>
      <c r="V87" s="439"/>
      <c r="W87" s="435">
        <v>2</v>
      </c>
      <c r="X87" s="288"/>
      <c r="Y87" s="288"/>
    </row>
    <row r="88" spans="17:25" x14ac:dyDescent="0.3">
      <c r="Q88" s="433" t="s">
        <v>54</v>
      </c>
      <c r="R88" s="434" t="s">
        <v>56</v>
      </c>
      <c r="S88" s="435" t="s">
        <v>75</v>
      </c>
      <c r="T88" s="435" t="s">
        <v>217</v>
      </c>
      <c r="U88" s="434" t="s">
        <v>104</v>
      </c>
      <c r="V88" s="439"/>
      <c r="W88" s="435">
        <v>2</v>
      </c>
      <c r="X88" s="288"/>
      <c r="Y88" s="288"/>
    </row>
    <row r="89" spans="17:25" x14ac:dyDescent="0.3">
      <c r="Q89" s="433" t="s">
        <v>54</v>
      </c>
      <c r="R89" s="434" t="s">
        <v>56</v>
      </c>
      <c r="S89" s="435" t="s">
        <v>75</v>
      </c>
      <c r="T89" s="435" t="s">
        <v>217</v>
      </c>
      <c r="U89" s="434" t="s">
        <v>104</v>
      </c>
      <c r="V89" s="439"/>
      <c r="W89" s="435">
        <v>2</v>
      </c>
      <c r="X89" s="288"/>
      <c r="Y89" s="288"/>
    </row>
    <row r="90" spans="17:25" x14ac:dyDescent="0.3">
      <c r="Q90" s="433" t="s">
        <v>54</v>
      </c>
      <c r="R90" s="434" t="s">
        <v>56</v>
      </c>
      <c r="S90" s="435" t="s">
        <v>75</v>
      </c>
      <c r="T90" s="435" t="s">
        <v>217</v>
      </c>
      <c r="U90" s="434" t="s">
        <v>104</v>
      </c>
      <c r="V90" s="439"/>
      <c r="W90" s="435">
        <v>2</v>
      </c>
      <c r="X90" s="288"/>
      <c r="Y90" s="288"/>
    </row>
    <row r="91" spans="17:25" x14ac:dyDescent="0.3">
      <c r="Q91" s="433" t="s">
        <v>54</v>
      </c>
      <c r="R91" s="434" t="s">
        <v>56</v>
      </c>
      <c r="S91" s="435" t="s">
        <v>75</v>
      </c>
      <c r="T91" s="435" t="s">
        <v>217</v>
      </c>
      <c r="U91" s="434" t="s">
        <v>104</v>
      </c>
      <c r="V91" s="439"/>
      <c r="W91" s="435">
        <v>2</v>
      </c>
      <c r="X91" s="288"/>
      <c r="Y91" s="288"/>
    </row>
    <row r="92" spans="17:25" x14ac:dyDescent="0.3">
      <c r="Q92" s="433" t="s">
        <v>54</v>
      </c>
      <c r="R92" s="434" t="s">
        <v>56</v>
      </c>
      <c r="S92" s="435" t="s">
        <v>75</v>
      </c>
      <c r="T92" s="435" t="s">
        <v>217</v>
      </c>
      <c r="U92" s="434" t="s">
        <v>104</v>
      </c>
      <c r="V92" s="439"/>
      <c r="W92" s="435">
        <v>2</v>
      </c>
      <c r="X92" s="288"/>
      <c r="Y92" s="288"/>
    </row>
    <row r="93" spans="17:25" x14ac:dyDescent="0.3">
      <c r="Q93" s="433" t="s">
        <v>54</v>
      </c>
      <c r="R93" s="434" t="s">
        <v>55</v>
      </c>
      <c r="S93" s="435" t="s">
        <v>76</v>
      </c>
      <c r="T93" s="435" t="s">
        <v>218</v>
      </c>
      <c r="U93" s="434" t="s">
        <v>104</v>
      </c>
      <c r="V93" s="439"/>
      <c r="W93" s="435">
        <v>2</v>
      </c>
      <c r="X93" s="288"/>
      <c r="Y93" s="288"/>
    </row>
    <row r="94" spans="17:25" x14ac:dyDescent="0.3">
      <c r="Q94" s="433" t="s">
        <v>54</v>
      </c>
      <c r="R94" s="434" t="s">
        <v>55</v>
      </c>
      <c r="S94" s="435" t="s">
        <v>76</v>
      </c>
      <c r="T94" s="435" t="s">
        <v>218</v>
      </c>
      <c r="U94" s="434" t="s">
        <v>104</v>
      </c>
      <c r="V94" s="439"/>
      <c r="W94" s="435">
        <v>2</v>
      </c>
      <c r="X94" s="288"/>
      <c r="Y94" s="288"/>
    </row>
    <row r="95" spans="17:25" x14ac:dyDescent="0.3">
      <c r="Q95" s="433" t="s">
        <v>54</v>
      </c>
      <c r="R95" s="434" t="s">
        <v>55</v>
      </c>
      <c r="S95" s="435" t="s">
        <v>76</v>
      </c>
      <c r="T95" s="435" t="s">
        <v>218</v>
      </c>
      <c r="U95" s="434" t="s">
        <v>104</v>
      </c>
      <c r="V95" s="439"/>
      <c r="W95" s="435">
        <v>2</v>
      </c>
      <c r="X95" s="288"/>
      <c r="Y95" s="288"/>
    </row>
    <row r="96" spans="17:25" x14ac:dyDescent="0.3">
      <c r="Q96" s="433" t="s">
        <v>54</v>
      </c>
      <c r="R96" s="434" t="s">
        <v>55</v>
      </c>
      <c r="S96" s="435" t="s">
        <v>76</v>
      </c>
      <c r="T96" s="435" t="s">
        <v>218</v>
      </c>
      <c r="U96" s="434" t="s">
        <v>104</v>
      </c>
      <c r="V96" s="439"/>
      <c r="W96" s="435">
        <v>2</v>
      </c>
      <c r="X96" s="288"/>
      <c r="Y96" s="288"/>
    </row>
    <row r="97" spans="17:25" x14ac:dyDescent="0.3">
      <c r="Q97" s="433" t="s">
        <v>54</v>
      </c>
      <c r="R97" s="434" t="s">
        <v>55</v>
      </c>
      <c r="S97" s="435" t="s">
        <v>76</v>
      </c>
      <c r="T97" s="435" t="s">
        <v>218</v>
      </c>
      <c r="U97" s="434" t="s">
        <v>104</v>
      </c>
      <c r="V97" s="439"/>
      <c r="W97" s="435">
        <v>2</v>
      </c>
      <c r="X97" s="288"/>
      <c r="Y97" s="288"/>
    </row>
    <row r="98" spans="17:25" x14ac:dyDescent="0.3">
      <c r="Q98" s="433" t="s">
        <v>54</v>
      </c>
      <c r="R98" s="434" t="s">
        <v>55</v>
      </c>
      <c r="S98" s="435" t="s">
        <v>76</v>
      </c>
      <c r="T98" s="435" t="s">
        <v>218</v>
      </c>
      <c r="U98" s="434" t="s">
        <v>104</v>
      </c>
      <c r="V98" s="439"/>
      <c r="W98" s="435">
        <v>2</v>
      </c>
      <c r="X98" s="288"/>
      <c r="Y98" s="288"/>
    </row>
    <row r="99" spans="17:25" x14ac:dyDescent="0.3">
      <c r="Q99" s="433" t="s">
        <v>54</v>
      </c>
      <c r="R99" s="434" t="s">
        <v>55</v>
      </c>
      <c r="S99" s="435" t="s">
        <v>76</v>
      </c>
      <c r="T99" s="435" t="s">
        <v>218</v>
      </c>
      <c r="U99" s="434" t="s">
        <v>104</v>
      </c>
      <c r="V99" s="439"/>
      <c r="W99" s="435">
        <v>2</v>
      </c>
      <c r="X99" s="288"/>
      <c r="Y99" s="288"/>
    </row>
    <row r="100" spans="17:25" x14ac:dyDescent="0.3">
      <c r="Q100" s="433" t="s">
        <v>54</v>
      </c>
      <c r="R100" s="434" t="s">
        <v>55</v>
      </c>
      <c r="S100" s="435" t="s">
        <v>76</v>
      </c>
      <c r="T100" s="435" t="s">
        <v>218</v>
      </c>
      <c r="U100" s="434" t="s">
        <v>104</v>
      </c>
      <c r="V100" s="439"/>
      <c r="W100" s="435">
        <v>2</v>
      </c>
      <c r="X100" s="288"/>
      <c r="Y100" s="288"/>
    </row>
    <row r="101" spans="17:25" x14ac:dyDescent="0.3">
      <c r="Q101" s="433" t="s">
        <v>54</v>
      </c>
      <c r="R101" s="434" t="s">
        <v>55</v>
      </c>
      <c r="S101" s="435" t="s">
        <v>76</v>
      </c>
      <c r="T101" s="435" t="s">
        <v>218</v>
      </c>
      <c r="U101" s="434" t="s">
        <v>104</v>
      </c>
      <c r="V101" s="439"/>
      <c r="W101" s="435">
        <v>2</v>
      </c>
      <c r="X101" s="288"/>
      <c r="Y101" s="288"/>
    </row>
    <row r="102" spans="17:25" x14ac:dyDescent="0.3">
      <c r="Q102" s="433" t="s">
        <v>54</v>
      </c>
      <c r="R102" s="434" t="s">
        <v>55</v>
      </c>
      <c r="S102" s="435" t="s">
        <v>76</v>
      </c>
      <c r="T102" s="435" t="s">
        <v>218</v>
      </c>
      <c r="U102" s="434" t="s">
        <v>104</v>
      </c>
      <c r="V102" s="439"/>
      <c r="W102" s="435">
        <v>2</v>
      </c>
      <c r="X102" s="288"/>
      <c r="Y102" s="288"/>
    </row>
    <row r="103" spans="17:25" x14ac:dyDescent="0.3">
      <c r="Q103" s="433" t="s">
        <v>54</v>
      </c>
      <c r="R103" s="434" t="s">
        <v>55</v>
      </c>
      <c r="S103" s="435" t="s">
        <v>76</v>
      </c>
      <c r="T103" s="435" t="s">
        <v>218</v>
      </c>
      <c r="U103" s="434" t="s">
        <v>104</v>
      </c>
      <c r="V103" s="439"/>
      <c r="W103" s="435">
        <v>2</v>
      </c>
      <c r="X103" s="288"/>
      <c r="Y103" s="288"/>
    </row>
    <row r="104" spans="17:25" x14ac:dyDescent="0.3">
      <c r="Q104" s="433" t="s">
        <v>54</v>
      </c>
      <c r="R104" s="434" t="s">
        <v>55</v>
      </c>
      <c r="S104" s="435" t="s">
        <v>76</v>
      </c>
      <c r="T104" s="435" t="s">
        <v>218</v>
      </c>
      <c r="U104" s="434" t="s">
        <v>104</v>
      </c>
      <c r="V104" s="439"/>
      <c r="W104" s="435">
        <v>2</v>
      </c>
      <c r="X104" s="288"/>
      <c r="Y104" s="288"/>
    </row>
    <row r="105" spans="17:25" x14ac:dyDescent="0.3">
      <c r="Q105" s="433" t="s">
        <v>54</v>
      </c>
      <c r="R105" s="434" t="s">
        <v>55</v>
      </c>
      <c r="S105" s="435" t="s">
        <v>76</v>
      </c>
      <c r="T105" s="435" t="s">
        <v>218</v>
      </c>
      <c r="U105" s="434" t="s">
        <v>104</v>
      </c>
      <c r="V105" s="439"/>
      <c r="W105" s="435">
        <v>2</v>
      </c>
      <c r="X105" s="288"/>
      <c r="Y105" s="288"/>
    </row>
    <row r="106" spans="17:25" x14ac:dyDescent="0.3">
      <c r="Q106" s="433" t="s">
        <v>54</v>
      </c>
      <c r="R106" s="434" t="s">
        <v>55</v>
      </c>
      <c r="S106" s="435" t="s">
        <v>76</v>
      </c>
      <c r="T106" s="435" t="s">
        <v>218</v>
      </c>
      <c r="U106" s="434" t="s">
        <v>104</v>
      </c>
      <c r="V106" s="439"/>
      <c r="W106" s="435">
        <v>2</v>
      </c>
      <c r="X106" s="288"/>
      <c r="Y106" s="288"/>
    </row>
    <row r="107" spans="17:25" x14ac:dyDescent="0.3">
      <c r="Q107" s="433" t="s">
        <v>54</v>
      </c>
      <c r="R107" s="434" t="s">
        <v>55</v>
      </c>
      <c r="S107" s="435" t="s">
        <v>76</v>
      </c>
      <c r="T107" s="435" t="s">
        <v>218</v>
      </c>
      <c r="U107" s="434" t="s">
        <v>104</v>
      </c>
      <c r="V107" s="439"/>
      <c r="W107" s="435">
        <v>2</v>
      </c>
      <c r="X107" s="288"/>
      <c r="Y107" s="288"/>
    </row>
    <row r="108" spans="17:25" x14ac:dyDescent="0.3">
      <c r="Q108" s="433" t="s">
        <v>54</v>
      </c>
      <c r="R108" s="434" t="s">
        <v>55</v>
      </c>
      <c r="S108" s="435" t="s">
        <v>84</v>
      </c>
      <c r="T108" s="435" t="s">
        <v>219</v>
      </c>
      <c r="U108" s="434" t="s">
        <v>104</v>
      </c>
      <c r="V108" s="440"/>
      <c r="W108" s="435">
        <v>2</v>
      </c>
      <c r="X108" s="288"/>
      <c r="Y108" s="288"/>
    </row>
    <row r="109" spans="17:25" x14ac:dyDescent="0.3">
      <c r="Q109" s="433" t="s">
        <v>54</v>
      </c>
      <c r="R109" s="434" t="s">
        <v>55</v>
      </c>
      <c r="S109" s="435" t="s">
        <v>84</v>
      </c>
      <c r="T109" s="435" t="s">
        <v>219</v>
      </c>
      <c r="U109" s="434" t="s">
        <v>104</v>
      </c>
      <c r="V109" s="440"/>
      <c r="W109" s="435">
        <v>2</v>
      </c>
      <c r="X109" s="288"/>
      <c r="Y109" s="288"/>
    </row>
    <row r="110" spans="17:25" x14ac:dyDescent="0.3">
      <c r="Q110" s="433" t="s">
        <v>54</v>
      </c>
      <c r="R110" s="434" t="s">
        <v>55</v>
      </c>
      <c r="S110" s="435" t="s">
        <v>84</v>
      </c>
      <c r="T110" s="435" t="s">
        <v>219</v>
      </c>
      <c r="U110" s="434" t="s">
        <v>104</v>
      </c>
      <c r="V110" s="440"/>
      <c r="W110" s="435">
        <v>2</v>
      </c>
      <c r="X110" s="288"/>
      <c r="Y110" s="288"/>
    </row>
    <row r="111" spans="17:25" x14ac:dyDescent="0.3">
      <c r="Q111" s="433" t="s">
        <v>54</v>
      </c>
      <c r="R111" s="434" t="s">
        <v>55</v>
      </c>
      <c r="S111" s="435" t="s">
        <v>84</v>
      </c>
      <c r="T111" s="435" t="s">
        <v>219</v>
      </c>
      <c r="U111" s="434" t="s">
        <v>104</v>
      </c>
      <c r="V111" s="439"/>
      <c r="W111" s="435">
        <v>2</v>
      </c>
      <c r="X111" s="288"/>
      <c r="Y111" s="288"/>
    </row>
    <row r="112" spans="17:25" x14ac:dyDescent="0.3">
      <c r="Q112" s="433" t="s">
        <v>54</v>
      </c>
      <c r="R112" s="434" t="s">
        <v>55</v>
      </c>
      <c r="S112" s="435" t="s">
        <v>84</v>
      </c>
      <c r="T112" s="435" t="s">
        <v>219</v>
      </c>
      <c r="U112" s="434" t="s">
        <v>104</v>
      </c>
      <c r="V112" s="439"/>
      <c r="W112" s="435">
        <v>2</v>
      </c>
      <c r="X112" s="288"/>
      <c r="Y112" s="288"/>
    </row>
    <row r="113" spans="17:25" x14ac:dyDescent="0.3">
      <c r="Q113" s="433" t="s">
        <v>54</v>
      </c>
      <c r="R113" s="434" t="s">
        <v>55</v>
      </c>
      <c r="S113" s="435" t="s">
        <v>84</v>
      </c>
      <c r="T113" s="435" t="s">
        <v>219</v>
      </c>
      <c r="U113" s="434" t="s">
        <v>104</v>
      </c>
      <c r="V113" s="439"/>
      <c r="W113" s="435">
        <v>2</v>
      </c>
      <c r="X113" s="288"/>
      <c r="Y113" s="288"/>
    </row>
    <row r="114" spans="17:25" x14ac:dyDescent="0.3">
      <c r="Q114" s="433" t="s">
        <v>54</v>
      </c>
      <c r="R114" s="434" t="s">
        <v>55</v>
      </c>
      <c r="S114" s="435" t="s">
        <v>84</v>
      </c>
      <c r="T114" s="435" t="s">
        <v>219</v>
      </c>
      <c r="U114" s="434" t="s">
        <v>104</v>
      </c>
      <c r="V114" s="439"/>
      <c r="W114" s="435">
        <v>2</v>
      </c>
      <c r="X114" s="288"/>
      <c r="Y114" s="288"/>
    </row>
    <row r="115" spans="17:25" x14ac:dyDescent="0.3">
      <c r="Q115" s="433" t="s">
        <v>54</v>
      </c>
      <c r="R115" s="434" t="s">
        <v>55</v>
      </c>
      <c r="S115" s="435" t="s">
        <v>84</v>
      </c>
      <c r="T115" s="435" t="s">
        <v>219</v>
      </c>
      <c r="U115" s="434" t="s">
        <v>104</v>
      </c>
      <c r="V115" s="439"/>
      <c r="W115" s="435">
        <v>2</v>
      </c>
      <c r="X115" s="288"/>
      <c r="Y115" s="288"/>
    </row>
    <row r="116" spans="17:25" x14ac:dyDescent="0.3">
      <c r="Q116" s="433" t="s">
        <v>54</v>
      </c>
      <c r="R116" s="434" t="s">
        <v>55</v>
      </c>
      <c r="S116" s="435" t="s">
        <v>84</v>
      </c>
      <c r="T116" s="435" t="s">
        <v>219</v>
      </c>
      <c r="U116" s="434" t="s">
        <v>104</v>
      </c>
      <c r="V116" s="439"/>
      <c r="W116" s="435">
        <v>2</v>
      </c>
      <c r="X116" s="288"/>
      <c r="Y116" s="288"/>
    </row>
    <row r="117" spans="17:25" x14ac:dyDescent="0.3">
      <c r="Q117" s="433" t="s">
        <v>54</v>
      </c>
      <c r="R117" s="434" t="s">
        <v>55</v>
      </c>
      <c r="S117" s="435" t="s">
        <v>84</v>
      </c>
      <c r="T117" s="435" t="s">
        <v>219</v>
      </c>
      <c r="U117" s="434" t="s">
        <v>104</v>
      </c>
      <c r="V117" s="439"/>
      <c r="W117" s="435">
        <v>2</v>
      </c>
      <c r="X117" s="288"/>
      <c r="Y117" s="288"/>
    </row>
    <row r="118" spans="17:25" x14ac:dyDescent="0.3">
      <c r="Q118" s="433" t="s">
        <v>54</v>
      </c>
      <c r="R118" s="434" t="s">
        <v>55</v>
      </c>
      <c r="S118" s="435" t="s">
        <v>84</v>
      </c>
      <c r="T118" s="435" t="s">
        <v>219</v>
      </c>
      <c r="U118" s="434" t="s">
        <v>104</v>
      </c>
      <c r="V118" s="439"/>
      <c r="W118" s="435">
        <v>2</v>
      </c>
      <c r="X118" s="288"/>
      <c r="Y118" s="288"/>
    </row>
    <row r="119" spans="17:25" x14ac:dyDescent="0.3">
      <c r="Q119" s="433" t="s">
        <v>54</v>
      </c>
      <c r="R119" s="434" t="s">
        <v>55</v>
      </c>
      <c r="S119" s="435" t="s">
        <v>84</v>
      </c>
      <c r="T119" s="435" t="s">
        <v>219</v>
      </c>
      <c r="U119" s="434" t="s">
        <v>104</v>
      </c>
      <c r="V119" s="439"/>
      <c r="W119" s="435">
        <v>2</v>
      </c>
      <c r="X119" s="288"/>
      <c r="Y119" s="288"/>
    </row>
    <row r="120" spans="17:25" x14ac:dyDescent="0.3">
      <c r="Q120" s="433" t="s">
        <v>54</v>
      </c>
      <c r="R120" s="434" t="s">
        <v>55</v>
      </c>
      <c r="S120" s="435" t="s">
        <v>84</v>
      </c>
      <c r="T120" s="435" t="s">
        <v>219</v>
      </c>
      <c r="U120" s="434" t="s">
        <v>104</v>
      </c>
      <c r="V120" s="439"/>
      <c r="W120" s="435">
        <v>2</v>
      </c>
      <c r="X120" s="288"/>
      <c r="Y120" s="288"/>
    </row>
    <row r="121" spans="17:25" x14ac:dyDescent="0.3">
      <c r="Q121" s="433" t="s">
        <v>54</v>
      </c>
      <c r="R121" s="434" t="s">
        <v>55</v>
      </c>
      <c r="S121" s="435" t="s">
        <v>84</v>
      </c>
      <c r="T121" s="435" t="s">
        <v>219</v>
      </c>
      <c r="U121" s="434" t="s">
        <v>104</v>
      </c>
      <c r="V121" s="439"/>
      <c r="W121" s="435">
        <v>2</v>
      </c>
      <c r="X121" s="288"/>
      <c r="Y121" s="288"/>
    </row>
    <row r="122" spans="17:25" x14ac:dyDescent="0.3">
      <c r="Q122" s="433" t="s">
        <v>54</v>
      </c>
      <c r="R122" s="434" t="s">
        <v>55</v>
      </c>
      <c r="S122" s="435" t="s">
        <v>84</v>
      </c>
      <c r="T122" s="435" t="s">
        <v>219</v>
      </c>
      <c r="U122" s="434" t="s">
        <v>104</v>
      </c>
      <c r="V122" s="439"/>
      <c r="W122" s="435">
        <v>2</v>
      </c>
      <c r="X122" s="288"/>
      <c r="Y122" s="288"/>
    </row>
    <row r="123" spans="17:25" x14ac:dyDescent="0.3">
      <c r="Q123" s="433" t="s">
        <v>54</v>
      </c>
      <c r="R123" s="434" t="s">
        <v>56</v>
      </c>
      <c r="S123" s="435" t="s">
        <v>81</v>
      </c>
      <c r="T123" s="435" t="s">
        <v>220</v>
      </c>
      <c r="U123" s="434" t="s">
        <v>104</v>
      </c>
      <c r="V123" s="420"/>
      <c r="W123" s="435">
        <v>2</v>
      </c>
      <c r="X123" s="288"/>
      <c r="Y123" s="288"/>
    </row>
    <row r="124" spans="17:25" x14ac:dyDescent="0.3">
      <c r="Q124" s="433" t="s">
        <v>54</v>
      </c>
      <c r="R124" s="434" t="s">
        <v>56</v>
      </c>
      <c r="S124" s="435" t="s">
        <v>81</v>
      </c>
      <c r="T124" s="435" t="s">
        <v>220</v>
      </c>
      <c r="U124" s="434" t="s">
        <v>104</v>
      </c>
      <c r="V124" s="420"/>
      <c r="W124" s="435">
        <v>2</v>
      </c>
      <c r="X124" s="288"/>
      <c r="Y124" s="288"/>
    </row>
    <row r="125" spans="17:25" x14ac:dyDescent="0.3">
      <c r="Q125" s="433" t="s">
        <v>54</v>
      </c>
      <c r="R125" s="434" t="s">
        <v>56</v>
      </c>
      <c r="S125" s="435" t="s">
        <v>81</v>
      </c>
      <c r="T125" s="435" t="s">
        <v>220</v>
      </c>
      <c r="U125" s="434" t="s">
        <v>104</v>
      </c>
      <c r="V125" s="420"/>
      <c r="W125" s="435">
        <v>2</v>
      </c>
      <c r="X125" s="288"/>
      <c r="Y125" s="288"/>
    </row>
    <row r="126" spans="17:25" x14ac:dyDescent="0.3">
      <c r="Q126" s="433" t="s">
        <v>54</v>
      </c>
      <c r="R126" s="434" t="s">
        <v>56</v>
      </c>
      <c r="S126" s="435" t="s">
        <v>81</v>
      </c>
      <c r="T126" s="435" t="s">
        <v>220</v>
      </c>
      <c r="U126" s="434" t="s">
        <v>104</v>
      </c>
      <c r="V126" s="420"/>
      <c r="W126" s="435">
        <v>2</v>
      </c>
      <c r="X126" s="288"/>
      <c r="Y126" s="288"/>
    </row>
    <row r="127" spans="17:25" x14ac:dyDescent="0.3">
      <c r="Q127" s="433" t="s">
        <v>54</v>
      </c>
      <c r="R127" s="434" t="s">
        <v>56</v>
      </c>
      <c r="S127" s="435" t="s">
        <v>81</v>
      </c>
      <c r="T127" s="435" t="s">
        <v>220</v>
      </c>
      <c r="U127" s="434" t="s">
        <v>104</v>
      </c>
      <c r="V127" s="420"/>
      <c r="W127" s="435">
        <v>2</v>
      </c>
      <c r="X127" s="288"/>
      <c r="Y127" s="288"/>
    </row>
    <row r="128" spans="17:25" x14ac:dyDescent="0.3">
      <c r="Q128" s="433" t="s">
        <v>54</v>
      </c>
      <c r="R128" s="434" t="s">
        <v>56</v>
      </c>
      <c r="S128" s="435" t="s">
        <v>81</v>
      </c>
      <c r="T128" s="435" t="s">
        <v>220</v>
      </c>
      <c r="U128" s="434" t="s">
        <v>104</v>
      </c>
      <c r="V128" s="420"/>
      <c r="W128" s="435">
        <v>2</v>
      </c>
      <c r="X128" s="288"/>
      <c r="Y128" s="288"/>
    </row>
    <row r="129" spans="17:25" x14ac:dyDescent="0.3">
      <c r="Q129" s="433" t="s">
        <v>54</v>
      </c>
      <c r="R129" s="434" t="s">
        <v>56</v>
      </c>
      <c r="S129" s="435" t="s">
        <v>81</v>
      </c>
      <c r="T129" s="435" t="s">
        <v>220</v>
      </c>
      <c r="U129" s="434" t="s">
        <v>104</v>
      </c>
      <c r="V129" s="420"/>
      <c r="W129" s="435">
        <v>2</v>
      </c>
      <c r="X129" s="288"/>
      <c r="Y129" s="288"/>
    </row>
    <row r="130" spans="17:25" x14ac:dyDescent="0.3">
      <c r="Q130" s="433" t="s">
        <v>54</v>
      </c>
      <c r="R130" s="434" t="s">
        <v>56</v>
      </c>
      <c r="S130" s="435" t="s">
        <v>81</v>
      </c>
      <c r="T130" s="435" t="s">
        <v>220</v>
      </c>
      <c r="U130" s="434" t="s">
        <v>104</v>
      </c>
      <c r="V130" s="420"/>
      <c r="W130" s="435">
        <v>2</v>
      </c>
      <c r="X130" s="288"/>
      <c r="Y130" s="288"/>
    </row>
    <row r="131" spans="17:25" x14ac:dyDescent="0.3">
      <c r="Q131" s="433" t="s">
        <v>54</v>
      </c>
      <c r="R131" s="434" t="s">
        <v>56</v>
      </c>
      <c r="S131" s="435" t="s">
        <v>81</v>
      </c>
      <c r="T131" s="435" t="s">
        <v>220</v>
      </c>
      <c r="U131" s="434" t="s">
        <v>104</v>
      </c>
      <c r="V131" s="420"/>
      <c r="W131" s="435">
        <v>2</v>
      </c>
      <c r="X131" s="288"/>
      <c r="Y131" s="288"/>
    </row>
    <row r="132" spans="17:25" x14ac:dyDescent="0.3">
      <c r="Q132" s="433" t="s">
        <v>54</v>
      </c>
      <c r="R132" s="434" t="s">
        <v>56</v>
      </c>
      <c r="S132" s="435" t="s">
        <v>81</v>
      </c>
      <c r="T132" s="435" t="s">
        <v>220</v>
      </c>
      <c r="U132" s="434" t="s">
        <v>104</v>
      </c>
      <c r="V132" s="420"/>
      <c r="W132" s="435">
        <v>2</v>
      </c>
      <c r="X132" s="288"/>
      <c r="Y132" s="288"/>
    </row>
    <row r="133" spans="17:25" x14ac:dyDescent="0.3">
      <c r="Q133" s="433" t="s">
        <v>54</v>
      </c>
      <c r="R133" s="434" t="s">
        <v>56</v>
      </c>
      <c r="S133" s="435" t="s">
        <v>81</v>
      </c>
      <c r="T133" s="435" t="s">
        <v>220</v>
      </c>
      <c r="U133" s="434" t="s">
        <v>104</v>
      </c>
      <c r="V133" s="420"/>
      <c r="W133" s="435">
        <v>2</v>
      </c>
      <c r="X133" s="288"/>
      <c r="Y133" s="288"/>
    </row>
    <row r="134" spans="17:25" x14ac:dyDescent="0.3">
      <c r="Q134" s="433" t="s">
        <v>54</v>
      </c>
      <c r="R134" s="434" t="s">
        <v>56</v>
      </c>
      <c r="S134" s="435" t="s">
        <v>81</v>
      </c>
      <c r="T134" s="435" t="s">
        <v>220</v>
      </c>
      <c r="U134" s="434" t="s">
        <v>104</v>
      </c>
      <c r="V134" s="420"/>
      <c r="W134" s="435">
        <v>2</v>
      </c>
      <c r="X134" s="288"/>
      <c r="Y134" s="288"/>
    </row>
    <row r="135" spans="17:25" x14ac:dyDescent="0.3">
      <c r="Q135" s="433" t="s">
        <v>54</v>
      </c>
      <c r="R135" s="434" t="s">
        <v>56</v>
      </c>
      <c r="S135" s="435" t="s">
        <v>81</v>
      </c>
      <c r="T135" s="435" t="s">
        <v>220</v>
      </c>
      <c r="U135" s="434" t="s">
        <v>104</v>
      </c>
      <c r="V135" s="420"/>
      <c r="W135" s="435">
        <v>2</v>
      </c>
      <c r="X135" s="288"/>
      <c r="Y135" s="288"/>
    </row>
    <row r="136" spans="17:25" x14ac:dyDescent="0.3">
      <c r="Q136" s="433" t="s">
        <v>54</v>
      </c>
      <c r="R136" s="434" t="s">
        <v>56</v>
      </c>
      <c r="S136" s="435" t="s">
        <v>81</v>
      </c>
      <c r="T136" s="435" t="s">
        <v>220</v>
      </c>
      <c r="U136" s="434" t="s">
        <v>104</v>
      </c>
      <c r="V136" s="420"/>
      <c r="W136" s="435">
        <v>2</v>
      </c>
      <c r="X136" s="288"/>
      <c r="Y136" s="288"/>
    </row>
    <row r="137" spans="17:25" x14ac:dyDescent="0.3">
      <c r="Q137" s="433" t="s">
        <v>54</v>
      </c>
      <c r="R137" s="434" t="s">
        <v>56</v>
      </c>
      <c r="S137" s="435" t="s">
        <v>81</v>
      </c>
      <c r="T137" s="435" t="s">
        <v>220</v>
      </c>
      <c r="U137" s="434" t="s">
        <v>104</v>
      </c>
      <c r="V137" s="420"/>
      <c r="W137" s="435">
        <v>2</v>
      </c>
      <c r="X137" s="288"/>
      <c r="Y137" s="288"/>
    </row>
    <row r="138" spans="17:25" x14ac:dyDescent="0.3">
      <c r="Q138" s="433" t="s">
        <v>54</v>
      </c>
      <c r="R138" s="434" t="s">
        <v>55</v>
      </c>
      <c r="S138" s="435" t="s">
        <v>82</v>
      </c>
      <c r="T138" s="435" t="s">
        <v>221</v>
      </c>
      <c r="U138" s="434" t="s">
        <v>104</v>
      </c>
      <c r="V138" s="420"/>
      <c r="W138" s="435">
        <v>2</v>
      </c>
      <c r="X138" s="288"/>
      <c r="Y138" s="288"/>
    </row>
    <row r="139" spans="17:25" x14ac:dyDescent="0.3">
      <c r="Q139" s="433" t="s">
        <v>54</v>
      </c>
      <c r="R139" s="434" t="s">
        <v>55</v>
      </c>
      <c r="S139" s="435" t="s">
        <v>82</v>
      </c>
      <c r="T139" s="435" t="s">
        <v>221</v>
      </c>
      <c r="U139" s="434" t="s">
        <v>104</v>
      </c>
      <c r="V139" s="420"/>
      <c r="W139" s="435">
        <v>2</v>
      </c>
      <c r="X139" s="288"/>
      <c r="Y139" s="288"/>
    </row>
    <row r="140" spans="17:25" x14ac:dyDescent="0.3">
      <c r="Q140" s="433" t="s">
        <v>54</v>
      </c>
      <c r="R140" s="434" t="s">
        <v>55</v>
      </c>
      <c r="S140" s="435" t="s">
        <v>82</v>
      </c>
      <c r="T140" s="435" t="s">
        <v>221</v>
      </c>
      <c r="U140" s="434" t="s">
        <v>104</v>
      </c>
      <c r="V140" s="420"/>
      <c r="W140" s="435">
        <v>2</v>
      </c>
      <c r="X140" s="288"/>
      <c r="Y140" s="288"/>
    </row>
    <row r="141" spans="17:25" x14ac:dyDescent="0.3">
      <c r="Q141" s="433" t="s">
        <v>54</v>
      </c>
      <c r="R141" s="434" t="s">
        <v>55</v>
      </c>
      <c r="S141" s="435" t="s">
        <v>82</v>
      </c>
      <c r="T141" s="435" t="s">
        <v>221</v>
      </c>
      <c r="U141" s="434" t="s">
        <v>104</v>
      </c>
      <c r="V141" s="420"/>
      <c r="W141" s="435">
        <v>2</v>
      </c>
      <c r="X141" s="288"/>
      <c r="Y141" s="288"/>
    </row>
    <row r="142" spans="17:25" x14ac:dyDescent="0.3">
      <c r="Q142" s="433" t="s">
        <v>54</v>
      </c>
      <c r="R142" s="434" t="s">
        <v>55</v>
      </c>
      <c r="S142" s="435" t="s">
        <v>82</v>
      </c>
      <c r="T142" s="435" t="s">
        <v>221</v>
      </c>
      <c r="U142" s="434" t="s">
        <v>104</v>
      </c>
      <c r="V142" s="420"/>
      <c r="W142" s="435">
        <v>2</v>
      </c>
      <c r="X142" s="288"/>
      <c r="Y142" s="288"/>
    </row>
    <row r="143" spans="17:25" x14ac:dyDescent="0.3">
      <c r="Q143" s="433" t="s">
        <v>54</v>
      </c>
      <c r="R143" s="434" t="s">
        <v>55</v>
      </c>
      <c r="S143" s="435" t="s">
        <v>82</v>
      </c>
      <c r="T143" s="435" t="s">
        <v>221</v>
      </c>
      <c r="U143" s="434" t="s">
        <v>104</v>
      </c>
      <c r="V143" s="420"/>
      <c r="W143" s="435">
        <v>2</v>
      </c>
      <c r="X143" s="288"/>
      <c r="Y143" s="288"/>
    </row>
    <row r="144" spans="17:25" x14ac:dyDescent="0.3">
      <c r="Q144" s="433" t="s">
        <v>54</v>
      </c>
      <c r="R144" s="434" t="s">
        <v>55</v>
      </c>
      <c r="S144" s="435" t="s">
        <v>82</v>
      </c>
      <c r="T144" s="435" t="s">
        <v>221</v>
      </c>
      <c r="U144" s="434" t="s">
        <v>104</v>
      </c>
      <c r="V144" s="420"/>
      <c r="W144" s="435">
        <v>2</v>
      </c>
      <c r="X144" s="288"/>
      <c r="Y144" s="288"/>
    </row>
    <row r="145" spans="17:25" x14ac:dyDescent="0.3">
      <c r="Q145" s="433" t="s">
        <v>54</v>
      </c>
      <c r="R145" s="434" t="s">
        <v>55</v>
      </c>
      <c r="S145" s="435" t="s">
        <v>82</v>
      </c>
      <c r="T145" s="435" t="s">
        <v>221</v>
      </c>
      <c r="U145" s="434" t="s">
        <v>104</v>
      </c>
      <c r="V145" s="420"/>
      <c r="W145" s="435">
        <v>2</v>
      </c>
      <c r="X145" s="288"/>
      <c r="Y145" s="288"/>
    </row>
    <row r="146" spans="17:25" x14ac:dyDescent="0.3">
      <c r="Q146" s="433" t="s">
        <v>54</v>
      </c>
      <c r="R146" s="434" t="s">
        <v>55</v>
      </c>
      <c r="S146" s="435" t="s">
        <v>82</v>
      </c>
      <c r="T146" s="435" t="s">
        <v>221</v>
      </c>
      <c r="U146" s="434" t="s">
        <v>104</v>
      </c>
      <c r="V146" s="420"/>
      <c r="W146" s="435">
        <v>2</v>
      </c>
      <c r="X146" s="288"/>
      <c r="Y146" s="288"/>
    </row>
    <row r="147" spans="17:25" x14ac:dyDescent="0.3">
      <c r="Q147" s="433" t="s">
        <v>54</v>
      </c>
      <c r="R147" s="434" t="s">
        <v>55</v>
      </c>
      <c r="S147" s="435" t="s">
        <v>82</v>
      </c>
      <c r="T147" s="435" t="s">
        <v>221</v>
      </c>
      <c r="U147" s="434" t="s">
        <v>104</v>
      </c>
      <c r="V147" s="420"/>
      <c r="W147" s="435">
        <v>2</v>
      </c>
      <c r="X147" s="288"/>
      <c r="Y147" s="288"/>
    </row>
    <row r="148" spans="17:25" x14ac:dyDescent="0.3">
      <c r="Q148" s="433" t="s">
        <v>54</v>
      </c>
      <c r="R148" s="434" t="s">
        <v>55</v>
      </c>
      <c r="S148" s="435" t="s">
        <v>82</v>
      </c>
      <c r="T148" s="435" t="s">
        <v>221</v>
      </c>
      <c r="U148" s="434" t="s">
        <v>104</v>
      </c>
      <c r="V148" s="420"/>
      <c r="W148" s="435">
        <v>2</v>
      </c>
      <c r="X148" s="288"/>
      <c r="Y148" s="288"/>
    </row>
    <row r="149" spans="17:25" x14ac:dyDescent="0.3">
      <c r="Q149" s="433" t="s">
        <v>54</v>
      </c>
      <c r="R149" s="434" t="s">
        <v>55</v>
      </c>
      <c r="S149" s="435" t="s">
        <v>82</v>
      </c>
      <c r="T149" s="435" t="s">
        <v>221</v>
      </c>
      <c r="U149" s="434" t="s">
        <v>104</v>
      </c>
      <c r="V149" s="420"/>
      <c r="W149" s="435">
        <v>2</v>
      </c>
      <c r="X149" s="288"/>
      <c r="Y149" s="288"/>
    </row>
    <row r="150" spans="17:25" x14ac:dyDescent="0.3">
      <c r="Q150" s="433" t="s">
        <v>54</v>
      </c>
      <c r="R150" s="434" t="s">
        <v>55</v>
      </c>
      <c r="S150" s="435" t="s">
        <v>82</v>
      </c>
      <c r="T150" s="435" t="s">
        <v>221</v>
      </c>
      <c r="U150" s="434" t="s">
        <v>104</v>
      </c>
      <c r="V150" s="420"/>
      <c r="W150" s="435">
        <v>2</v>
      </c>
      <c r="X150" s="288"/>
      <c r="Y150" s="288"/>
    </row>
    <row r="151" spans="17:25" x14ac:dyDescent="0.3">
      <c r="Q151" s="433" t="s">
        <v>54</v>
      </c>
      <c r="R151" s="434" t="s">
        <v>55</v>
      </c>
      <c r="S151" s="435" t="s">
        <v>82</v>
      </c>
      <c r="T151" s="435" t="s">
        <v>221</v>
      </c>
      <c r="U151" s="434" t="s">
        <v>104</v>
      </c>
      <c r="V151" s="420"/>
      <c r="W151" s="435">
        <v>2</v>
      </c>
      <c r="X151" s="288"/>
      <c r="Y151" s="288"/>
    </row>
    <row r="152" spans="17:25" x14ac:dyDescent="0.3">
      <c r="Q152" s="433" t="s">
        <v>54</v>
      </c>
      <c r="R152" s="434" t="s">
        <v>55</v>
      </c>
      <c r="S152" s="435" t="s">
        <v>82</v>
      </c>
      <c r="T152" s="435" t="s">
        <v>221</v>
      </c>
      <c r="U152" s="434" t="s">
        <v>104</v>
      </c>
      <c r="V152" s="420"/>
      <c r="W152" s="435">
        <v>2</v>
      </c>
      <c r="X152" s="288"/>
      <c r="Y152" s="288"/>
    </row>
    <row r="153" spans="17:25" x14ac:dyDescent="0.3">
      <c r="Q153" s="433" t="s">
        <v>54</v>
      </c>
      <c r="R153" s="434" t="s">
        <v>56</v>
      </c>
      <c r="S153" s="434" t="s">
        <v>83</v>
      </c>
      <c r="T153" s="435" t="s">
        <v>222</v>
      </c>
      <c r="U153" s="434" t="s">
        <v>104</v>
      </c>
      <c r="V153" s="420"/>
      <c r="W153" s="435">
        <v>2</v>
      </c>
      <c r="X153" s="288"/>
      <c r="Y153" s="288"/>
    </row>
    <row r="154" spans="17:25" x14ac:dyDescent="0.3">
      <c r="Q154" s="433" t="s">
        <v>54</v>
      </c>
      <c r="R154" s="434" t="s">
        <v>56</v>
      </c>
      <c r="S154" s="434" t="s">
        <v>83</v>
      </c>
      <c r="T154" s="435" t="s">
        <v>222</v>
      </c>
      <c r="U154" s="434" t="s">
        <v>104</v>
      </c>
      <c r="V154" s="420"/>
      <c r="W154" s="435">
        <v>2</v>
      </c>
      <c r="X154" s="288"/>
      <c r="Y154" s="288"/>
    </row>
    <row r="155" spans="17:25" x14ac:dyDescent="0.3">
      <c r="Q155" s="433" t="s">
        <v>54</v>
      </c>
      <c r="R155" s="434" t="s">
        <v>56</v>
      </c>
      <c r="S155" s="434" t="s">
        <v>83</v>
      </c>
      <c r="T155" s="435" t="s">
        <v>222</v>
      </c>
      <c r="U155" s="434" t="s">
        <v>104</v>
      </c>
      <c r="V155" s="420"/>
      <c r="W155" s="435">
        <v>2</v>
      </c>
      <c r="X155" s="288"/>
      <c r="Y155" s="288"/>
    </row>
    <row r="156" spans="17:25" x14ac:dyDescent="0.3">
      <c r="Q156" s="433" t="s">
        <v>54</v>
      </c>
      <c r="R156" s="434" t="s">
        <v>56</v>
      </c>
      <c r="S156" s="434" t="s">
        <v>83</v>
      </c>
      <c r="T156" s="435" t="s">
        <v>222</v>
      </c>
      <c r="U156" s="434" t="s">
        <v>104</v>
      </c>
      <c r="V156" s="420"/>
      <c r="W156" s="435">
        <v>2</v>
      </c>
      <c r="X156" s="288"/>
      <c r="Y156" s="288"/>
    </row>
    <row r="157" spans="17:25" x14ac:dyDescent="0.3">
      <c r="Q157" s="433" t="s">
        <v>54</v>
      </c>
      <c r="R157" s="434" t="s">
        <v>56</v>
      </c>
      <c r="S157" s="434" t="s">
        <v>83</v>
      </c>
      <c r="T157" s="435" t="s">
        <v>222</v>
      </c>
      <c r="U157" s="434" t="s">
        <v>104</v>
      </c>
      <c r="V157" s="420"/>
      <c r="W157" s="435">
        <v>2</v>
      </c>
      <c r="X157" s="288"/>
      <c r="Y157" s="288"/>
    </row>
    <row r="158" spans="17:25" x14ac:dyDescent="0.3">
      <c r="Q158" s="433" t="s">
        <v>54</v>
      </c>
      <c r="R158" s="434" t="s">
        <v>56</v>
      </c>
      <c r="S158" s="434" t="s">
        <v>83</v>
      </c>
      <c r="T158" s="435" t="s">
        <v>222</v>
      </c>
      <c r="U158" s="434" t="s">
        <v>104</v>
      </c>
      <c r="V158" s="420"/>
      <c r="W158" s="435">
        <v>2</v>
      </c>
      <c r="X158" s="288"/>
      <c r="Y158" s="288"/>
    </row>
    <row r="159" spans="17:25" x14ac:dyDescent="0.3">
      <c r="Q159" s="433" t="s">
        <v>54</v>
      </c>
      <c r="R159" s="434" t="s">
        <v>56</v>
      </c>
      <c r="S159" s="434" t="s">
        <v>83</v>
      </c>
      <c r="T159" s="435" t="s">
        <v>222</v>
      </c>
      <c r="U159" s="434" t="s">
        <v>104</v>
      </c>
      <c r="V159" s="420"/>
      <c r="W159" s="435">
        <v>2</v>
      </c>
      <c r="X159" s="288"/>
      <c r="Y159" s="288"/>
    </row>
    <row r="160" spans="17:25" x14ac:dyDescent="0.3">
      <c r="Q160" s="433" t="s">
        <v>54</v>
      </c>
      <c r="R160" s="434" t="s">
        <v>56</v>
      </c>
      <c r="S160" s="434" t="s">
        <v>83</v>
      </c>
      <c r="T160" s="435" t="s">
        <v>222</v>
      </c>
      <c r="U160" s="434" t="s">
        <v>104</v>
      </c>
      <c r="V160" s="420"/>
      <c r="W160" s="435">
        <v>2</v>
      </c>
      <c r="X160" s="288"/>
      <c r="Y160" s="288"/>
    </row>
    <row r="161" spans="17:25" x14ac:dyDescent="0.3">
      <c r="Q161" s="433" t="s">
        <v>54</v>
      </c>
      <c r="R161" s="434" t="s">
        <v>56</v>
      </c>
      <c r="S161" s="434" t="s">
        <v>83</v>
      </c>
      <c r="T161" s="435" t="s">
        <v>222</v>
      </c>
      <c r="U161" s="434" t="s">
        <v>104</v>
      </c>
      <c r="V161" s="420"/>
      <c r="W161" s="435">
        <v>2</v>
      </c>
      <c r="X161" s="288"/>
      <c r="Y161" s="288"/>
    </row>
    <row r="162" spans="17:25" x14ac:dyDescent="0.3">
      <c r="Q162" s="433" t="s">
        <v>54</v>
      </c>
      <c r="R162" s="434" t="s">
        <v>56</v>
      </c>
      <c r="S162" s="434" t="s">
        <v>83</v>
      </c>
      <c r="T162" s="435" t="s">
        <v>222</v>
      </c>
      <c r="U162" s="434" t="s">
        <v>104</v>
      </c>
      <c r="V162" s="420"/>
      <c r="W162" s="435">
        <v>2</v>
      </c>
      <c r="X162" s="288"/>
      <c r="Y162" s="288"/>
    </row>
    <row r="163" spans="17:25" x14ac:dyDescent="0.3">
      <c r="Q163" s="433" t="s">
        <v>54</v>
      </c>
      <c r="R163" s="434" t="s">
        <v>56</v>
      </c>
      <c r="S163" s="434" t="s">
        <v>83</v>
      </c>
      <c r="T163" s="435" t="s">
        <v>222</v>
      </c>
      <c r="U163" s="434" t="s">
        <v>104</v>
      </c>
      <c r="V163" s="420"/>
      <c r="W163" s="435">
        <v>2</v>
      </c>
      <c r="X163" s="288"/>
      <c r="Y163" s="288"/>
    </row>
    <row r="164" spans="17:25" x14ac:dyDescent="0.3">
      <c r="Q164" s="433" t="s">
        <v>54</v>
      </c>
      <c r="R164" s="434" t="s">
        <v>56</v>
      </c>
      <c r="S164" s="434" t="s">
        <v>83</v>
      </c>
      <c r="T164" s="435" t="s">
        <v>222</v>
      </c>
      <c r="U164" s="434" t="s">
        <v>104</v>
      </c>
      <c r="V164" s="420"/>
      <c r="W164" s="435">
        <v>2</v>
      </c>
      <c r="X164" s="288"/>
      <c r="Y164" s="288"/>
    </row>
    <row r="165" spans="17:25" x14ac:dyDescent="0.3">
      <c r="Q165" s="433" t="s">
        <v>54</v>
      </c>
      <c r="R165" s="434" t="s">
        <v>56</v>
      </c>
      <c r="S165" s="434" t="s">
        <v>83</v>
      </c>
      <c r="T165" s="435" t="s">
        <v>222</v>
      </c>
      <c r="U165" s="434" t="s">
        <v>104</v>
      </c>
      <c r="V165" s="420"/>
      <c r="W165" s="435">
        <v>2</v>
      </c>
      <c r="X165" s="288"/>
      <c r="Y165" s="288"/>
    </row>
    <row r="166" spans="17:25" x14ac:dyDescent="0.3">
      <c r="Q166" s="433" t="s">
        <v>54</v>
      </c>
      <c r="R166" s="434" t="s">
        <v>56</v>
      </c>
      <c r="S166" s="434" t="s">
        <v>83</v>
      </c>
      <c r="T166" s="435" t="s">
        <v>222</v>
      </c>
      <c r="U166" s="434" t="s">
        <v>104</v>
      </c>
      <c r="V166" s="420"/>
      <c r="W166" s="435">
        <v>2</v>
      </c>
      <c r="X166" s="288"/>
      <c r="Y166" s="288"/>
    </row>
    <row r="167" spans="17:25" x14ac:dyDescent="0.3">
      <c r="Q167" s="433" t="s">
        <v>54</v>
      </c>
      <c r="R167" s="434" t="s">
        <v>56</v>
      </c>
      <c r="S167" s="434" t="s">
        <v>83</v>
      </c>
      <c r="T167" s="435" t="s">
        <v>222</v>
      </c>
      <c r="U167" s="434" t="s">
        <v>104</v>
      </c>
      <c r="V167" s="420"/>
      <c r="W167" s="435">
        <v>2</v>
      </c>
      <c r="X167" s="288"/>
      <c r="Y167" s="288"/>
    </row>
  </sheetData>
  <sheetProtection algorithmName="SHA-512" hashValue="GU+qdcPWCoreLFJWjXmiZm+wZSgmwQ4bg2I6b7X/Y804gCgDkU3+csPOxPkJrJ4j6l+//NBSj/d6poAncZ6mpA==" saltValue="RaQghlklM0IaSI7xNkwJNw==" spinCount="100000" sheet="1" selectLockedCells="1" selectUnlockedCells="1"/>
  <autoFilter ref="AB3:AK42" xr:uid="{04A231C1-7EDB-4627-9697-25CFA3756EAF}">
    <sortState xmlns:xlrd2="http://schemas.microsoft.com/office/spreadsheetml/2017/richdata2" ref="AB4:AK42">
      <sortCondition ref="AD3:AD42"/>
    </sortState>
  </autoFilter>
  <mergeCells count="5">
    <mergeCell ref="AB2:AJ2"/>
    <mergeCell ref="Q1:Y1"/>
    <mergeCell ref="B2:E2"/>
    <mergeCell ref="G2:J2"/>
    <mergeCell ref="L2:O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9CA1-051D-4DC4-956F-57A99082C374}">
  <sheetPr codeName="Hoja3"/>
  <dimension ref="A1:BR124"/>
  <sheetViews>
    <sheetView topLeftCell="A77" zoomScale="21" zoomScaleNormal="40" workbookViewId="0">
      <selection activeCell="G39" sqref="G39:I39"/>
    </sheetView>
  </sheetViews>
  <sheetFormatPr baseColWidth="10" defaultColWidth="12.6640625" defaultRowHeight="15" customHeight="1" x14ac:dyDescent="0.3"/>
  <cols>
    <col min="1" max="2" width="12.6640625" style="5"/>
    <col min="3" max="3" width="36" style="5" customWidth="1"/>
    <col min="4" max="4" width="12.6640625" style="5"/>
    <col min="5" max="5" width="102.33203125" style="5" bestFit="1" customWidth="1"/>
    <col min="6" max="9" width="12.6640625" style="5"/>
    <col min="10" max="10" width="16.44140625" style="5" customWidth="1"/>
    <col min="11" max="13" width="12.6640625" style="5"/>
    <col min="14" max="14" width="16.44140625" style="5" customWidth="1"/>
    <col min="15" max="17" width="12.6640625" style="5"/>
    <col min="18" max="18" width="16.44140625" style="5" customWidth="1"/>
    <col min="19" max="20" width="12.6640625" style="5"/>
    <col min="21" max="21" width="11.6640625" style="5" customWidth="1"/>
    <col min="22" max="22" width="16.44140625" style="5" customWidth="1"/>
    <col min="23" max="23" width="12.6640625" style="5"/>
    <col min="24" max="24" width="30.44140625" style="5" customWidth="1"/>
    <col min="25" max="25" width="12.6640625" style="5"/>
    <col min="26" max="26" width="52.6640625" style="5" customWidth="1"/>
    <col min="27" max="27" width="12.6640625" style="5"/>
    <col min="28" max="28" width="52.109375" style="5" customWidth="1"/>
    <col min="29" max="31" width="12.6640625" style="5"/>
    <col min="32" max="33" width="17.33203125" style="5" customWidth="1"/>
    <col min="34" max="34" width="14.44140625" style="5" customWidth="1"/>
    <col min="35" max="35" width="12.6640625" style="5"/>
    <col min="36" max="36" width="15.5546875" style="5" customWidth="1"/>
    <col min="37" max="37" width="14.44140625" style="5" customWidth="1"/>
    <col min="38" max="38" width="17.33203125" style="5" customWidth="1"/>
    <col min="39" max="39" width="12.6640625" style="5"/>
    <col min="40" max="40" width="19.33203125" style="5" customWidth="1"/>
    <col min="41" max="41" width="18.109375" style="5" customWidth="1"/>
    <col min="42" max="42" width="22.6640625" style="5" customWidth="1"/>
    <col min="43" max="43" width="12.6640625" style="5"/>
    <col min="44" max="44" width="42.6640625" style="5" customWidth="1"/>
    <col min="45" max="45" width="12.6640625" style="5"/>
    <col min="46" max="46" width="42.6640625" style="5" customWidth="1"/>
    <col min="47" max="47" width="12.6640625" style="5"/>
    <col min="48" max="48" width="45.33203125" style="5" customWidth="1"/>
    <col min="49" max="63" width="12.6640625" style="5"/>
    <col min="64" max="64" width="40.109375" style="5" customWidth="1"/>
    <col min="65" max="65" width="12.6640625" style="5"/>
    <col min="66" max="66" width="46.6640625" style="5" customWidth="1"/>
    <col min="67" max="67" width="12.6640625" style="5"/>
    <col min="68" max="68" width="51.6640625" style="5" customWidth="1"/>
    <col min="69" max="16384" width="12.6640625" style="5"/>
  </cols>
  <sheetData>
    <row r="1" spans="1:70" ht="14.4" x14ac:dyDescent="0.3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4"/>
      <c r="BQ1" s="2"/>
      <c r="BR1" s="2"/>
    </row>
    <row r="2" spans="1:70" ht="45" x14ac:dyDescent="0.75">
      <c r="A2" s="2"/>
      <c r="B2" s="690"/>
      <c r="C2" s="522"/>
      <c r="D2" s="522"/>
      <c r="E2" s="522"/>
      <c r="F2" s="543" t="s">
        <v>66</v>
      </c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  <c r="Z2" s="677"/>
      <c r="AA2" s="677"/>
      <c r="AB2" s="677"/>
      <c r="AC2" s="677"/>
      <c r="AD2" s="677"/>
      <c r="AE2" s="677"/>
      <c r="AF2" s="677"/>
      <c r="AG2" s="677"/>
      <c r="AH2" s="677"/>
      <c r="AI2" s="677"/>
      <c r="AJ2" s="677"/>
      <c r="AK2" s="677"/>
      <c r="AL2" s="677"/>
      <c r="AM2" s="677"/>
      <c r="AN2" s="677"/>
      <c r="AO2" s="677"/>
      <c r="AP2" s="677"/>
      <c r="AQ2" s="677"/>
      <c r="AR2" s="677"/>
      <c r="AS2" s="677"/>
      <c r="AT2" s="677"/>
      <c r="AU2" s="677"/>
      <c r="AV2" s="677"/>
      <c r="AW2" s="677"/>
      <c r="AX2" s="677"/>
      <c r="AY2" s="677"/>
      <c r="AZ2" s="677"/>
      <c r="BA2" s="677"/>
      <c r="BB2" s="677"/>
      <c r="BC2" s="677"/>
      <c r="BD2" s="677"/>
      <c r="BE2" s="677"/>
      <c r="BF2" s="677"/>
      <c r="BG2" s="677"/>
      <c r="BH2" s="677"/>
      <c r="BI2" s="677"/>
      <c r="BJ2" s="6" t="s">
        <v>67</v>
      </c>
      <c r="BK2" s="7"/>
      <c r="BL2" s="7"/>
      <c r="BM2" s="7"/>
      <c r="BN2" s="7"/>
      <c r="BO2" s="7"/>
      <c r="BP2" s="8"/>
      <c r="BQ2" s="2"/>
      <c r="BR2" s="2"/>
    </row>
    <row r="3" spans="1:70" ht="45" x14ac:dyDescent="0.75">
      <c r="A3" s="2"/>
      <c r="B3" s="522"/>
      <c r="C3" s="522"/>
      <c r="D3" s="522"/>
      <c r="E3" s="522"/>
      <c r="F3" s="679"/>
      <c r="G3" s="680"/>
      <c r="H3" s="680"/>
      <c r="I3" s="680"/>
      <c r="J3" s="680"/>
      <c r="K3" s="680"/>
      <c r="L3" s="680"/>
      <c r="M3" s="680"/>
      <c r="N3" s="680"/>
      <c r="O3" s="680"/>
      <c r="P3" s="680"/>
      <c r="Q3" s="680"/>
      <c r="R3" s="680"/>
      <c r="S3" s="680"/>
      <c r="T3" s="680"/>
      <c r="U3" s="680"/>
      <c r="V3" s="680"/>
      <c r="W3" s="680"/>
      <c r="X3" s="680"/>
      <c r="Y3" s="680"/>
      <c r="Z3" s="680"/>
      <c r="AA3" s="680"/>
      <c r="AB3" s="680"/>
      <c r="AC3" s="680"/>
      <c r="AD3" s="680"/>
      <c r="AE3" s="680"/>
      <c r="AF3" s="680"/>
      <c r="AG3" s="680"/>
      <c r="AH3" s="680"/>
      <c r="AI3" s="680"/>
      <c r="AJ3" s="680"/>
      <c r="AK3" s="680"/>
      <c r="AL3" s="680"/>
      <c r="AM3" s="680"/>
      <c r="AN3" s="680"/>
      <c r="AO3" s="680"/>
      <c r="AP3" s="680"/>
      <c r="AQ3" s="680"/>
      <c r="AR3" s="680"/>
      <c r="AS3" s="680"/>
      <c r="AT3" s="680"/>
      <c r="AU3" s="680"/>
      <c r="AV3" s="680"/>
      <c r="AW3" s="680"/>
      <c r="AX3" s="680"/>
      <c r="AY3" s="680"/>
      <c r="AZ3" s="680"/>
      <c r="BA3" s="680"/>
      <c r="BB3" s="680"/>
      <c r="BC3" s="680"/>
      <c r="BD3" s="680"/>
      <c r="BE3" s="680"/>
      <c r="BF3" s="680"/>
      <c r="BG3" s="680"/>
      <c r="BH3" s="680"/>
      <c r="BI3" s="680"/>
      <c r="BJ3" s="6" t="s">
        <v>68</v>
      </c>
      <c r="BK3" s="7"/>
      <c r="BL3" s="7"/>
      <c r="BM3" s="7"/>
      <c r="BN3" s="7"/>
      <c r="BO3" s="7"/>
      <c r="BP3" s="8"/>
      <c r="BQ3" s="2"/>
      <c r="BR3" s="2"/>
    </row>
    <row r="4" spans="1:70" ht="65.25" customHeight="1" x14ac:dyDescent="0.75">
      <c r="A4" s="2"/>
      <c r="B4" s="549"/>
      <c r="C4" s="549"/>
      <c r="D4" s="549"/>
      <c r="E4" s="549"/>
      <c r="F4" s="682"/>
      <c r="G4" s="683"/>
      <c r="H4" s="683"/>
      <c r="I4" s="683"/>
      <c r="J4" s="683"/>
      <c r="K4" s="683"/>
      <c r="L4" s="683"/>
      <c r="M4" s="683"/>
      <c r="N4" s="683"/>
      <c r="O4" s="683"/>
      <c r="P4" s="683"/>
      <c r="Q4" s="683"/>
      <c r="R4" s="683"/>
      <c r="S4" s="683"/>
      <c r="T4" s="683"/>
      <c r="U4" s="683"/>
      <c r="V4" s="683"/>
      <c r="W4" s="683"/>
      <c r="X4" s="683"/>
      <c r="Y4" s="683"/>
      <c r="Z4" s="683"/>
      <c r="AA4" s="683"/>
      <c r="AB4" s="683"/>
      <c r="AC4" s="683"/>
      <c r="AD4" s="683"/>
      <c r="AE4" s="683"/>
      <c r="AF4" s="683"/>
      <c r="AG4" s="683"/>
      <c r="AH4" s="683"/>
      <c r="AI4" s="683"/>
      <c r="AJ4" s="683"/>
      <c r="AK4" s="683"/>
      <c r="AL4" s="683"/>
      <c r="AM4" s="683"/>
      <c r="AN4" s="683"/>
      <c r="AO4" s="683"/>
      <c r="AP4" s="683"/>
      <c r="AQ4" s="683"/>
      <c r="AR4" s="683"/>
      <c r="AS4" s="683"/>
      <c r="AT4" s="683"/>
      <c r="AU4" s="683"/>
      <c r="AV4" s="683"/>
      <c r="AW4" s="683"/>
      <c r="AX4" s="683"/>
      <c r="AY4" s="683"/>
      <c r="AZ4" s="683"/>
      <c r="BA4" s="683"/>
      <c r="BB4" s="683"/>
      <c r="BC4" s="683"/>
      <c r="BD4" s="683"/>
      <c r="BE4" s="683"/>
      <c r="BF4" s="683"/>
      <c r="BG4" s="683"/>
      <c r="BH4" s="683"/>
      <c r="BI4" s="683"/>
      <c r="BJ4" s="6" t="s">
        <v>69</v>
      </c>
      <c r="BK4" s="7"/>
      <c r="BL4" s="7"/>
      <c r="BM4" s="7"/>
      <c r="BN4" s="7"/>
      <c r="BO4" s="7"/>
      <c r="BP4" s="8"/>
      <c r="BQ4" s="2"/>
      <c r="BR4" s="2"/>
    </row>
    <row r="5" spans="1:70" ht="60" x14ac:dyDescent="0.95">
      <c r="A5" s="2"/>
      <c r="B5" s="2"/>
      <c r="C5" s="2"/>
      <c r="D5" s="2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10"/>
      <c r="Y5" s="2"/>
      <c r="Z5" s="11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10"/>
      <c r="AS5" s="11"/>
      <c r="AT5" s="9"/>
      <c r="AU5" s="11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51" customHeight="1" x14ac:dyDescent="0.95">
      <c r="A6" s="12"/>
      <c r="B6" s="595">
        <f>'ASIGNACIÓN ASIGNATURAS'!$B$4</f>
        <v>0</v>
      </c>
      <c r="C6" s="601"/>
      <c r="D6" s="601"/>
      <c r="E6" s="601"/>
      <c r="F6" s="601"/>
      <c r="G6" s="601"/>
      <c r="H6" s="601"/>
      <c r="I6" s="601"/>
      <c r="J6" s="601"/>
      <c r="K6" s="601"/>
      <c r="L6" s="601"/>
      <c r="M6" s="601"/>
      <c r="N6" s="601"/>
      <c r="O6" s="601"/>
      <c r="P6" s="601"/>
      <c r="Q6" s="601"/>
      <c r="R6" s="601"/>
      <c r="S6" s="601"/>
      <c r="T6" s="601"/>
      <c r="U6" s="601"/>
      <c r="V6" s="601"/>
      <c r="W6" s="601"/>
      <c r="X6" s="601"/>
      <c r="Y6" s="601"/>
      <c r="Z6" s="601"/>
      <c r="AA6" s="601"/>
      <c r="AB6" s="601"/>
      <c r="AC6" s="601"/>
      <c r="AD6" s="601"/>
      <c r="AE6" s="601"/>
      <c r="AF6" s="601"/>
      <c r="AG6" s="601"/>
      <c r="AH6" s="601"/>
      <c r="AI6" s="601"/>
      <c r="AJ6" s="601"/>
      <c r="AK6" s="601"/>
      <c r="AL6" s="601"/>
      <c r="AM6" s="601"/>
      <c r="AN6" s="601"/>
      <c r="AO6" s="601"/>
      <c r="AP6" s="601"/>
      <c r="AQ6" s="601"/>
      <c r="AR6" s="601"/>
      <c r="AS6" s="601"/>
      <c r="AT6" s="601"/>
      <c r="AU6" s="601"/>
      <c r="AV6" s="601"/>
      <c r="AW6" s="601"/>
      <c r="AX6" s="601"/>
      <c r="AY6" s="601"/>
      <c r="AZ6" s="601"/>
      <c r="BA6" s="601"/>
      <c r="BB6" s="601"/>
      <c r="BC6" s="601"/>
      <c r="BD6" s="601"/>
      <c r="BE6" s="601"/>
      <c r="BF6" s="601"/>
      <c r="BG6" s="601"/>
      <c r="BH6" s="601"/>
      <c r="BI6" s="601"/>
      <c r="BJ6" s="601"/>
      <c r="BK6" s="601"/>
      <c r="BL6" s="601"/>
      <c r="BM6" s="601"/>
      <c r="BN6" s="601"/>
      <c r="BO6" s="601"/>
      <c r="BP6" s="601"/>
      <c r="BQ6" s="602"/>
      <c r="BR6" s="13"/>
    </row>
    <row r="7" spans="1:70" ht="60" x14ac:dyDescent="0.95">
      <c r="A7" s="12"/>
      <c r="B7" s="14"/>
      <c r="C7" s="15"/>
      <c r="D7" s="16"/>
      <c r="E7" s="17"/>
      <c r="F7" s="18"/>
      <c r="G7" s="13"/>
      <c r="H7" s="598"/>
      <c r="I7" s="544"/>
      <c r="J7" s="544"/>
      <c r="K7" s="544"/>
      <c r="L7" s="544"/>
      <c r="M7" s="544"/>
      <c r="N7" s="544"/>
      <c r="O7" s="544"/>
      <c r="P7" s="544"/>
      <c r="Q7" s="544"/>
      <c r="R7" s="599"/>
      <c r="S7" s="19"/>
      <c r="T7" s="16"/>
      <c r="U7" s="16"/>
      <c r="V7" s="16"/>
      <c r="W7" s="16"/>
      <c r="X7" s="20"/>
      <c r="Y7" s="21"/>
      <c r="Z7" s="21"/>
      <c r="AA7" s="22"/>
      <c r="AB7" s="23"/>
      <c r="AC7" s="12"/>
      <c r="AD7" s="24"/>
      <c r="AE7" s="13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25"/>
      <c r="AS7" s="23"/>
      <c r="AT7" s="26"/>
      <c r="AU7" s="23"/>
      <c r="AV7" s="23"/>
      <c r="AW7" s="12"/>
      <c r="AX7" s="24"/>
      <c r="AY7" s="16"/>
      <c r="AZ7" s="16"/>
      <c r="BA7" s="16"/>
      <c r="BB7" s="16"/>
      <c r="BC7" s="16"/>
      <c r="BD7" s="16"/>
      <c r="BE7" s="16"/>
      <c r="BF7" s="16"/>
      <c r="BG7" s="27"/>
      <c r="BH7" s="28"/>
      <c r="BI7" s="28"/>
      <c r="BJ7" s="28"/>
      <c r="BK7" s="29"/>
      <c r="BL7" s="20"/>
      <c r="BM7" s="16"/>
      <c r="BN7" s="21"/>
      <c r="BO7" s="16"/>
      <c r="BP7" s="16"/>
      <c r="BQ7" s="18"/>
      <c r="BR7" s="30"/>
    </row>
    <row r="8" spans="1:70" ht="45" x14ac:dyDescent="0.75">
      <c r="A8" s="12"/>
      <c r="B8" s="14"/>
      <c r="C8" s="600" t="s">
        <v>70</v>
      </c>
      <c r="D8" s="601"/>
      <c r="E8" s="602"/>
      <c r="F8" s="18"/>
      <c r="G8" s="31"/>
      <c r="H8" s="600">
        <f>'ASIGNACIÓN ASIGNATURAS'!$B$5</f>
        <v>0</v>
      </c>
      <c r="I8" s="601"/>
      <c r="J8" s="601"/>
      <c r="K8" s="601"/>
      <c r="L8" s="601"/>
      <c r="M8" s="601"/>
      <c r="N8" s="601"/>
      <c r="O8" s="601"/>
      <c r="P8" s="601"/>
      <c r="Q8" s="601"/>
      <c r="R8" s="601"/>
      <c r="S8" s="601"/>
      <c r="T8" s="601"/>
      <c r="U8" s="601"/>
      <c r="V8" s="602"/>
      <c r="W8" s="30"/>
      <c r="X8" s="600"/>
      <c r="Y8" s="601"/>
      <c r="Z8" s="601"/>
      <c r="AA8" s="601"/>
      <c r="AB8" s="602"/>
      <c r="AC8" s="32"/>
      <c r="AD8" s="33"/>
      <c r="AE8" s="34"/>
      <c r="AF8" s="691">
        <f>'ASIGNACIÓN ASIGNATURAS'!$B$6</f>
        <v>0</v>
      </c>
      <c r="AG8" s="522"/>
      <c r="AH8" s="522"/>
      <c r="AI8" s="522"/>
      <c r="AJ8" s="522"/>
      <c r="AK8" s="522"/>
      <c r="AL8" s="522"/>
      <c r="AM8" s="522"/>
      <c r="AN8" s="522"/>
      <c r="AO8" s="522"/>
      <c r="AP8" s="522"/>
      <c r="AQ8" s="30"/>
      <c r="AR8" s="600"/>
      <c r="AS8" s="601"/>
      <c r="AT8" s="601"/>
      <c r="AU8" s="601"/>
      <c r="AV8" s="602"/>
      <c r="AW8" s="32"/>
      <c r="AX8" s="33"/>
      <c r="AY8" s="35"/>
      <c r="AZ8" s="600">
        <f>'ASIGNACIÓN ASIGNATURAS'!$B$7</f>
        <v>0</v>
      </c>
      <c r="BA8" s="601"/>
      <c r="BB8" s="601"/>
      <c r="BC8" s="601"/>
      <c r="BD8" s="601"/>
      <c r="BE8" s="601"/>
      <c r="BF8" s="601"/>
      <c r="BG8" s="601"/>
      <c r="BH8" s="601"/>
      <c r="BI8" s="601"/>
      <c r="BJ8" s="602"/>
      <c r="BK8" s="13"/>
      <c r="BL8" s="600"/>
      <c r="BM8" s="601"/>
      <c r="BN8" s="601"/>
      <c r="BO8" s="601"/>
      <c r="BP8" s="602"/>
      <c r="BQ8" s="36"/>
      <c r="BR8" s="30"/>
    </row>
    <row r="9" spans="1:70" ht="61.2" thickBot="1" x14ac:dyDescent="1.05">
      <c r="A9" s="12"/>
      <c r="B9" s="37"/>
      <c r="C9" s="17"/>
      <c r="D9" s="38"/>
      <c r="E9" s="38"/>
      <c r="F9" s="18"/>
      <c r="G9" s="13"/>
      <c r="H9" s="16"/>
      <c r="I9" s="16"/>
      <c r="J9" s="16"/>
      <c r="K9" s="13"/>
      <c r="L9" s="16"/>
      <c r="M9" s="16"/>
      <c r="N9" s="16"/>
      <c r="O9" s="13"/>
      <c r="P9" s="16"/>
      <c r="Q9" s="16"/>
      <c r="R9" s="16"/>
      <c r="S9" s="39"/>
      <c r="T9" s="16"/>
      <c r="U9" s="16"/>
      <c r="V9" s="16"/>
      <c r="W9" s="13"/>
      <c r="X9" s="20"/>
      <c r="Y9" s="40"/>
      <c r="Z9" s="21"/>
      <c r="AA9" s="13"/>
      <c r="AB9" s="16"/>
      <c r="AC9" s="30"/>
      <c r="AD9" s="24"/>
      <c r="AE9" s="13"/>
      <c r="AF9" s="13"/>
      <c r="AG9" s="13"/>
      <c r="AH9" s="13"/>
      <c r="AI9" s="13"/>
      <c r="AJ9" s="13"/>
      <c r="AK9" s="13"/>
      <c r="AL9" s="13"/>
      <c r="AM9" s="41"/>
      <c r="AN9" s="41"/>
      <c r="AO9" s="41"/>
      <c r="AP9" s="41"/>
      <c r="AQ9" s="30"/>
      <c r="AR9" s="42"/>
      <c r="AS9" s="43"/>
      <c r="AT9" s="26"/>
      <c r="AU9" s="29"/>
      <c r="AV9" s="13"/>
      <c r="AW9" s="30"/>
      <c r="AX9" s="24"/>
      <c r="AY9" s="44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45"/>
      <c r="BM9" s="13"/>
      <c r="BN9" s="40"/>
      <c r="BO9" s="13"/>
      <c r="BP9" s="13"/>
      <c r="BQ9" s="18"/>
      <c r="BR9" s="30"/>
    </row>
    <row r="10" spans="1:70" ht="45" customHeight="1" x14ac:dyDescent="0.75">
      <c r="A10" s="46"/>
      <c r="B10" s="47"/>
      <c r="C10" s="610" t="s">
        <v>72</v>
      </c>
      <c r="D10" s="45"/>
      <c r="E10" s="613" t="s">
        <v>73</v>
      </c>
      <c r="F10" s="48"/>
      <c r="G10" s="49"/>
      <c r="H10" s="687" t="s">
        <v>74</v>
      </c>
      <c r="I10" s="544"/>
      <c r="J10" s="545"/>
      <c r="K10" s="50"/>
      <c r="L10" s="687" t="s">
        <v>75</v>
      </c>
      <c r="M10" s="544"/>
      <c r="N10" s="545"/>
      <c r="O10" s="50"/>
      <c r="P10" s="687" t="s">
        <v>76</v>
      </c>
      <c r="Q10" s="544"/>
      <c r="R10" s="545"/>
      <c r="S10" s="51"/>
      <c r="T10" s="687" t="s">
        <v>77</v>
      </c>
      <c r="U10" s="544"/>
      <c r="V10" s="545"/>
      <c r="W10" s="30"/>
      <c r="X10" s="688" t="s">
        <v>78</v>
      </c>
      <c r="Y10" s="52"/>
      <c r="Z10" s="689" t="s">
        <v>79</v>
      </c>
      <c r="AA10" s="53"/>
      <c r="AB10" s="689" t="s">
        <v>80</v>
      </c>
      <c r="AC10" s="49"/>
      <c r="AD10" s="54"/>
      <c r="AE10" s="55"/>
      <c r="AF10" s="676" t="s">
        <v>81</v>
      </c>
      <c r="AG10" s="677"/>
      <c r="AH10" s="678"/>
      <c r="AI10" s="414"/>
      <c r="AJ10" s="676" t="s">
        <v>82</v>
      </c>
      <c r="AK10" s="677"/>
      <c r="AL10" s="678"/>
      <c r="AM10" s="415"/>
      <c r="AN10" s="676" t="s">
        <v>223</v>
      </c>
      <c r="AO10" s="677"/>
      <c r="AP10" s="678"/>
      <c r="AQ10" s="30"/>
      <c r="AR10" s="675" t="s">
        <v>78</v>
      </c>
      <c r="AS10" s="57"/>
      <c r="AT10" s="675" t="s">
        <v>79</v>
      </c>
      <c r="AU10" s="58"/>
      <c r="AV10" s="675" t="s">
        <v>80</v>
      </c>
      <c r="AW10" s="46"/>
      <c r="AX10" s="54"/>
      <c r="AY10" s="59"/>
      <c r="AZ10" s="676" t="s">
        <v>83</v>
      </c>
      <c r="BA10" s="677"/>
      <c r="BB10" s="678"/>
      <c r="BC10" s="60"/>
      <c r="BD10" s="583" t="s">
        <v>84</v>
      </c>
      <c r="BE10" s="667"/>
      <c r="BF10" s="668"/>
      <c r="BG10" s="60"/>
      <c r="BH10" s="583" t="s">
        <v>85</v>
      </c>
      <c r="BI10" s="667"/>
      <c r="BJ10" s="668"/>
      <c r="BK10" s="61"/>
      <c r="BL10" s="675" t="s">
        <v>78</v>
      </c>
      <c r="BM10" s="57"/>
      <c r="BN10" s="675" t="s">
        <v>79</v>
      </c>
      <c r="BO10" s="58"/>
      <c r="BP10" s="675" t="s">
        <v>80</v>
      </c>
      <c r="BQ10" s="62"/>
      <c r="BR10" s="49"/>
    </row>
    <row r="11" spans="1:70" ht="45" x14ac:dyDescent="0.75">
      <c r="A11" s="46"/>
      <c r="B11" s="47"/>
      <c r="C11" s="685"/>
      <c r="D11" s="63"/>
      <c r="E11" s="685"/>
      <c r="F11" s="62"/>
      <c r="G11" s="49"/>
      <c r="H11" s="546"/>
      <c r="I11" s="522"/>
      <c r="J11" s="547"/>
      <c r="K11" s="64"/>
      <c r="L11" s="546"/>
      <c r="M11" s="522"/>
      <c r="N11" s="547"/>
      <c r="O11" s="64"/>
      <c r="P11" s="546"/>
      <c r="Q11" s="522"/>
      <c r="R11" s="547"/>
      <c r="S11" s="51"/>
      <c r="T11" s="546"/>
      <c r="U11" s="522"/>
      <c r="V11" s="547"/>
      <c r="W11" s="30"/>
      <c r="X11" s="635"/>
      <c r="Y11" s="52"/>
      <c r="Z11" s="635"/>
      <c r="AA11" s="53"/>
      <c r="AB11" s="635"/>
      <c r="AC11" s="49"/>
      <c r="AD11" s="54"/>
      <c r="AE11" s="55"/>
      <c r="AF11" s="679"/>
      <c r="AG11" s="680"/>
      <c r="AH11" s="681"/>
      <c r="AI11" s="416"/>
      <c r="AJ11" s="679"/>
      <c r="AK11" s="680"/>
      <c r="AL11" s="681"/>
      <c r="AM11" s="415"/>
      <c r="AN11" s="679"/>
      <c r="AO11" s="680"/>
      <c r="AP11" s="681"/>
      <c r="AQ11" s="30"/>
      <c r="AR11" s="510"/>
      <c r="AS11" s="57"/>
      <c r="AT11" s="510"/>
      <c r="AU11" s="58"/>
      <c r="AV11" s="510"/>
      <c r="AW11" s="46"/>
      <c r="AX11" s="54"/>
      <c r="AY11" s="59"/>
      <c r="AZ11" s="679"/>
      <c r="BA11" s="680"/>
      <c r="BB11" s="681"/>
      <c r="BC11" s="60"/>
      <c r="BD11" s="669"/>
      <c r="BE11" s="670"/>
      <c r="BF11" s="671"/>
      <c r="BG11" s="60"/>
      <c r="BH11" s="669"/>
      <c r="BI11" s="670"/>
      <c r="BJ11" s="671"/>
      <c r="BK11" s="61"/>
      <c r="BL11" s="510"/>
      <c r="BM11" s="57"/>
      <c r="BN11" s="510"/>
      <c r="BO11" s="58"/>
      <c r="BP11" s="510"/>
      <c r="BQ11" s="62"/>
      <c r="BR11" s="49"/>
    </row>
    <row r="12" spans="1:70" ht="45.6" thickBot="1" x14ac:dyDescent="0.8">
      <c r="A12" s="46"/>
      <c r="B12" s="47"/>
      <c r="C12" s="686"/>
      <c r="D12" s="63"/>
      <c r="E12" s="686"/>
      <c r="F12" s="62"/>
      <c r="G12" s="49"/>
      <c r="H12" s="548"/>
      <c r="I12" s="549"/>
      <c r="J12" s="550"/>
      <c r="K12" s="64"/>
      <c r="L12" s="548"/>
      <c r="M12" s="549"/>
      <c r="N12" s="550"/>
      <c r="O12" s="64"/>
      <c r="P12" s="548"/>
      <c r="Q12" s="549"/>
      <c r="R12" s="550"/>
      <c r="S12" s="51"/>
      <c r="T12" s="548"/>
      <c r="U12" s="549"/>
      <c r="V12" s="550"/>
      <c r="W12" s="30"/>
      <c r="X12" s="641"/>
      <c r="Y12" s="52"/>
      <c r="Z12" s="641"/>
      <c r="AA12" s="53"/>
      <c r="AB12" s="641"/>
      <c r="AC12" s="49"/>
      <c r="AD12" s="54"/>
      <c r="AE12" s="55"/>
      <c r="AF12" s="682"/>
      <c r="AG12" s="683"/>
      <c r="AH12" s="684"/>
      <c r="AI12" s="416"/>
      <c r="AJ12" s="682"/>
      <c r="AK12" s="683"/>
      <c r="AL12" s="684"/>
      <c r="AM12" s="415"/>
      <c r="AN12" s="682"/>
      <c r="AO12" s="683"/>
      <c r="AP12" s="684"/>
      <c r="AQ12" s="30"/>
      <c r="AR12" s="511"/>
      <c r="AS12" s="57"/>
      <c r="AT12" s="511"/>
      <c r="AU12" s="58"/>
      <c r="AV12" s="511"/>
      <c r="AW12" s="46"/>
      <c r="AX12" s="54"/>
      <c r="AY12" s="59"/>
      <c r="AZ12" s="682"/>
      <c r="BA12" s="683"/>
      <c r="BB12" s="684"/>
      <c r="BC12" s="60"/>
      <c r="BD12" s="672"/>
      <c r="BE12" s="673"/>
      <c r="BF12" s="674"/>
      <c r="BG12" s="60"/>
      <c r="BH12" s="672"/>
      <c r="BI12" s="673"/>
      <c r="BJ12" s="674"/>
      <c r="BK12" s="61"/>
      <c r="BL12" s="511"/>
      <c r="BM12" s="57"/>
      <c r="BN12" s="511"/>
      <c r="BO12" s="58"/>
      <c r="BP12" s="511"/>
      <c r="BQ12" s="62"/>
      <c r="BR12" s="49"/>
    </row>
    <row r="13" spans="1:70" ht="61.2" thickBot="1" x14ac:dyDescent="1.05">
      <c r="A13" s="12"/>
      <c r="B13" s="14"/>
      <c r="C13" s="66"/>
      <c r="D13" s="38"/>
      <c r="E13" s="67"/>
      <c r="F13" s="18"/>
      <c r="G13" s="13"/>
      <c r="H13" s="68"/>
      <c r="I13" s="68"/>
      <c r="J13" s="68"/>
      <c r="K13" s="68"/>
      <c r="L13" s="68"/>
      <c r="M13" s="68"/>
      <c r="N13" s="68"/>
      <c r="O13" s="68"/>
      <c r="P13" s="69"/>
      <c r="Q13" s="69"/>
      <c r="R13" s="69"/>
      <c r="S13" s="70"/>
      <c r="T13" s="69"/>
      <c r="U13" s="69"/>
      <c r="V13" s="69"/>
      <c r="W13" s="13"/>
      <c r="X13" s="20"/>
      <c r="Y13" s="40"/>
      <c r="Z13" s="21"/>
      <c r="AA13" s="13"/>
      <c r="AB13" s="16"/>
      <c r="AC13" s="30"/>
      <c r="AD13" s="24"/>
      <c r="AE13" s="13"/>
      <c r="AF13" s="71"/>
      <c r="AG13" s="71"/>
      <c r="AH13" s="71"/>
      <c r="AI13" s="13"/>
      <c r="AJ13" s="71"/>
      <c r="AK13" s="71"/>
      <c r="AL13" s="71"/>
      <c r="AM13" s="2"/>
      <c r="AN13" s="2"/>
      <c r="AO13" s="2"/>
      <c r="AP13" s="2"/>
      <c r="AQ13" s="30"/>
      <c r="AR13" s="72"/>
      <c r="AS13" s="73"/>
      <c r="AT13" s="26"/>
      <c r="AU13" s="29"/>
      <c r="AV13" s="71"/>
      <c r="AW13" s="30"/>
      <c r="AX13" s="24"/>
      <c r="AY13" s="44"/>
      <c r="AZ13" s="71"/>
      <c r="BA13" s="71"/>
      <c r="BB13" s="71"/>
      <c r="BC13" s="13"/>
      <c r="BD13" s="71"/>
      <c r="BE13" s="71"/>
      <c r="BF13" s="71"/>
      <c r="BG13" s="13"/>
      <c r="BH13" s="71"/>
      <c r="BI13" s="71"/>
      <c r="BJ13" s="71"/>
      <c r="BK13" s="13"/>
      <c r="BL13" s="74"/>
      <c r="BM13" s="13"/>
      <c r="BN13" s="75"/>
      <c r="BO13" s="13"/>
      <c r="BP13" s="71"/>
      <c r="BQ13" s="18"/>
      <c r="BR13" s="49"/>
    </row>
    <row r="14" spans="1:70" ht="89.25" customHeight="1" x14ac:dyDescent="1">
      <c r="A14" s="12"/>
      <c r="B14" s="14"/>
      <c r="C14" s="697" t="s">
        <v>52</v>
      </c>
      <c r="D14" s="76"/>
      <c r="E14" s="658" t="e" cm="1">
        <f t="array" ref="E14">_xlfn.IFS('ASIGNACIÓN ASIGNATURAS'!$B$3="PREGRADO",'ASIGNACIÓN ASIGNATURAS'!C13,'ASIGNACIÓN ASIGNATURAS'!$B$3="POSGRADO",'ASIGNACIÓN ASIGNATURAS'!C35)</f>
        <v>#N/A</v>
      </c>
      <c r="F14" s="18"/>
      <c r="G14" s="642">
        <f>COUNTIF($E$14:E14,E14)</f>
        <v>1</v>
      </c>
      <c r="H14" s="553" t="e">
        <f>$G14&amp;$C$14&amp;$E14&amp;H$10</f>
        <v>#N/A</v>
      </c>
      <c r="I14" s="627"/>
      <c r="J14" s="628"/>
      <c r="K14" s="68"/>
      <c r="L14" s="553" t="e">
        <f>$G14&amp;$C$14&amp;$E14&amp;L$10</f>
        <v>#N/A</v>
      </c>
      <c r="M14" s="627"/>
      <c r="N14" s="628"/>
      <c r="O14" s="70"/>
      <c r="P14" s="553" t="e">
        <f>$G14&amp;$C$14&amp;$E14&amp;P$10</f>
        <v>#N/A</v>
      </c>
      <c r="Q14" s="627"/>
      <c r="R14" s="628"/>
      <c r="S14" s="70"/>
      <c r="T14" s="553" t="e">
        <f>$G14&amp;$C$14&amp;$E14&amp;T$10</f>
        <v>#N/A</v>
      </c>
      <c r="U14" s="627"/>
      <c r="V14" s="628"/>
      <c r="W14" s="30"/>
      <c r="X14" s="624" t="e">
        <f>'PLANTILLA MALLA PREGRADO'!J17+'PLANTILLA MALLA PREGRADO'!N17+'PLANTILLA MALLA PREGRADO'!R17+'PLANTILLA MALLA PREGRADO'!V17</f>
        <v>#N/A</v>
      </c>
      <c r="Y14" s="77"/>
      <c r="Z14" s="666"/>
      <c r="AA14" s="41"/>
      <c r="AB14" s="666"/>
      <c r="AC14" s="30"/>
      <c r="AD14" s="24"/>
      <c r="AE14" s="78"/>
      <c r="AF14" s="553" t="e">
        <f>$G14&amp;$C$14&amp;$E14&amp;AF$10</f>
        <v>#N/A</v>
      </c>
      <c r="AG14" s="627"/>
      <c r="AH14" s="628"/>
      <c r="AI14" s="68"/>
      <c r="AJ14" s="553" t="e">
        <f>$G14&amp;$C$14&amp;$E14&amp;AJ$10</f>
        <v>#N/A</v>
      </c>
      <c r="AK14" s="627"/>
      <c r="AL14" s="628"/>
      <c r="AM14" s="70"/>
      <c r="AN14" s="553" t="e">
        <f>$G14&amp;$C$14&amp;$E14&amp;AN$10</f>
        <v>#N/A</v>
      </c>
      <c r="AO14" s="627"/>
      <c r="AP14" s="628"/>
      <c r="AQ14" s="30"/>
      <c r="AR14" s="624" t="e">
        <f>'PLANTILLA MALLA PREGRADO'!AD17+'PLANTILLA MALLA PREGRADO'!AH17+'PLANTILLA MALLA PREGRADO'!AL17+'PLANTILLA MALLA PREGRADO'!AP17</f>
        <v>#N/A</v>
      </c>
      <c r="AS14" s="79"/>
      <c r="AT14" s="666"/>
      <c r="AU14" s="41"/>
      <c r="AV14" s="666"/>
      <c r="AW14" s="30"/>
      <c r="AX14" s="80"/>
      <c r="AY14" s="81"/>
      <c r="AZ14" s="553" t="e">
        <f>$G14&amp;$C$14&amp;$E14&amp;AZ$10</f>
        <v>#N/A</v>
      </c>
      <c r="BA14" s="627"/>
      <c r="BB14" s="628"/>
      <c r="BC14" s="68"/>
      <c r="BD14" s="553" t="e">
        <f>$G14&amp;$C$14&amp;$E14&amp;BD$10</f>
        <v>#N/A</v>
      </c>
      <c r="BE14" s="627"/>
      <c r="BF14" s="628"/>
      <c r="BG14" s="70"/>
      <c r="BH14" s="553" t="e">
        <f>$G14&amp;$C$14&amp;$E14&amp;BH$10</f>
        <v>#N/A</v>
      </c>
      <c r="BI14" s="627"/>
      <c r="BJ14" s="628"/>
      <c r="BK14" s="30"/>
      <c r="BL14" s="624" t="e">
        <f>'PLANTILLA MALLA PREGRADO'!AX17+'PLANTILLA MALLA PREGRADO'!BB17+'PLANTILLA MALLA PREGRADO'!BF17+'PLANTILLA MALLA PREGRADO'!BJ17</f>
        <v>#N/A</v>
      </c>
      <c r="BM14" s="41"/>
      <c r="BN14" s="666"/>
      <c r="BO14" s="41"/>
      <c r="BP14" s="666"/>
      <c r="BQ14" s="18"/>
      <c r="BR14" s="49"/>
    </row>
    <row r="15" spans="1:70" ht="60.45" customHeight="1" x14ac:dyDescent="1">
      <c r="A15" s="12"/>
      <c r="B15" s="14"/>
      <c r="C15" s="568"/>
      <c r="D15" s="76"/>
      <c r="E15" s="692"/>
      <c r="F15" s="18"/>
      <c r="G15" s="643"/>
      <c r="H15" s="629" t="s">
        <v>224</v>
      </c>
      <c r="I15" s="522"/>
      <c r="J15" s="630"/>
      <c r="K15" s="68"/>
      <c r="L15" s="629" t="s">
        <v>224</v>
      </c>
      <c r="M15" s="522"/>
      <c r="N15" s="630"/>
      <c r="O15" s="82"/>
      <c r="P15" s="629" t="s">
        <v>224</v>
      </c>
      <c r="Q15" s="522"/>
      <c r="R15" s="630"/>
      <c r="S15" s="70"/>
      <c r="T15" s="629" t="s">
        <v>224</v>
      </c>
      <c r="U15" s="522"/>
      <c r="V15" s="630"/>
      <c r="W15" s="30"/>
      <c r="X15" s="625"/>
      <c r="Y15" s="77"/>
      <c r="Z15" s="666"/>
      <c r="AA15" s="41"/>
      <c r="AB15" s="666"/>
      <c r="AC15" s="30"/>
      <c r="AD15" s="24"/>
      <c r="AE15" s="78"/>
      <c r="AF15" s="629" t="s">
        <v>224</v>
      </c>
      <c r="AG15" s="522"/>
      <c r="AH15" s="630"/>
      <c r="AI15" s="68"/>
      <c r="AJ15" s="629" t="s">
        <v>224</v>
      </c>
      <c r="AK15" s="522"/>
      <c r="AL15" s="630"/>
      <c r="AM15" s="82"/>
      <c r="AN15" s="629" t="s">
        <v>224</v>
      </c>
      <c r="AO15" s="522"/>
      <c r="AP15" s="630"/>
      <c r="AQ15" s="30"/>
      <c r="AR15" s="625"/>
      <c r="AS15" s="79"/>
      <c r="AT15" s="666"/>
      <c r="AU15" s="41"/>
      <c r="AV15" s="666"/>
      <c r="AW15" s="30"/>
      <c r="AX15" s="80"/>
      <c r="AY15" s="81"/>
      <c r="AZ15" s="629" t="s">
        <v>224</v>
      </c>
      <c r="BA15" s="522"/>
      <c r="BB15" s="630"/>
      <c r="BC15" s="68"/>
      <c r="BD15" s="629" t="s">
        <v>224</v>
      </c>
      <c r="BE15" s="522"/>
      <c r="BF15" s="630"/>
      <c r="BG15" s="82"/>
      <c r="BH15" s="629" t="s">
        <v>224</v>
      </c>
      <c r="BI15" s="522"/>
      <c r="BJ15" s="630"/>
      <c r="BK15" s="30"/>
      <c r="BL15" s="625"/>
      <c r="BM15" s="41"/>
      <c r="BN15" s="666"/>
      <c r="BO15" s="41"/>
      <c r="BP15" s="666"/>
      <c r="BQ15" s="18"/>
      <c r="BR15" s="49"/>
    </row>
    <row r="16" spans="1:70" ht="60.6" x14ac:dyDescent="1">
      <c r="A16" s="12"/>
      <c r="B16" s="14"/>
      <c r="C16" s="568"/>
      <c r="D16" s="76"/>
      <c r="E16" s="692"/>
      <c r="F16" s="18"/>
      <c r="G16" s="643"/>
      <c r="H16" s="631"/>
      <c r="I16" s="632"/>
      <c r="J16" s="633"/>
      <c r="K16" s="68"/>
      <c r="L16" s="631"/>
      <c r="M16" s="632"/>
      <c r="N16" s="633"/>
      <c r="O16" s="82"/>
      <c r="P16" s="631"/>
      <c r="Q16" s="632"/>
      <c r="R16" s="633"/>
      <c r="S16" s="70"/>
      <c r="T16" s="631"/>
      <c r="U16" s="632"/>
      <c r="V16" s="633"/>
      <c r="W16" s="30"/>
      <c r="X16" s="625"/>
      <c r="Y16" s="77"/>
      <c r="Z16" s="666"/>
      <c r="AA16" s="41"/>
      <c r="AB16" s="666"/>
      <c r="AC16" s="30"/>
      <c r="AD16" s="24"/>
      <c r="AE16" s="78"/>
      <c r="AF16" s="631"/>
      <c r="AG16" s="632"/>
      <c r="AH16" s="633"/>
      <c r="AI16" s="68"/>
      <c r="AJ16" s="631"/>
      <c r="AK16" s="632"/>
      <c r="AL16" s="633"/>
      <c r="AM16" s="82"/>
      <c r="AN16" s="631"/>
      <c r="AO16" s="632"/>
      <c r="AP16" s="633"/>
      <c r="AQ16" s="30"/>
      <c r="AR16" s="625"/>
      <c r="AS16" s="79"/>
      <c r="AT16" s="666"/>
      <c r="AU16" s="41"/>
      <c r="AV16" s="666"/>
      <c r="AW16" s="30"/>
      <c r="AX16" s="80"/>
      <c r="AY16" s="81"/>
      <c r="AZ16" s="631"/>
      <c r="BA16" s="632"/>
      <c r="BB16" s="633"/>
      <c r="BC16" s="68"/>
      <c r="BD16" s="631"/>
      <c r="BE16" s="632"/>
      <c r="BF16" s="633"/>
      <c r="BG16" s="82"/>
      <c r="BH16" s="631"/>
      <c r="BI16" s="632"/>
      <c r="BJ16" s="633"/>
      <c r="BK16" s="30"/>
      <c r="BL16" s="625"/>
      <c r="BM16" s="41"/>
      <c r="BN16" s="666"/>
      <c r="BO16" s="41"/>
      <c r="BP16" s="666"/>
      <c r="BQ16" s="18"/>
      <c r="BR16" s="49"/>
    </row>
    <row r="17" spans="1:70" ht="32.25" customHeight="1" thickBot="1" x14ac:dyDescent="1.05">
      <c r="A17" s="12"/>
      <c r="B17" s="14"/>
      <c r="C17" s="568"/>
      <c r="D17" s="76"/>
      <c r="E17" s="693"/>
      <c r="F17" s="18"/>
      <c r="G17" s="644"/>
      <c r="H17" s="83"/>
      <c r="I17" s="84"/>
      <c r="J17" s="85"/>
      <c r="K17" s="68"/>
      <c r="L17" s="83"/>
      <c r="M17" s="84"/>
      <c r="N17" s="85"/>
      <c r="O17" s="68"/>
      <c r="P17" s="83"/>
      <c r="Q17" s="84"/>
      <c r="R17" s="85"/>
      <c r="S17" s="70"/>
      <c r="T17" s="83"/>
      <c r="U17" s="84"/>
      <c r="V17" s="85"/>
      <c r="W17" s="12"/>
      <c r="X17" s="626"/>
      <c r="Y17" s="77"/>
      <c r="Z17" s="666"/>
      <c r="AA17" s="41"/>
      <c r="AB17" s="666"/>
      <c r="AC17" s="30"/>
      <c r="AD17" s="24"/>
      <c r="AE17" s="78"/>
      <c r="AF17" s="83"/>
      <c r="AG17" s="84"/>
      <c r="AH17" s="85"/>
      <c r="AI17" s="68"/>
      <c r="AJ17" s="83"/>
      <c r="AK17" s="84"/>
      <c r="AL17" s="85"/>
      <c r="AM17" s="68"/>
      <c r="AN17" s="83"/>
      <c r="AO17" s="84"/>
      <c r="AP17" s="85"/>
      <c r="AQ17" s="30"/>
      <c r="AR17" s="626"/>
      <c r="AS17" s="79"/>
      <c r="AT17" s="666"/>
      <c r="AU17" s="41"/>
      <c r="AV17" s="666"/>
      <c r="AW17" s="30"/>
      <c r="AX17" s="80"/>
      <c r="AY17" s="81"/>
      <c r="AZ17" s="83"/>
      <c r="BA17" s="84"/>
      <c r="BB17" s="85"/>
      <c r="BC17" s="68"/>
      <c r="BD17" s="83"/>
      <c r="BE17" s="84"/>
      <c r="BF17" s="85"/>
      <c r="BG17" s="68"/>
      <c r="BH17" s="83"/>
      <c r="BI17" s="84"/>
      <c r="BJ17" s="85"/>
      <c r="BK17" s="30"/>
      <c r="BL17" s="626"/>
      <c r="BM17" s="41"/>
      <c r="BN17" s="666"/>
      <c r="BO17" s="41"/>
      <c r="BP17" s="666"/>
      <c r="BQ17" s="18"/>
      <c r="BR17" s="49"/>
    </row>
    <row r="18" spans="1:70" ht="61.2" thickBot="1" x14ac:dyDescent="1.05">
      <c r="A18" s="12"/>
      <c r="B18" s="14"/>
      <c r="C18" s="568"/>
      <c r="D18" s="76"/>
      <c r="E18" s="426"/>
      <c r="F18" s="18"/>
      <c r="G18" s="30"/>
      <c r="H18" s="87"/>
      <c r="I18" s="69"/>
      <c r="J18" s="69"/>
      <c r="K18" s="68"/>
      <c r="L18" s="69"/>
      <c r="M18" s="69"/>
      <c r="N18" s="69"/>
      <c r="O18" s="68"/>
      <c r="P18" s="88"/>
      <c r="Q18" s="88"/>
      <c r="R18" s="88"/>
      <c r="S18" s="70"/>
      <c r="T18" s="87"/>
      <c r="U18" s="69"/>
      <c r="V18" s="69"/>
      <c r="W18" s="30"/>
      <c r="X18" s="441"/>
      <c r="Y18" s="77"/>
      <c r="Z18" s="666"/>
      <c r="AA18" s="41"/>
      <c r="AB18" s="666"/>
      <c r="AC18" s="30"/>
      <c r="AD18" s="24"/>
      <c r="AE18" s="13"/>
      <c r="AF18" s="87"/>
      <c r="AG18" s="69"/>
      <c r="AH18" s="69"/>
      <c r="AI18" s="68"/>
      <c r="AJ18" s="69"/>
      <c r="AK18" s="69"/>
      <c r="AL18" s="69"/>
      <c r="AM18" s="68"/>
      <c r="AN18" s="88"/>
      <c r="AO18" s="88"/>
      <c r="AP18" s="88"/>
      <c r="AQ18" s="12"/>
      <c r="AR18" s="441"/>
      <c r="AS18" s="79"/>
      <c r="AT18" s="666"/>
      <c r="AU18" s="41"/>
      <c r="AV18" s="666"/>
      <c r="AW18" s="30"/>
      <c r="AX18" s="24"/>
      <c r="AY18" s="44"/>
      <c r="AZ18" s="87"/>
      <c r="BA18" s="69"/>
      <c r="BB18" s="69"/>
      <c r="BC18" s="68"/>
      <c r="BD18" s="69"/>
      <c r="BE18" s="69"/>
      <c r="BF18" s="69"/>
      <c r="BG18" s="68"/>
      <c r="BH18" s="88"/>
      <c r="BI18" s="88"/>
      <c r="BJ18" s="88"/>
      <c r="BK18" s="30"/>
      <c r="BL18" s="441"/>
      <c r="BM18" s="41"/>
      <c r="BN18" s="666"/>
      <c r="BO18" s="41"/>
      <c r="BP18" s="666"/>
      <c r="BQ18" s="18"/>
      <c r="BR18" s="49"/>
    </row>
    <row r="19" spans="1:70" ht="115.5" customHeight="1" x14ac:dyDescent="1">
      <c r="A19" s="12"/>
      <c r="B19" s="14"/>
      <c r="C19" s="568"/>
      <c r="D19" s="76"/>
      <c r="E19" s="658" t="e" cm="1">
        <f t="array" ref="E19">_xlfn.IFS('ASIGNACIÓN ASIGNATURAS'!$B$3="PREGRADO",'ASIGNACIÓN ASIGNATURAS'!C14,'ASIGNACIÓN ASIGNATURAS'!$B$3="POSGRADO",'ASIGNACIÓN ASIGNATURAS'!C36)</f>
        <v>#N/A</v>
      </c>
      <c r="F19" s="18"/>
      <c r="G19" s="642">
        <f>COUNTIF($E$14:E22,E19)</f>
        <v>2</v>
      </c>
      <c r="H19" s="553" t="e">
        <f>$G19&amp;$C$14&amp;$E19&amp;H$10</f>
        <v>#N/A</v>
      </c>
      <c r="I19" s="627"/>
      <c r="J19" s="628"/>
      <c r="K19" s="68"/>
      <c r="L19" s="553" t="e">
        <f>$G19&amp;$C$14&amp;$E19&amp;L$10</f>
        <v>#N/A</v>
      </c>
      <c r="M19" s="627"/>
      <c r="N19" s="628"/>
      <c r="O19" s="70"/>
      <c r="P19" s="553" t="e">
        <f>$G19&amp;$C$14&amp;$E19&amp;P$10</f>
        <v>#N/A</v>
      </c>
      <c r="Q19" s="627"/>
      <c r="R19" s="628"/>
      <c r="S19" s="70"/>
      <c r="T19" s="553" t="e">
        <f>$G19&amp;$C$14&amp;$E19&amp;T$10</f>
        <v>#N/A</v>
      </c>
      <c r="U19" s="627"/>
      <c r="V19" s="628"/>
      <c r="W19" s="30"/>
      <c r="X19" s="624" t="e">
        <f>'PLANTILLA MALLA PREGRADO'!J22+'PLANTILLA MALLA PREGRADO'!N22+'PLANTILLA MALLA PREGRADO'!R22+'PLANTILLA MALLA PREGRADO'!V22</f>
        <v>#N/A</v>
      </c>
      <c r="Y19" s="77"/>
      <c r="Z19" s="666"/>
      <c r="AA19" s="41"/>
      <c r="AB19" s="666"/>
      <c r="AC19" s="30"/>
      <c r="AD19" s="24"/>
      <c r="AE19" s="90"/>
      <c r="AF19" s="553" t="e">
        <f>$G19&amp;$C$14&amp;$E19&amp;AF$10</f>
        <v>#N/A</v>
      </c>
      <c r="AG19" s="627"/>
      <c r="AH19" s="628"/>
      <c r="AI19" s="68"/>
      <c r="AJ19" s="553" t="e">
        <f>$G19&amp;$C$14&amp;$E19&amp;AJ$10</f>
        <v>#N/A</v>
      </c>
      <c r="AK19" s="627"/>
      <c r="AL19" s="628"/>
      <c r="AM19" s="70"/>
      <c r="AN19" s="553" t="e">
        <f>$G19&amp;$C$14&amp;$E19&amp;AN$10</f>
        <v>#N/A</v>
      </c>
      <c r="AO19" s="627"/>
      <c r="AP19" s="628"/>
      <c r="AQ19" s="12"/>
      <c r="AR19" s="624" t="e">
        <f>'PLANTILLA MALLA PREGRADO'!AD22+'PLANTILLA MALLA PREGRADO'!AH22+'PLANTILLA MALLA PREGRADO'!AL22+'PLANTILLA MALLA PREGRADO'!AP22</f>
        <v>#N/A</v>
      </c>
      <c r="AS19" s="79"/>
      <c r="AT19" s="666"/>
      <c r="AU19" s="41"/>
      <c r="AV19" s="666"/>
      <c r="AW19" s="30"/>
      <c r="AX19" s="91"/>
      <c r="AY19" s="92"/>
      <c r="AZ19" s="553" t="e">
        <f>$G19&amp;$C$14&amp;$E19&amp;AZ$10</f>
        <v>#N/A</v>
      </c>
      <c r="BA19" s="627"/>
      <c r="BB19" s="628"/>
      <c r="BC19" s="68"/>
      <c r="BD19" s="553" t="e">
        <f>$G19&amp;$C$14&amp;$E19&amp;BD$10</f>
        <v>#N/A</v>
      </c>
      <c r="BE19" s="627"/>
      <c r="BF19" s="628"/>
      <c r="BG19" s="70"/>
      <c r="BH19" s="553" t="e">
        <f>$G19&amp;$C$14&amp;$E19&amp;BH$10</f>
        <v>#N/A</v>
      </c>
      <c r="BI19" s="627"/>
      <c r="BJ19" s="628"/>
      <c r="BK19" s="30"/>
      <c r="BL19" s="624" t="e">
        <f>'PLANTILLA MALLA PREGRADO'!AX22+'PLANTILLA MALLA PREGRADO'!BB22+'PLANTILLA MALLA PREGRADO'!BF22+'PLANTILLA MALLA PREGRADO'!BJ22</f>
        <v>#N/A</v>
      </c>
      <c r="BM19" s="41"/>
      <c r="BN19" s="666"/>
      <c r="BO19" s="41"/>
      <c r="BP19" s="666"/>
      <c r="BQ19" s="18"/>
      <c r="BR19" s="49"/>
    </row>
    <row r="20" spans="1:70" ht="60.45" customHeight="1" x14ac:dyDescent="1">
      <c r="A20" s="12"/>
      <c r="B20" s="14"/>
      <c r="C20" s="568"/>
      <c r="D20" s="76"/>
      <c r="E20" s="692"/>
      <c r="F20" s="18"/>
      <c r="G20" s="643"/>
      <c r="H20" s="629" t="s">
        <v>224</v>
      </c>
      <c r="I20" s="522"/>
      <c r="J20" s="630"/>
      <c r="K20" s="68"/>
      <c r="L20" s="629" t="s">
        <v>224</v>
      </c>
      <c r="M20" s="522"/>
      <c r="N20" s="630"/>
      <c r="O20" s="82"/>
      <c r="P20" s="629" t="s">
        <v>224</v>
      </c>
      <c r="Q20" s="522"/>
      <c r="R20" s="630"/>
      <c r="S20" s="70"/>
      <c r="T20" s="629" t="s">
        <v>224</v>
      </c>
      <c r="U20" s="522"/>
      <c r="V20" s="630"/>
      <c r="W20" s="30"/>
      <c r="X20" s="625"/>
      <c r="Y20" s="77"/>
      <c r="Z20" s="666"/>
      <c r="AA20" s="41"/>
      <c r="AB20" s="666"/>
      <c r="AC20" s="30"/>
      <c r="AD20" s="24"/>
      <c r="AE20" s="93"/>
      <c r="AF20" s="629" t="s">
        <v>224</v>
      </c>
      <c r="AG20" s="522"/>
      <c r="AH20" s="630"/>
      <c r="AI20" s="68"/>
      <c r="AJ20" s="629" t="s">
        <v>224</v>
      </c>
      <c r="AK20" s="522"/>
      <c r="AL20" s="630"/>
      <c r="AM20" s="82"/>
      <c r="AN20" s="629" t="s">
        <v>224</v>
      </c>
      <c r="AO20" s="522"/>
      <c r="AP20" s="630"/>
      <c r="AQ20" s="12"/>
      <c r="AR20" s="625"/>
      <c r="AS20" s="79"/>
      <c r="AT20" s="666"/>
      <c r="AU20" s="41"/>
      <c r="AV20" s="666"/>
      <c r="AW20" s="30"/>
      <c r="AX20" s="24"/>
      <c r="AY20" s="92"/>
      <c r="AZ20" s="629" t="s">
        <v>224</v>
      </c>
      <c r="BA20" s="522"/>
      <c r="BB20" s="630"/>
      <c r="BC20" s="68"/>
      <c r="BD20" s="629" t="s">
        <v>224</v>
      </c>
      <c r="BE20" s="522"/>
      <c r="BF20" s="630"/>
      <c r="BG20" s="82"/>
      <c r="BH20" s="629" t="s">
        <v>224</v>
      </c>
      <c r="BI20" s="522"/>
      <c r="BJ20" s="630"/>
      <c r="BK20" s="30"/>
      <c r="BL20" s="625"/>
      <c r="BM20" s="41"/>
      <c r="BN20" s="666"/>
      <c r="BO20" s="41"/>
      <c r="BP20" s="666"/>
      <c r="BQ20" s="18"/>
      <c r="BR20" s="49"/>
    </row>
    <row r="21" spans="1:70" ht="60.6" x14ac:dyDescent="1">
      <c r="A21" s="12"/>
      <c r="B21" s="14"/>
      <c r="C21" s="568"/>
      <c r="D21" s="76"/>
      <c r="E21" s="692"/>
      <c r="F21" s="18"/>
      <c r="G21" s="643"/>
      <c r="H21" s="631"/>
      <c r="I21" s="632"/>
      <c r="J21" s="633"/>
      <c r="K21" s="68"/>
      <c r="L21" s="631"/>
      <c r="M21" s="632"/>
      <c r="N21" s="633"/>
      <c r="O21" s="82"/>
      <c r="P21" s="631"/>
      <c r="Q21" s="632"/>
      <c r="R21" s="633"/>
      <c r="S21" s="70"/>
      <c r="T21" s="631"/>
      <c r="U21" s="632"/>
      <c r="V21" s="633"/>
      <c r="W21" s="30"/>
      <c r="X21" s="625"/>
      <c r="Y21" s="77"/>
      <c r="Z21" s="666"/>
      <c r="AA21" s="41"/>
      <c r="AB21" s="666"/>
      <c r="AC21" s="30"/>
      <c r="AD21" s="24"/>
      <c r="AE21" s="93"/>
      <c r="AF21" s="631"/>
      <c r="AG21" s="632"/>
      <c r="AH21" s="633"/>
      <c r="AI21" s="68"/>
      <c r="AJ21" s="631"/>
      <c r="AK21" s="632"/>
      <c r="AL21" s="633"/>
      <c r="AM21" s="82"/>
      <c r="AN21" s="631"/>
      <c r="AO21" s="632"/>
      <c r="AP21" s="633"/>
      <c r="AQ21" s="12"/>
      <c r="AR21" s="625"/>
      <c r="AS21" s="79"/>
      <c r="AT21" s="666"/>
      <c r="AU21" s="41"/>
      <c r="AV21" s="666"/>
      <c r="AW21" s="30"/>
      <c r="AX21" s="94"/>
      <c r="AY21" s="95"/>
      <c r="AZ21" s="631"/>
      <c r="BA21" s="632"/>
      <c r="BB21" s="633"/>
      <c r="BC21" s="68"/>
      <c r="BD21" s="631"/>
      <c r="BE21" s="632"/>
      <c r="BF21" s="633"/>
      <c r="BG21" s="82"/>
      <c r="BH21" s="631"/>
      <c r="BI21" s="632"/>
      <c r="BJ21" s="633"/>
      <c r="BK21" s="30"/>
      <c r="BL21" s="625"/>
      <c r="BM21" s="41"/>
      <c r="BN21" s="666"/>
      <c r="BO21" s="41"/>
      <c r="BP21" s="666"/>
      <c r="BQ21" s="18"/>
      <c r="BR21" s="49"/>
    </row>
    <row r="22" spans="1:70" ht="27.75" customHeight="1" thickBot="1" x14ac:dyDescent="1.05">
      <c r="A22" s="12"/>
      <c r="B22" s="14"/>
      <c r="C22" s="568"/>
      <c r="D22" s="76"/>
      <c r="E22" s="693"/>
      <c r="F22" s="18"/>
      <c r="G22" s="644"/>
      <c r="H22" s="83"/>
      <c r="I22" s="84"/>
      <c r="J22" s="85"/>
      <c r="K22" s="68"/>
      <c r="L22" s="83"/>
      <c r="M22" s="84"/>
      <c r="N22" s="85"/>
      <c r="O22" s="68"/>
      <c r="P22" s="83"/>
      <c r="Q22" s="84"/>
      <c r="R22" s="85"/>
      <c r="S22" s="70"/>
      <c r="T22" s="83"/>
      <c r="U22" s="84"/>
      <c r="V22" s="85"/>
      <c r="W22" s="30"/>
      <c r="X22" s="626"/>
      <c r="Y22" s="77"/>
      <c r="Z22" s="666"/>
      <c r="AA22" s="41"/>
      <c r="AB22" s="666"/>
      <c r="AC22" s="30"/>
      <c r="AD22" s="24"/>
      <c r="AE22" s="96"/>
      <c r="AF22" s="83"/>
      <c r="AG22" s="84"/>
      <c r="AH22" s="85"/>
      <c r="AI22" s="68"/>
      <c r="AJ22" s="83"/>
      <c r="AK22" s="84"/>
      <c r="AL22" s="85"/>
      <c r="AM22" s="68"/>
      <c r="AN22" s="83"/>
      <c r="AO22" s="84"/>
      <c r="AP22" s="85"/>
      <c r="AQ22" s="12"/>
      <c r="AR22" s="626"/>
      <c r="AS22" s="79"/>
      <c r="AT22" s="666"/>
      <c r="AU22" s="41"/>
      <c r="AV22" s="666"/>
      <c r="AW22" s="30"/>
      <c r="AX22" s="97"/>
      <c r="AY22" s="98"/>
      <c r="AZ22" s="83"/>
      <c r="BA22" s="84"/>
      <c r="BB22" s="85"/>
      <c r="BC22" s="68"/>
      <c r="BD22" s="83"/>
      <c r="BE22" s="84"/>
      <c r="BF22" s="85"/>
      <c r="BG22" s="68"/>
      <c r="BH22" s="83"/>
      <c r="BI22" s="84"/>
      <c r="BJ22" s="85"/>
      <c r="BK22" s="30"/>
      <c r="BL22" s="626"/>
      <c r="BM22" s="41"/>
      <c r="BN22" s="666"/>
      <c r="BO22" s="41"/>
      <c r="BP22" s="666"/>
      <c r="BQ22" s="18"/>
      <c r="BR22" s="49"/>
    </row>
    <row r="23" spans="1:70" ht="61.2" thickBot="1" x14ac:dyDescent="1.05">
      <c r="A23" s="12"/>
      <c r="B23" s="14"/>
      <c r="C23" s="568"/>
      <c r="D23" s="76"/>
      <c r="E23" s="426"/>
      <c r="F23" s="18"/>
      <c r="G23" s="30"/>
      <c r="H23" s="87"/>
      <c r="I23" s="69"/>
      <c r="J23" s="69"/>
      <c r="K23" s="68"/>
      <c r="L23" s="88"/>
      <c r="M23" s="88"/>
      <c r="N23" s="88"/>
      <c r="O23" s="68"/>
      <c r="P23" s="69"/>
      <c r="Q23" s="69"/>
      <c r="R23" s="69"/>
      <c r="S23" s="70"/>
      <c r="T23" s="87"/>
      <c r="U23" s="69"/>
      <c r="V23" s="69"/>
      <c r="W23" s="30"/>
      <c r="X23" s="441"/>
      <c r="Y23" s="77"/>
      <c r="Z23" s="666"/>
      <c r="AA23" s="41"/>
      <c r="AB23" s="666"/>
      <c r="AC23" s="30"/>
      <c r="AD23" s="24"/>
      <c r="AE23" s="96"/>
      <c r="AF23" s="87"/>
      <c r="AG23" s="69"/>
      <c r="AH23" s="69"/>
      <c r="AI23" s="68"/>
      <c r="AJ23" s="88"/>
      <c r="AK23" s="88"/>
      <c r="AL23" s="88"/>
      <c r="AM23" s="68"/>
      <c r="AN23" s="69"/>
      <c r="AO23" s="69"/>
      <c r="AP23" s="69"/>
      <c r="AQ23" s="12"/>
      <c r="AR23" s="441"/>
      <c r="AS23" s="79"/>
      <c r="AT23" s="666"/>
      <c r="AU23" s="41"/>
      <c r="AV23" s="666"/>
      <c r="AW23" s="30"/>
      <c r="AX23" s="97"/>
      <c r="AY23" s="98"/>
      <c r="AZ23" s="87"/>
      <c r="BA23" s="69"/>
      <c r="BB23" s="69"/>
      <c r="BC23" s="68"/>
      <c r="BD23" s="88"/>
      <c r="BE23" s="88"/>
      <c r="BF23" s="88"/>
      <c r="BG23" s="68"/>
      <c r="BH23" s="69"/>
      <c r="BI23" s="69"/>
      <c r="BJ23" s="69"/>
      <c r="BK23" s="100"/>
      <c r="BL23" s="441"/>
      <c r="BM23" s="41"/>
      <c r="BN23" s="666"/>
      <c r="BO23" s="41"/>
      <c r="BP23" s="666"/>
      <c r="BQ23" s="18"/>
      <c r="BR23" s="49"/>
    </row>
    <row r="24" spans="1:70" ht="112.5" customHeight="1" x14ac:dyDescent="1">
      <c r="A24" s="12"/>
      <c r="B24" s="14"/>
      <c r="C24" s="568"/>
      <c r="D24" s="76"/>
      <c r="E24" s="658" t="e" cm="1">
        <f t="array" ref="E24">_xlfn.IFS('ASIGNACIÓN ASIGNATURAS'!$B$3="PREGRADO",'ASIGNACIÓN ASIGNATURAS'!C15,'ASIGNACIÓN ASIGNATURAS'!$B$3="POSGRADO",'ASIGNACIÓN ASIGNATURAS'!C37)</f>
        <v>#N/A</v>
      </c>
      <c r="F24" s="18"/>
      <c r="G24" s="642">
        <f>COUNTIF($E$14:E27,E24)</f>
        <v>3</v>
      </c>
      <c r="H24" s="553" t="e">
        <f>$G24&amp;$C$14&amp;$E24&amp;H$10</f>
        <v>#N/A</v>
      </c>
      <c r="I24" s="627"/>
      <c r="J24" s="628"/>
      <c r="K24" s="68"/>
      <c r="L24" s="553" t="e">
        <f>$G24&amp;$C$14&amp;$E24&amp;L$10</f>
        <v>#N/A</v>
      </c>
      <c r="M24" s="627"/>
      <c r="N24" s="628"/>
      <c r="O24" s="70"/>
      <c r="P24" s="553" t="e">
        <f>$G24&amp;$C$14&amp;$E24&amp;P$10</f>
        <v>#N/A</v>
      </c>
      <c r="Q24" s="627"/>
      <c r="R24" s="628"/>
      <c r="S24" s="70"/>
      <c r="T24" s="553" t="e">
        <f>$G24&amp;$C$14&amp;$E24&amp;T$10</f>
        <v>#N/A</v>
      </c>
      <c r="U24" s="627"/>
      <c r="V24" s="628"/>
      <c r="W24" s="30"/>
      <c r="X24" s="624" t="e">
        <f>'PLANTILLA MALLA PREGRADO'!J27+'PLANTILLA MALLA PREGRADO'!N27+'PLANTILLA MALLA PREGRADO'!R27+'PLANTILLA MALLA PREGRADO'!V27</f>
        <v>#N/A</v>
      </c>
      <c r="Y24" s="77"/>
      <c r="Z24" s="666"/>
      <c r="AA24" s="41"/>
      <c r="AB24" s="666"/>
      <c r="AC24" s="30"/>
      <c r="AD24" s="24"/>
      <c r="AE24" s="96"/>
      <c r="AF24" s="553" t="e">
        <f>$G24&amp;$C$14&amp;$E24&amp;AF$10</f>
        <v>#N/A</v>
      </c>
      <c r="AG24" s="627"/>
      <c r="AH24" s="628"/>
      <c r="AI24" s="68"/>
      <c r="AJ24" s="553" t="e">
        <f>$G24&amp;$C$14&amp;$E24&amp;AJ$10</f>
        <v>#N/A</v>
      </c>
      <c r="AK24" s="627"/>
      <c r="AL24" s="628"/>
      <c r="AM24" s="70"/>
      <c r="AN24" s="553" t="e">
        <f>$G24&amp;$C$14&amp;$E24&amp;AN$10</f>
        <v>#N/A</v>
      </c>
      <c r="AO24" s="627"/>
      <c r="AP24" s="628"/>
      <c r="AQ24" s="12"/>
      <c r="AR24" s="624" t="e">
        <f>'PLANTILLA MALLA PREGRADO'!AD27+'PLANTILLA MALLA PREGRADO'!AH27+'PLANTILLA MALLA PREGRADO'!AL27+'PLANTILLA MALLA PREGRADO'!AP27</f>
        <v>#N/A</v>
      </c>
      <c r="AS24" s="79"/>
      <c r="AT24" s="666"/>
      <c r="AU24" s="41"/>
      <c r="AV24" s="666"/>
      <c r="AW24" s="30"/>
      <c r="AX24" s="97"/>
      <c r="AY24" s="98"/>
      <c r="AZ24" s="553" t="e">
        <f>$G24&amp;$C$14&amp;$E24&amp;AZ$10</f>
        <v>#N/A</v>
      </c>
      <c r="BA24" s="627"/>
      <c r="BB24" s="628"/>
      <c r="BC24" s="68"/>
      <c r="BD24" s="553" t="e">
        <f>$G24&amp;$C$14&amp;$E24&amp;BD$10</f>
        <v>#N/A</v>
      </c>
      <c r="BE24" s="627"/>
      <c r="BF24" s="628"/>
      <c r="BG24" s="70"/>
      <c r="BH24" s="553" t="e">
        <f>$G24&amp;$C$14&amp;$E24&amp;BH$10</f>
        <v>#N/A</v>
      </c>
      <c r="BI24" s="627"/>
      <c r="BJ24" s="628"/>
      <c r="BK24" s="100"/>
      <c r="BL24" s="624" t="e">
        <f>'PLANTILLA MALLA PREGRADO'!AX27+'PLANTILLA MALLA PREGRADO'!BB27+'PLANTILLA MALLA PREGRADO'!BF27+'PLANTILLA MALLA PREGRADO'!BJ27</f>
        <v>#N/A</v>
      </c>
      <c r="BM24" s="41"/>
      <c r="BN24" s="666"/>
      <c r="BO24" s="41"/>
      <c r="BP24" s="666"/>
      <c r="BQ24" s="18"/>
      <c r="BR24" s="49"/>
    </row>
    <row r="25" spans="1:70" ht="60.45" customHeight="1" x14ac:dyDescent="1">
      <c r="A25" s="12"/>
      <c r="B25" s="14"/>
      <c r="C25" s="568"/>
      <c r="D25" s="76"/>
      <c r="E25" s="692"/>
      <c r="F25" s="18"/>
      <c r="G25" s="643"/>
      <c r="H25" s="629" t="s">
        <v>224</v>
      </c>
      <c r="I25" s="522"/>
      <c r="J25" s="630"/>
      <c r="K25" s="68"/>
      <c r="L25" s="629" t="s">
        <v>224</v>
      </c>
      <c r="M25" s="522"/>
      <c r="N25" s="630"/>
      <c r="O25" s="82"/>
      <c r="P25" s="629" t="s">
        <v>224</v>
      </c>
      <c r="Q25" s="522"/>
      <c r="R25" s="630"/>
      <c r="S25" s="70"/>
      <c r="T25" s="629" t="s">
        <v>224</v>
      </c>
      <c r="U25" s="522"/>
      <c r="V25" s="630"/>
      <c r="W25" s="30"/>
      <c r="X25" s="625"/>
      <c r="Y25" s="77"/>
      <c r="Z25" s="666"/>
      <c r="AA25" s="41"/>
      <c r="AB25" s="666"/>
      <c r="AC25" s="30"/>
      <c r="AD25" s="24"/>
      <c r="AE25" s="96"/>
      <c r="AF25" s="629" t="s">
        <v>224</v>
      </c>
      <c r="AG25" s="522"/>
      <c r="AH25" s="630"/>
      <c r="AI25" s="68"/>
      <c r="AJ25" s="629" t="s">
        <v>224</v>
      </c>
      <c r="AK25" s="522"/>
      <c r="AL25" s="630"/>
      <c r="AM25" s="82"/>
      <c r="AN25" s="629" t="s">
        <v>224</v>
      </c>
      <c r="AO25" s="522"/>
      <c r="AP25" s="630"/>
      <c r="AQ25" s="12"/>
      <c r="AR25" s="625"/>
      <c r="AS25" s="79"/>
      <c r="AT25" s="666"/>
      <c r="AU25" s="41"/>
      <c r="AV25" s="666"/>
      <c r="AW25" s="30"/>
      <c r="AX25" s="97"/>
      <c r="AY25" s="98"/>
      <c r="AZ25" s="629" t="s">
        <v>224</v>
      </c>
      <c r="BA25" s="522"/>
      <c r="BB25" s="630"/>
      <c r="BC25" s="68"/>
      <c r="BD25" s="629" t="s">
        <v>224</v>
      </c>
      <c r="BE25" s="522"/>
      <c r="BF25" s="630"/>
      <c r="BG25" s="82"/>
      <c r="BH25" s="629" t="s">
        <v>224</v>
      </c>
      <c r="BI25" s="522"/>
      <c r="BJ25" s="630"/>
      <c r="BK25" s="100"/>
      <c r="BL25" s="625"/>
      <c r="BM25" s="41"/>
      <c r="BN25" s="666"/>
      <c r="BO25" s="41"/>
      <c r="BP25" s="666"/>
      <c r="BQ25" s="18"/>
      <c r="BR25" s="49"/>
    </row>
    <row r="26" spans="1:70" ht="60.6" x14ac:dyDescent="1">
      <c r="A26" s="12"/>
      <c r="B26" s="14"/>
      <c r="C26" s="568"/>
      <c r="D26" s="76"/>
      <c r="E26" s="692"/>
      <c r="F26" s="18"/>
      <c r="G26" s="643"/>
      <c r="H26" s="631"/>
      <c r="I26" s="632"/>
      <c r="J26" s="633"/>
      <c r="K26" s="68"/>
      <c r="L26" s="631"/>
      <c r="M26" s="632"/>
      <c r="N26" s="633"/>
      <c r="O26" s="82"/>
      <c r="P26" s="631"/>
      <c r="Q26" s="632"/>
      <c r="R26" s="633"/>
      <c r="S26" s="70"/>
      <c r="T26" s="631"/>
      <c r="U26" s="632"/>
      <c r="V26" s="633"/>
      <c r="W26" s="30"/>
      <c r="X26" s="625"/>
      <c r="Y26" s="77"/>
      <c r="Z26" s="666"/>
      <c r="AA26" s="41"/>
      <c r="AB26" s="666"/>
      <c r="AC26" s="30"/>
      <c r="AD26" s="24"/>
      <c r="AE26" s="96"/>
      <c r="AF26" s="631"/>
      <c r="AG26" s="632"/>
      <c r="AH26" s="633"/>
      <c r="AI26" s="68"/>
      <c r="AJ26" s="631"/>
      <c r="AK26" s="632"/>
      <c r="AL26" s="633"/>
      <c r="AM26" s="82"/>
      <c r="AN26" s="631"/>
      <c r="AO26" s="632"/>
      <c r="AP26" s="633"/>
      <c r="AQ26" s="12"/>
      <c r="AR26" s="625"/>
      <c r="AS26" s="79"/>
      <c r="AT26" s="666"/>
      <c r="AU26" s="41"/>
      <c r="AV26" s="666"/>
      <c r="AW26" s="30"/>
      <c r="AX26" s="97"/>
      <c r="AY26" s="98"/>
      <c r="AZ26" s="631"/>
      <c r="BA26" s="632"/>
      <c r="BB26" s="633"/>
      <c r="BC26" s="68"/>
      <c r="BD26" s="631"/>
      <c r="BE26" s="632"/>
      <c r="BF26" s="633"/>
      <c r="BG26" s="82"/>
      <c r="BH26" s="631"/>
      <c r="BI26" s="632"/>
      <c r="BJ26" s="633"/>
      <c r="BK26" s="100"/>
      <c r="BL26" s="625"/>
      <c r="BM26" s="41"/>
      <c r="BN26" s="666"/>
      <c r="BO26" s="41"/>
      <c r="BP26" s="666"/>
      <c r="BQ26" s="18"/>
      <c r="BR26" s="49"/>
    </row>
    <row r="27" spans="1:70" ht="33.75" customHeight="1" thickBot="1" x14ac:dyDescent="1.05">
      <c r="A27" s="12"/>
      <c r="B27" s="14"/>
      <c r="C27" s="568"/>
      <c r="D27" s="76"/>
      <c r="E27" s="693"/>
      <c r="F27" s="18"/>
      <c r="G27" s="644"/>
      <c r="H27" s="83"/>
      <c r="I27" s="84"/>
      <c r="J27" s="85"/>
      <c r="K27" s="68"/>
      <c r="L27" s="83"/>
      <c r="M27" s="84"/>
      <c r="N27" s="85"/>
      <c r="O27" s="68"/>
      <c r="P27" s="83"/>
      <c r="Q27" s="84"/>
      <c r="R27" s="85"/>
      <c r="S27" s="70"/>
      <c r="T27" s="83"/>
      <c r="U27" s="84"/>
      <c r="V27" s="85"/>
      <c r="W27" s="30"/>
      <c r="X27" s="626"/>
      <c r="Y27" s="77"/>
      <c r="Z27" s="666"/>
      <c r="AA27" s="41"/>
      <c r="AB27" s="666"/>
      <c r="AC27" s="30"/>
      <c r="AD27" s="24"/>
      <c r="AE27" s="96"/>
      <c r="AF27" s="83"/>
      <c r="AG27" s="84"/>
      <c r="AH27" s="85"/>
      <c r="AI27" s="68"/>
      <c r="AJ27" s="83"/>
      <c r="AK27" s="84"/>
      <c r="AL27" s="85"/>
      <c r="AM27" s="68"/>
      <c r="AN27" s="83"/>
      <c r="AO27" s="84"/>
      <c r="AP27" s="85"/>
      <c r="AQ27" s="12"/>
      <c r="AR27" s="626"/>
      <c r="AS27" s="79"/>
      <c r="AT27" s="666"/>
      <c r="AU27" s="41"/>
      <c r="AV27" s="666"/>
      <c r="AW27" s="30"/>
      <c r="AX27" s="97"/>
      <c r="AY27" s="98"/>
      <c r="AZ27" s="83"/>
      <c r="BA27" s="84"/>
      <c r="BB27" s="85"/>
      <c r="BC27" s="68"/>
      <c r="BD27" s="83"/>
      <c r="BE27" s="84"/>
      <c r="BF27" s="85"/>
      <c r="BG27" s="68"/>
      <c r="BH27" s="83"/>
      <c r="BI27" s="84"/>
      <c r="BJ27" s="85"/>
      <c r="BK27" s="100"/>
      <c r="BL27" s="626"/>
      <c r="BM27" s="41"/>
      <c r="BN27" s="666"/>
      <c r="BO27" s="41"/>
      <c r="BP27" s="666"/>
      <c r="BQ27" s="18"/>
      <c r="BR27" s="49"/>
    </row>
    <row r="28" spans="1:70" ht="61.2" thickBot="1" x14ac:dyDescent="1.05">
      <c r="A28" s="12"/>
      <c r="B28" s="14"/>
      <c r="C28" s="568"/>
      <c r="D28" s="76"/>
      <c r="E28" s="427"/>
      <c r="F28" s="18"/>
      <c r="G28" s="13"/>
      <c r="H28" s="69"/>
      <c r="I28" s="69"/>
      <c r="J28" s="69"/>
      <c r="K28" s="68"/>
      <c r="L28" s="69"/>
      <c r="M28" s="69"/>
      <c r="N28" s="69"/>
      <c r="O28" s="68"/>
      <c r="P28" s="69"/>
      <c r="Q28" s="69"/>
      <c r="R28" s="69"/>
      <c r="S28" s="70"/>
      <c r="T28" s="87"/>
      <c r="U28" s="69"/>
      <c r="V28" s="69"/>
      <c r="W28" s="30"/>
      <c r="X28" s="101"/>
      <c r="Y28" s="77"/>
      <c r="Z28" s="666"/>
      <c r="AA28" s="41"/>
      <c r="AB28" s="666"/>
      <c r="AC28" s="30"/>
      <c r="AD28" s="24"/>
      <c r="AE28" s="96"/>
      <c r="AF28" s="69"/>
      <c r="AG28" s="69"/>
      <c r="AH28" s="69"/>
      <c r="AI28" s="68"/>
      <c r="AJ28" s="69"/>
      <c r="AK28" s="69"/>
      <c r="AL28" s="69"/>
      <c r="AM28" s="68"/>
      <c r="AN28" s="69"/>
      <c r="AO28" s="69"/>
      <c r="AP28" s="69"/>
      <c r="AQ28" s="12"/>
      <c r="AR28" s="101"/>
      <c r="AS28" s="79"/>
      <c r="AT28" s="666"/>
      <c r="AU28" s="41"/>
      <c r="AV28" s="666"/>
      <c r="AW28" s="30"/>
      <c r="AX28" s="97"/>
      <c r="AY28" s="103"/>
      <c r="AZ28" s="69"/>
      <c r="BA28" s="69"/>
      <c r="BB28" s="69"/>
      <c r="BC28" s="68"/>
      <c r="BD28" s="69"/>
      <c r="BE28" s="69"/>
      <c r="BF28" s="69"/>
      <c r="BG28" s="68"/>
      <c r="BH28" s="69"/>
      <c r="BI28" s="69"/>
      <c r="BJ28" s="69"/>
      <c r="BK28" s="30"/>
      <c r="BL28" s="101"/>
      <c r="BM28" s="41"/>
      <c r="BN28" s="666"/>
      <c r="BO28" s="41"/>
      <c r="BP28" s="666"/>
      <c r="BQ28" s="18"/>
      <c r="BR28" s="49"/>
    </row>
    <row r="29" spans="1:70" ht="112.5" customHeight="1" x14ac:dyDescent="1">
      <c r="A29" s="12"/>
      <c r="B29" s="14"/>
      <c r="C29" s="568"/>
      <c r="D29" s="76"/>
      <c r="E29" s="658" t="e" cm="1">
        <f t="array" ref="E29">_xlfn.IFS('ASIGNACIÓN ASIGNATURAS'!$B$3="PREGRADO",'ASIGNACIÓN ASIGNATURAS'!C16,'ASIGNACIÓN ASIGNATURAS'!$B$3="POSGRADO",'ASIGNACIÓN ASIGNATURAS'!C38)</f>
        <v>#N/A</v>
      </c>
      <c r="F29" s="18"/>
      <c r="G29" s="642">
        <f>COUNTIF($E$14:E32,E29)</f>
        <v>4</v>
      </c>
      <c r="H29" s="553" t="e">
        <f>$G29&amp;$C$14&amp;$E29&amp;H$10</f>
        <v>#N/A</v>
      </c>
      <c r="I29" s="627"/>
      <c r="J29" s="628"/>
      <c r="K29" s="68"/>
      <c r="L29" s="553" t="e">
        <f>$G29&amp;$C$14&amp;$E29&amp;L$10</f>
        <v>#N/A</v>
      </c>
      <c r="M29" s="627"/>
      <c r="N29" s="628"/>
      <c r="O29" s="70"/>
      <c r="P29" s="553" t="e">
        <f>$G29&amp;$C$14&amp;$E29&amp;P$10</f>
        <v>#N/A</v>
      </c>
      <c r="Q29" s="627"/>
      <c r="R29" s="628"/>
      <c r="S29" s="70"/>
      <c r="T29" s="553" t="e">
        <f>$G29&amp;$C$14&amp;$E29&amp;T$10</f>
        <v>#N/A</v>
      </c>
      <c r="U29" s="627"/>
      <c r="V29" s="628"/>
      <c r="W29" s="13"/>
      <c r="X29" s="624" t="e">
        <f>'PLANTILLA MALLA PREGRADO'!J32+'PLANTILLA MALLA PREGRADO'!N32+'PLANTILLA MALLA PREGRADO'!R32+'PLANTILLA MALLA PREGRADO'!V32</f>
        <v>#N/A</v>
      </c>
      <c r="Y29" s="77"/>
      <c r="Z29" s="666"/>
      <c r="AA29" s="41"/>
      <c r="AB29" s="666"/>
      <c r="AC29" s="30"/>
      <c r="AD29" s="24"/>
      <c r="AE29" s="104"/>
      <c r="AF29" s="553" t="e">
        <f>$G29&amp;$C$14&amp;$E29&amp;AF$10</f>
        <v>#N/A</v>
      </c>
      <c r="AG29" s="627"/>
      <c r="AH29" s="628"/>
      <c r="AI29" s="68"/>
      <c r="AJ29" s="553" t="e">
        <f>$G29&amp;$C$14&amp;$E29&amp;AJ$10</f>
        <v>#N/A</v>
      </c>
      <c r="AK29" s="627"/>
      <c r="AL29" s="628"/>
      <c r="AM29" s="70"/>
      <c r="AN29" s="553" t="e">
        <f>$G29&amp;$C$14&amp;$E29&amp;AN$10</f>
        <v>#N/A</v>
      </c>
      <c r="AO29" s="627"/>
      <c r="AP29" s="628"/>
      <c r="AQ29" s="12"/>
      <c r="AR29" s="624" t="e">
        <f>'PLANTILLA MALLA PREGRADO'!AD32+'PLANTILLA MALLA PREGRADO'!AH32+'PLANTILLA MALLA PREGRADO'!AL32+'PLANTILLA MALLA PREGRADO'!AP32</f>
        <v>#N/A</v>
      </c>
      <c r="AS29" s="79"/>
      <c r="AT29" s="666"/>
      <c r="AU29" s="41"/>
      <c r="AV29" s="666"/>
      <c r="AW29" s="30"/>
      <c r="AX29" s="91"/>
      <c r="AY29" s="92"/>
      <c r="AZ29" s="553" t="e">
        <f>$G29&amp;$C$14&amp;$E29&amp;AZ$10</f>
        <v>#N/A</v>
      </c>
      <c r="BA29" s="627"/>
      <c r="BB29" s="628"/>
      <c r="BC29" s="68"/>
      <c r="BD29" s="553" t="e">
        <f>$G29&amp;$C$14&amp;$E29&amp;BD$10</f>
        <v>#N/A</v>
      </c>
      <c r="BE29" s="627"/>
      <c r="BF29" s="628"/>
      <c r="BG29" s="70"/>
      <c r="BH29" s="553" t="e">
        <f>$G29&amp;$C$14&amp;$E29&amp;BH$10</f>
        <v>#N/A</v>
      </c>
      <c r="BI29" s="627"/>
      <c r="BJ29" s="628"/>
      <c r="BK29" s="30"/>
      <c r="BL29" s="624" t="e">
        <f>'PLANTILLA MALLA PREGRADO'!AX32+'PLANTILLA MALLA PREGRADO'!BB32+'PLANTILLA MALLA PREGRADO'!BF32+'PLANTILLA MALLA PREGRADO'!BJ32</f>
        <v>#N/A</v>
      </c>
      <c r="BM29" s="41"/>
      <c r="BN29" s="666"/>
      <c r="BO29" s="41"/>
      <c r="BP29" s="666"/>
      <c r="BQ29" s="18"/>
      <c r="BR29" s="49"/>
    </row>
    <row r="30" spans="1:70" ht="60.45" customHeight="1" x14ac:dyDescent="1">
      <c r="A30" s="12"/>
      <c r="B30" s="14"/>
      <c r="C30" s="568"/>
      <c r="D30" s="76"/>
      <c r="E30" s="692"/>
      <c r="F30" s="18"/>
      <c r="G30" s="643"/>
      <c r="H30" s="629" t="s">
        <v>224</v>
      </c>
      <c r="I30" s="522"/>
      <c r="J30" s="630"/>
      <c r="K30" s="68"/>
      <c r="L30" s="629" t="s">
        <v>224</v>
      </c>
      <c r="M30" s="522"/>
      <c r="N30" s="630"/>
      <c r="O30" s="82"/>
      <c r="P30" s="629" t="s">
        <v>224</v>
      </c>
      <c r="Q30" s="522"/>
      <c r="R30" s="630"/>
      <c r="S30" s="70"/>
      <c r="T30" s="629" t="s">
        <v>224</v>
      </c>
      <c r="U30" s="522"/>
      <c r="V30" s="630"/>
      <c r="W30" s="13"/>
      <c r="X30" s="625"/>
      <c r="Y30" s="77"/>
      <c r="Z30" s="666"/>
      <c r="AA30" s="41"/>
      <c r="AB30" s="666"/>
      <c r="AC30" s="30"/>
      <c r="AD30" s="24"/>
      <c r="AE30" s="105"/>
      <c r="AF30" s="629" t="s">
        <v>224</v>
      </c>
      <c r="AG30" s="522"/>
      <c r="AH30" s="630"/>
      <c r="AI30" s="68"/>
      <c r="AJ30" s="629" t="s">
        <v>224</v>
      </c>
      <c r="AK30" s="522"/>
      <c r="AL30" s="630"/>
      <c r="AM30" s="82"/>
      <c r="AN30" s="629" t="s">
        <v>224</v>
      </c>
      <c r="AO30" s="522"/>
      <c r="AP30" s="630"/>
      <c r="AQ30" s="12"/>
      <c r="AR30" s="625"/>
      <c r="AS30" s="79"/>
      <c r="AT30" s="666"/>
      <c r="AU30" s="41"/>
      <c r="AV30" s="666"/>
      <c r="AW30" s="30"/>
      <c r="AX30" s="24"/>
      <c r="AY30" s="92"/>
      <c r="AZ30" s="629" t="s">
        <v>224</v>
      </c>
      <c r="BA30" s="522"/>
      <c r="BB30" s="630"/>
      <c r="BC30" s="68"/>
      <c r="BD30" s="629" t="s">
        <v>224</v>
      </c>
      <c r="BE30" s="522"/>
      <c r="BF30" s="630"/>
      <c r="BG30" s="82"/>
      <c r="BH30" s="629" t="s">
        <v>224</v>
      </c>
      <c r="BI30" s="522"/>
      <c r="BJ30" s="630"/>
      <c r="BK30" s="30"/>
      <c r="BL30" s="625"/>
      <c r="BM30" s="41"/>
      <c r="BN30" s="666"/>
      <c r="BO30" s="41"/>
      <c r="BP30" s="666"/>
      <c r="BQ30" s="18"/>
      <c r="BR30" s="49"/>
    </row>
    <row r="31" spans="1:70" ht="60.6" x14ac:dyDescent="1">
      <c r="A31" s="12"/>
      <c r="B31" s="14"/>
      <c r="C31" s="568"/>
      <c r="D31" s="76"/>
      <c r="E31" s="692"/>
      <c r="F31" s="18"/>
      <c r="G31" s="643"/>
      <c r="H31" s="631"/>
      <c r="I31" s="632"/>
      <c r="J31" s="633"/>
      <c r="K31" s="68"/>
      <c r="L31" s="631"/>
      <c r="M31" s="632"/>
      <c r="N31" s="633"/>
      <c r="O31" s="82"/>
      <c r="P31" s="631"/>
      <c r="Q31" s="632"/>
      <c r="R31" s="633"/>
      <c r="S31" s="70"/>
      <c r="T31" s="631"/>
      <c r="U31" s="632"/>
      <c r="V31" s="633"/>
      <c r="W31" s="13"/>
      <c r="X31" s="625"/>
      <c r="Y31" s="77"/>
      <c r="Z31" s="666"/>
      <c r="AA31" s="41"/>
      <c r="AB31" s="666"/>
      <c r="AC31" s="30"/>
      <c r="AD31" s="24"/>
      <c r="AE31" s="105"/>
      <c r="AF31" s="631"/>
      <c r="AG31" s="632"/>
      <c r="AH31" s="633"/>
      <c r="AI31" s="68"/>
      <c r="AJ31" s="631"/>
      <c r="AK31" s="632"/>
      <c r="AL31" s="633"/>
      <c r="AM31" s="82"/>
      <c r="AN31" s="631"/>
      <c r="AO31" s="632"/>
      <c r="AP31" s="633"/>
      <c r="AQ31" s="12"/>
      <c r="AR31" s="625"/>
      <c r="AS31" s="79"/>
      <c r="AT31" s="666"/>
      <c r="AU31" s="41"/>
      <c r="AV31" s="666"/>
      <c r="AW31" s="30"/>
      <c r="AX31" s="94"/>
      <c r="AY31" s="95"/>
      <c r="AZ31" s="631"/>
      <c r="BA31" s="632"/>
      <c r="BB31" s="633"/>
      <c r="BC31" s="68"/>
      <c r="BD31" s="631"/>
      <c r="BE31" s="632"/>
      <c r="BF31" s="633"/>
      <c r="BG31" s="82"/>
      <c r="BH31" s="631"/>
      <c r="BI31" s="632"/>
      <c r="BJ31" s="633"/>
      <c r="BK31" s="30"/>
      <c r="BL31" s="625"/>
      <c r="BM31" s="41"/>
      <c r="BN31" s="666"/>
      <c r="BO31" s="41"/>
      <c r="BP31" s="666"/>
      <c r="BQ31" s="18"/>
      <c r="BR31" s="49"/>
    </row>
    <row r="32" spans="1:70" ht="41.25" customHeight="1" thickBot="1" x14ac:dyDescent="1.05">
      <c r="A32" s="12"/>
      <c r="B32" s="14"/>
      <c r="C32" s="568"/>
      <c r="D32" s="76"/>
      <c r="E32" s="693"/>
      <c r="F32" s="18"/>
      <c r="G32" s="644"/>
      <c r="H32" s="83"/>
      <c r="I32" s="84"/>
      <c r="J32" s="85"/>
      <c r="K32" s="68"/>
      <c r="L32" s="83"/>
      <c r="M32" s="84"/>
      <c r="N32" s="85"/>
      <c r="O32" s="68"/>
      <c r="P32" s="83"/>
      <c r="Q32" s="84"/>
      <c r="R32" s="85"/>
      <c r="S32" s="70"/>
      <c r="T32" s="83"/>
      <c r="U32" s="84"/>
      <c r="V32" s="85"/>
      <c r="W32" s="13"/>
      <c r="X32" s="626"/>
      <c r="Y32" s="77"/>
      <c r="Z32" s="666"/>
      <c r="AA32" s="41"/>
      <c r="AB32" s="666"/>
      <c r="AC32" s="30"/>
      <c r="AD32" s="24"/>
      <c r="AE32" s="96"/>
      <c r="AF32" s="83"/>
      <c r="AG32" s="84"/>
      <c r="AH32" s="85"/>
      <c r="AI32" s="68"/>
      <c r="AJ32" s="83"/>
      <c r="AK32" s="84"/>
      <c r="AL32" s="85"/>
      <c r="AM32" s="68"/>
      <c r="AN32" s="83"/>
      <c r="AO32" s="84"/>
      <c r="AP32" s="85"/>
      <c r="AQ32" s="12"/>
      <c r="AR32" s="626"/>
      <c r="AS32" s="79"/>
      <c r="AT32" s="666"/>
      <c r="AU32" s="41"/>
      <c r="AV32" s="666"/>
      <c r="AW32" s="30"/>
      <c r="AX32" s="97"/>
      <c r="AY32" s="98"/>
      <c r="AZ32" s="83"/>
      <c r="BA32" s="84"/>
      <c r="BB32" s="85"/>
      <c r="BC32" s="68"/>
      <c r="BD32" s="83"/>
      <c r="BE32" s="84"/>
      <c r="BF32" s="85"/>
      <c r="BG32" s="68"/>
      <c r="BH32" s="83"/>
      <c r="BI32" s="84"/>
      <c r="BJ32" s="85"/>
      <c r="BK32" s="12"/>
      <c r="BL32" s="626"/>
      <c r="BM32" s="41"/>
      <c r="BN32" s="666"/>
      <c r="BO32" s="41"/>
      <c r="BP32" s="666"/>
      <c r="BQ32" s="18"/>
      <c r="BR32" s="49"/>
    </row>
    <row r="33" spans="1:70" ht="61.2" thickBot="1" x14ac:dyDescent="1.05">
      <c r="A33" s="12"/>
      <c r="B33" s="14"/>
      <c r="C33" s="568"/>
      <c r="D33" s="76"/>
      <c r="E33" s="428"/>
      <c r="F33" s="18"/>
      <c r="G33" s="30"/>
      <c r="H33" s="87"/>
      <c r="I33" s="69"/>
      <c r="J33" s="69"/>
      <c r="K33" s="68"/>
      <c r="L33" s="106"/>
      <c r="M33" s="87"/>
      <c r="N33" s="69"/>
      <c r="O33" s="68"/>
      <c r="P33" s="69"/>
      <c r="Q33" s="69"/>
      <c r="R33" s="106"/>
      <c r="S33" s="82"/>
      <c r="T33" s="87"/>
      <c r="U33" s="69"/>
      <c r="V33" s="69"/>
      <c r="W33" s="13"/>
      <c r="X33" s="441"/>
      <c r="Y33" s="77"/>
      <c r="Z33" s="666"/>
      <c r="AA33" s="41"/>
      <c r="AB33" s="666"/>
      <c r="AC33" s="30"/>
      <c r="AD33" s="24"/>
      <c r="AE33" s="13"/>
      <c r="AF33" s="87"/>
      <c r="AG33" s="69"/>
      <c r="AH33" s="69"/>
      <c r="AI33" s="68"/>
      <c r="AJ33" s="106"/>
      <c r="AK33" s="87"/>
      <c r="AL33" s="69"/>
      <c r="AM33" s="68"/>
      <c r="AN33" s="69"/>
      <c r="AO33" s="69"/>
      <c r="AP33" s="106"/>
      <c r="AQ33" s="12"/>
      <c r="AR33" s="441"/>
      <c r="AS33" s="79"/>
      <c r="AT33" s="666"/>
      <c r="AU33" s="41"/>
      <c r="AV33" s="666"/>
      <c r="AW33" s="30"/>
      <c r="AX33" s="24"/>
      <c r="AY33" s="44"/>
      <c r="AZ33" s="87"/>
      <c r="BA33" s="69"/>
      <c r="BB33" s="69"/>
      <c r="BC33" s="68"/>
      <c r="BD33" s="106"/>
      <c r="BE33" s="87"/>
      <c r="BF33" s="69"/>
      <c r="BG33" s="68"/>
      <c r="BH33" s="69"/>
      <c r="BI33" s="69"/>
      <c r="BJ33" s="106"/>
      <c r="BK33" s="30"/>
      <c r="BL33" s="441"/>
      <c r="BM33" s="41"/>
      <c r="BN33" s="666"/>
      <c r="BO33" s="41"/>
      <c r="BP33" s="666"/>
      <c r="BQ33" s="18"/>
      <c r="BR33" s="49"/>
    </row>
    <row r="34" spans="1:70" ht="108" customHeight="1" x14ac:dyDescent="1">
      <c r="A34" s="12"/>
      <c r="B34" s="14"/>
      <c r="C34" s="568"/>
      <c r="D34" s="76"/>
      <c r="E34" s="658" t="e" cm="1">
        <f t="array" ref="E34">_xlfn.IFS('ASIGNACIÓN ASIGNATURAS'!$B$3="PREGRADO",'ASIGNACIÓN ASIGNATURAS'!C17,'ASIGNACIÓN ASIGNATURAS'!$B$3="POSGRADO",'ASIGNACIÓN ASIGNATURAS'!C39)</f>
        <v>#N/A</v>
      </c>
      <c r="F34" s="18"/>
      <c r="G34" s="642">
        <f>COUNTIF($E$14:E37,E34)</f>
        <v>5</v>
      </c>
      <c r="H34" s="553" t="e">
        <f>$G34&amp;$C$14&amp;$E34&amp;H$10</f>
        <v>#N/A</v>
      </c>
      <c r="I34" s="627"/>
      <c r="J34" s="628"/>
      <c r="K34" s="68"/>
      <c r="L34" s="553" t="e">
        <f>$G34&amp;$C$14&amp;$E34&amp;L$10</f>
        <v>#N/A</v>
      </c>
      <c r="M34" s="627"/>
      <c r="N34" s="628"/>
      <c r="O34" s="70"/>
      <c r="P34" s="553" t="e">
        <f>$G34&amp;$C$14&amp;$E34&amp;P$10</f>
        <v>#N/A</v>
      </c>
      <c r="Q34" s="627"/>
      <c r="R34" s="628"/>
      <c r="S34" s="70"/>
      <c r="T34" s="553" t="e">
        <f>$G34&amp;$C$14&amp;$E34&amp;T$10</f>
        <v>#N/A</v>
      </c>
      <c r="U34" s="627"/>
      <c r="V34" s="628"/>
      <c r="W34" s="41"/>
      <c r="X34" s="624" t="e">
        <f>'PLANTILLA MALLA PREGRADO'!J37+'PLANTILLA MALLA PREGRADO'!N37+'PLANTILLA MALLA PREGRADO'!R37+'PLANTILLA MALLA PREGRADO'!V37</f>
        <v>#N/A</v>
      </c>
      <c r="Y34" s="77"/>
      <c r="Z34" s="666"/>
      <c r="AA34" s="41"/>
      <c r="AB34" s="666"/>
      <c r="AC34" s="30"/>
      <c r="AD34" s="24"/>
      <c r="AE34" s="104"/>
      <c r="AF34" s="553" t="e">
        <f>$G34&amp;$C$14&amp;$E34&amp;AF$10</f>
        <v>#N/A</v>
      </c>
      <c r="AG34" s="627"/>
      <c r="AH34" s="628"/>
      <c r="AI34" s="68"/>
      <c r="AJ34" s="553" t="e">
        <f>$G34&amp;$C$14&amp;$E34&amp;AJ$10</f>
        <v>#N/A</v>
      </c>
      <c r="AK34" s="627"/>
      <c r="AL34" s="628"/>
      <c r="AM34" s="70"/>
      <c r="AN34" s="553" t="e">
        <f>$G34&amp;$C$14&amp;$E34&amp;AN$10</f>
        <v>#N/A</v>
      </c>
      <c r="AO34" s="627"/>
      <c r="AP34" s="628"/>
      <c r="AQ34" s="30"/>
      <c r="AR34" s="624" t="e">
        <f>'PLANTILLA MALLA PREGRADO'!AD37+'PLANTILLA MALLA PREGRADO'!AH37+'PLANTILLA MALLA PREGRADO'!AL37+'PLANTILLA MALLA PREGRADO'!AP37</f>
        <v>#N/A</v>
      </c>
      <c r="AS34" s="79"/>
      <c r="AT34" s="666"/>
      <c r="AU34" s="41"/>
      <c r="AV34" s="666"/>
      <c r="AW34" s="30"/>
      <c r="AX34" s="91"/>
      <c r="AY34" s="92"/>
      <c r="AZ34" s="553" t="e">
        <f>$G34&amp;$C$14&amp;$E34&amp;AZ$10</f>
        <v>#N/A</v>
      </c>
      <c r="BA34" s="627"/>
      <c r="BB34" s="628"/>
      <c r="BC34" s="68"/>
      <c r="BD34" s="553" t="e">
        <f>$G34&amp;$C$14&amp;$E34&amp;BD$10</f>
        <v>#N/A</v>
      </c>
      <c r="BE34" s="627"/>
      <c r="BF34" s="628"/>
      <c r="BG34" s="70"/>
      <c r="BH34" s="553" t="e">
        <f>$G34&amp;$C$14&amp;$E34&amp;BH$10</f>
        <v>#N/A</v>
      </c>
      <c r="BI34" s="627"/>
      <c r="BJ34" s="628"/>
      <c r="BK34" s="30"/>
      <c r="BL34" s="624" t="e">
        <f>'PLANTILLA MALLA PREGRADO'!AX37+'PLANTILLA MALLA PREGRADO'!BB37+'PLANTILLA MALLA PREGRADO'!BF37+'PLANTILLA MALLA PREGRADO'!BJ37</f>
        <v>#N/A</v>
      </c>
      <c r="BM34" s="41"/>
      <c r="BN34" s="666"/>
      <c r="BO34" s="41"/>
      <c r="BP34" s="666"/>
      <c r="BQ34" s="18"/>
      <c r="BR34" s="49"/>
    </row>
    <row r="35" spans="1:70" ht="60.45" customHeight="1" x14ac:dyDescent="1">
      <c r="A35" s="12"/>
      <c r="B35" s="14"/>
      <c r="C35" s="568"/>
      <c r="D35" s="76"/>
      <c r="E35" s="692"/>
      <c r="F35" s="18"/>
      <c r="G35" s="643"/>
      <c r="H35" s="629" t="s">
        <v>224</v>
      </c>
      <c r="I35" s="522"/>
      <c r="J35" s="630"/>
      <c r="K35" s="68"/>
      <c r="L35" s="629" t="s">
        <v>224</v>
      </c>
      <c r="M35" s="522"/>
      <c r="N35" s="630"/>
      <c r="O35" s="82"/>
      <c r="P35" s="629" t="s">
        <v>224</v>
      </c>
      <c r="Q35" s="522"/>
      <c r="R35" s="630"/>
      <c r="S35" s="70"/>
      <c r="T35" s="629" t="s">
        <v>224</v>
      </c>
      <c r="U35" s="522"/>
      <c r="V35" s="630"/>
      <c r="W35" s="41"/>
      <c r="X35" s="625"/>
      <c r="Y35" s="77"/>
      <c r="Z35" s="666"/>
      <c r="AA35" s="41"/>
      <c r="AB35" s="666"/>
      <c r="AC35" s="30"/>
      <c r="AD35" s="24"/>
      <c r="AE35" s="105"/>
      <c r="AF35" s="629" t="s">
        <v>224</v>
      </c>
      <c r="AG35" s="522"/>
      <c r="AH35" s="630"/>
      <c r="AI35" s="68"/>
      <c r="AJ35" s="629" t="s">
        <v>224</v>
      </c>
      <c r="AK35" s="522"/>
      <c r="AL35" s="630"/>
      <c r="AM35" s="82"/>
      <c r="AN35" s="629" t="s">
        <v>224</v>
      </c>
      <c r="AO35" s="522"/>
      <c r="AP35" s="630"/>
      <c r="AQ35" s="30"/>
      <c r="AR35" s="625"/>
      <c r="AS35" s="79"/>
      <c r="AT35" s="666"/>
      <c r="AU35" s="41"/>
      <c r="AV35" s="666"/>
      <c r="AW35" s="30"/>
      <c r="AX35" s="24"/>
      <c r="AY35" s="92"/>
      <c r="AZ35" s="629" t="s">
        <v>224</v>
      </c>
      <c r="BA35" s="522"/>
      <c r="BB35" s="630"/>
      <c r="BC35" s="68"/>
      <c r="BD35" s="629" t="s">
        <v>224</v>
      </c>
      <c r="BE35" s="522"/>
      <c r="BF35" s="630"/>
      <c r="BG35" s="82"/>
      <c r="BH35" s="629" t="s">
        <v>224</v>
      </c>
      <c r="BI35" s="522"/>
      <c r="BJ35" s="630"/>
      <c r="BK35" s="30"/>
      <c r="BL35" s="625"/>
      <c r="BM35" s="41"/>
      <c r="BN35" s="666"/>
      <c r="BO35" s="41"/>
      <c r="BP35" s="666"/>
      <c r="BQ35" s="18"/>
      <c r="BR35" s="49"/>
    </row>
    <row r="36" spans="1:70" ht="60.6" x14ac:dyDescent="1">
      <c r="A36" s="12"/>
      <c r="B36" s="14"/>
      <c r="C36" s="568"/>
      <c r="D36" s="76"/>
      <c r="E36" s="692"/>
      <c r="F36" s="18"/>
      <c r="G36" s="643"/>
      <c r="H36" s="631"/>
      <c r="I36" s="632"/>
      <c r="J36" s="633"/>
      <c r="K36" s="68"/>
      <c r="L36" s="631"/>
      <c r="M36" s="632"/>
      <c r="N36" s="633"/>
      <c r="O36" s="82"/>
      <c r="P36" s="631"/>
      <c r="Q36" s="632"/>
      <c r="R36" s="633"/>
      <c r="S36" s="70"/>
      <c r="T36" s="631"/>
      <c r="U36" s="632"/>
      <c r="V36" s="633"/>
      <c r="W36" s="41"/>
      <c r="X36" s="625"/>
      <c r="Y36" s="77"/>
      <c r="Z36" s="666"/>
      <c r="AA36" s="41"/>
      <c r="AB36" s="666"/>
      <c r="AC36" s="30"/>
      <c r="AD36" s="24"/>
      <c r="AE36" s="105"/>
      <c r="AF36" s="631"/>
      <c r="AG36" s="632"/>
      <c r="AH36" s="633"/>
      <c r="AI36" s="68"/>
      <c r="AJ36" s="631"/>
      <c r="AK36" s="632"/>
      <c r="AL36" s="633"/>
      <c r="AM36" s="82"/>
      <c r="AN36" s="631"/>
      <c r="AO36" s="632"/>
      <c r="AP36" s="633"/>
      <c r="AQ36" s="30"/>
      <c r="AR36" s="625"/>
      <c r="AS36" s="79"/>
      <c r="AT36" s="666"/>
      <c r="AU36" s="41"/>
      <c r="AV36" s="666"/>
      <c r="AW36" s="30"/>
      <c r="AX36" s="94"/>
      <c r="AY36" s="95"/>
      <c r="AZ36" s="631"/>
      <c r="BA36" s="632"/>
      <c r="BB36" s="633"/>
      <c r="BC36" s="68"/>
      <c r="BD36" s="631"/>
      <c r="BE36" s="632"/>
      <c r="BF36" s="633"/>
      <c r="BG36" s="82"/>
      <c r="BH36" s="631"/>
      <c r="BI36" s="632"/>
      <c r="BJ36" s="633"/>
      <c r="BK36" s="30"/>
      <c r="BL36" s="625"/>
      <c r="BM36" s="41"/>
      <c r="BN36" s="666"/>
      <c r="BO36" s="41"/>
      <c r="BP36" s="666"/>
      <c r="BQ36" s="18"/>
      <c r="BR36" s="49"/>
    </row>
    <row r="37" spans="1:70" ht="39" customHeight="1" thickBot="1" x14ac:dyDescent="1.05">
      <c r="A37" s="12"/>
      <c r="B37" s="14"/>
      <c r="C37" s="568"/>
      <c r="D37" s="76"/>
      <c r="E37" s="693"/>
      <c r="F37" s="18"/>
      <c r="G37" s="644"/>
      <c r="H37" s="83"/>
      <c r="I37" s="84"/>
      <c r="J37" s="85"/>
      <c r="K37" s="68"/>
      <c r="L37" s="83"/>
      <c r="M37" s="84"/>
      <c r="N37" s="85"/>
      <c r="O37" s="68"/>
      <c r="P37" s="83"/>
      <c r="Q37" s="84"/>
      <c r="R37" s="85"/>
      <c r="S37" s="70"/>
      <c r="T37" s="83"/>
      <c r="U37" s="84"/>
      <c r="V37" s="85"/>
      <c r="W37" s="41"/>
      <c r="X37" s="626"/>
      <c r="Y37" s="77"/>
      <c r="Z37" s="666"/>
      <c r="AA37" s="41"/>
      <c r="AB37" s="666"/>
      <c r="AC37" s="30"/>
      <c r="AD37" s="24"/>
      <c r="AE37" s="108"/>
      <c r="AF37" s="83"/>
      <c r="AG37" s="84"/>
      <c r="AH37" s="85"/>
      <c r="AI37" s="68"/>
      <c r="AJ37" s="83"/>
      <c r="AK37" s="84"/>
      <c r="AL37" s="85"/>
      <c r="AM37" s="68"/>
      <c r="AN37" s="83"/>
      <c r="AO37" s="84"/>
      <c r="AP37" s="85"/>
      <c r="AQ37" s="30"/>
      <c r="AR37" s="626"/>
      <c r="AS37" s="79"/>
      <c r="AT37" s="666"/>
      <c r="AU37" s="41"/>
      <c r="AV37" s="666"/>
      <c r="AW37" s="30"/>
      <c r="AX37" s="97"/>
      <c r="AY37" s="98"/>
      <c r="AZ37" s="83"/>
      <c r="BA37" s="84"/>
      <c r="BB37" s="85"/>
      <c r="BC37" s="68"/>
      <c r="BD37" s="83"/>
      <c r="BE37" s="84"/>
      <c r="BF37" s="85"/>
      <c r="BG37" s="68"/>
      <c r="BH37" s="83"/>
      <c r="BI37" s="84"/>
      <c r="BJ37" s="85"/>
      <c r="BK37" s="30"/>
      <c r="BL37" s="626"/>
      <c r="BM37" s="41"/>
      <c r="BN37" s="666"/>
      <c r="BO37" s="41"/>
      <c r="BP37" s="666"/>
      <c r="BQ37" s="18"/>
      <c r="BR37" s="49"/>
    </row>
    <row r="38" spans="1:70" ht="61.2" thickBot="1" x14ac:dyDescent="1.05">
      <c r="A38" s="12"/>
      <c r="B38" s="14"/>
      <c r="C38" s="568"/>
      <c r="D38" s="76"/>
      <c r="E38" s="428"/>
      <c r="F38" s="18"/>
      <c r="G38" s="13"/>
      <c r="H38" s="69"/>
      <c r="I38" s="69"/>
      <c r="J38" s="109"/>
      <c r="K38" s="110"/>
      <c r="L38" s="567"/>
      <c r="M38" s="522"/>
      <c r="N38" s="522"/>
      <c r="O38" s="82"/>
      <c r="P38" s="87"/>
      <c r="Q38" s="69"/>
      <c r="R38" s="69"/>
      <c r="S38" s="68"/>
      <c r="T38" s="87"/>
      <c r="U38" s="69"/>
      <c r="V38" s="69"/>
      <c r="W38" s="41"/>
      <c r="X38" s="441"/>
      <c r="Y38" s="77"/>
      <c r="Z38" s="666"/>
      <c r="AA38" s="41"/>
      <c r="AB38" s="666"/>
      <c r="AC38" s="30"/>
      <c r="AD38" s="24"/>
      <c r="AE38" s="13"/>
      <c r="AF38" s="69"/>
      <c r="AG38" s="69"/>
      <c r="AH38" s="109"/>
      <c r="AI38" s="110"/>
      <c r="AJ38" s="567"/>
      <c r="AK38" s="522"/>
      <c r="AL38" s="522"/>
      <c r="AM38" s="82"/>
      <c r="AN38" s="87"/>
      <c r="AO38" s="69"/>
      <c r="AP38" s="69"/>
      <c r="AQ38" s="12"/>
      <c r="AR38" s="441"/>
      <c r="AS38" s="79"/>
      <c r="AT38" s="666"/>
      <c r="AU38" s="41"/>
      <c r="AV38" s="666"/>
      <c r="AW38" s="30"/>
      <c r="AX38" s="24"/>
      <c r="AY38" s="44"/>
      <c r="AZ38" s="69"/>
      <c r="BA38" s="69"/>
      <c r="BB38" s="109"/>
      <c r="BC38" s="110"/>
      <c r="BD38" s="567"/>
      <c r="BE38" s="522"/>
      <c r="BF38" s="522"/>
      <c r="BG38" s="82"/>
      <c r="BH38" s="87"/>
      <c r="BI38" s="69"/>
      <c r="BJ38" s="69"/>
      <c r="BK38" s="30"/>
      <c r="BL38" s="441"/>
      <c r="BM38" s="41"/>
      <c r="BN38" s="666"/>
      <c r="BO38" s="41"/>
      <c r="BP38" s="666"/>
      <c r="BQ38" s="18"/>
      <c r="BR38" s="49"/>
    </row>
    <row r="39" spans="1:70" ht="106.5" customHeight="1" x14ac:dyDescent="1">
      <c r="A39" s="12"/>
      <c r="B39" s="14"/>
      <c r="C39" s="568"/>
      <c r="D39" s="76"/>
      <c r="E39" s="695">
        <f>'ASIGNACIÓN ASIGNATURAS'!C18</f>
        <v>0</v>
      </c>
      <c r="F39" s="18"/>
      <c r="G39" s="642">
        <f>COUNTIF($E$14:E42,E39)</f>
        <v>1</v>
      </c>
      <c r="H39" s="553" t="str">
        <f>$G39&amp;$C$14&amp;$E39&amp;H$10</f>
        <v>1DISCIPLINAR0I SEMESTRE</v>
      </c>
      <c r="I39" s="627"/>
      <c r="J39" s="628"/>
      <c r="K39" s="68"/>
      <c r="L39" s="553" t="str">
        <f>$G39&amp;$C$14&amp;$E39&amp;L$10</f>
        <v>1DISCIPLINAR0II SEMESTRE</v>
      </c>
      <c r="M39" s="627"/>
      <c r="N39" s="628"/>
      <c r="O39" s="70"/>
      <c r="P39" s="553" t="str">
        <f>$G39&amp;$C$14&amp;$E39&amp;P$10</f>
        <v>1DISCIPLINAR0III SEMESTRE</v>
      </c>
      <c r="Q39" s="627"/>
      <c r="R39" s="628"/>
      <c r="S39" s="70"/>
      <c r="T39" s="553" t="str">
        <f>$G39&amp;$C$14&amp;$E39&amp;T$10</f>
        <v>1DISCIPLINAR0IV SEMESTRE</v>
      </c>
      <c r="U39" s="627"/>
      <c r="V39" s="628"/>
      <c r="W39" s="41"/>
      <c r="X39" s="624">
        <f>'PLANTILLA MALLA PREGRADO'!J42+'PLANTILLA MALLA PREGRADO'!N42+'PLANTILLA MALLA PREGRADO'!R42+'PLANTILLA MALLA PREGRADO'!V42</f>
        <v>0</v>
      </c>
      <c r="Y39" s="77"/>
      <c r="Z39" s="666"/>
      <c r="AA39" s="41"/>
      <c r="AB39" s="666"/>
      <c r="AC39" s="30"/>
      <c r="AD39" s="24"/>
      <c r="AE39" s="30"/>
      <c r="AF39" s="553" t="str">
        <f>$G39&amp;$C$14&amp;$E39&amp;AF$10</f>
        <v>1DISCIPLINAR0V SEMESTRE</v>
      </c>
      <c r="AG39" s="627"/>
      <c r="AH39" s="628"/>
      <c r="AI39" s="68"/>
      <c r="AJ39" s="553" t="str">
        <f>$G39&amp;$C$14&amp;$E39&amp;AJ$10</f>
        <v>1DISCIPLINAR0VI SEMESTRE</v>
      </c>
      <c r="AK39" s="627"/>
      <c r="AL39" s="628"/>
      <c r="AM39" s="70"/>
      <c r="AN39" s="553" t="str">
        <f>$G39&amp;$C$14&amp;$E39&amp;AN$10</f>
        <v>1DISCIPLINAR0x SEMESTRE</v>
      </c>
      <c r="AO39" s="627"/>
      <c r="AP39" s="628"/>
      <c r="AQ39" s="30"/>
      <c r="AR39" s="624">
        <f>'PLANTILLA MALLA PREGRADO'!AD42+'PLANTILLA MALLA PREGRADO'!AH42+'PLANTILLA MALLA PREGRADO'!AL42+'PLANTILLA MALLA PREGRADO'!AP42</f>
        <v>0</v>
      </c>
      <c r="AS39" s="79"/>
      <c r="AT39" s="666"/>
      <c r="AU39" s="41"/>
      <c r="AV39" s="666"/>
      <c r="AW39" s="30"/>
      <c r="AX39" s="24"/>
      <c r="AY39" s="92"/>
      <c r="AZ39" s="553" t="str">
        <f>$G39&amp;$C$14&amp;$E39&amp;AZ$10</f>
        <v>1DISCIPLINAR0VII SEMESTRE</v>
      </c>
      <c r="BA39" s="627"/>
      <c r="BB39" s="628"/>
      <c r="BC39" s="68"/>
      <c r="BD39" s="553" t="str">
        <f>$G39&amp;$C$14&amp;$E39&amp;BD$10</f>
        <v>1DISCIPLINAR0VIII SEMESTRE</v>
      </c>
      <c r="BE39" s="627"/>
      <c r="BF39" s="628"/>
      <c r="BG39" s="70"/>
      <c r="BH39" s="553" t="str">
        <f>$G39&amp;$C$14&amp;$E39&amp;BH$10</f>
        <v>1DISCIPLINAR0IX SEMESTRE</v>
      </c>
      <c r="BI39" s="627"/>
      <c r="BJ39" s="628"/>
      <c r="BK39" s="30"/>
      <c r="BL39" s="624">
        <f>'PLANTILLA MALLA PREGRADO'!AX42+'PLANTILLA MALLA PREGRADO'!BB42+'PLANTILLA MALLA PREGRADO'!BF42+'PLANTILLA MALLA PREGRADO'!BJ42</f>
        <v>0</v>
      </c>
      <c r="BM39" s="41"/>
      <c r="BN39" s="666"/>
      <c r="BO39" s="41"/>
      <c r="BP39" s="666"/>
      <c r="BQ39" s="18"/>
      <c r="BR39" s="49"/>
    </row>
    <row r="40" spans="1:70" ht="60.45" customHeight="1" x14ac:dyDescent="1">
      <c r="A40" s="12"/>
      <c r="B40" s="14"/>
      <c r="C40" s="568"/>
      <c r="D40" s="76"/>
      <c r="E40" s="696"/>
      <c r="F40" s="18"/>
      <c r="G40" s="643"/>
      <c r="H40" s="629" t="s">
        <v>224</v>
      </c>
      <c r="I40" s="522"/>
      <c r="J40" s="630"/>
      <c r="K40" s="68"/>
      <c r="L40" s="629" t="s">
        <v>224</v>
      </c>
      <c r="M40" s="522"/>
      <c r="N40" s="630"/>
      <c r="O40" s="82"/>
      <c r="P40" s="629" t="s">
        <v>224</v>
      </c>
      <c r="Q40" s="522"/>
      <c r="R40" s="630"/>
      <c r="S40" s="70"/>
      <c r="T40" s="629" t="s">
        <v>224</v>
      </c>
      <c r="U40" s="522"/>
      <c r="V40" s="630"/>
      <c r="W40" s="41"/>
      <c r="X40" s="625"/>
      <c r="Y40" s="77"/>
      <c r="Z40" s="666"/>
      <c r="AA40" s="41"/>
      <c r="AB40" s="666"/>
      <c r="AC40" s="30"/>
      <c r="AD40" s="24"/>
      <c r="AE40" s="30"/>
      <c r="AF40" s="629" t="s">
        <v>224</v>
      </c>
      <c r="AG40" s="522"/>
      <c r="AH40" s="630"/>
      <c r="AI40" s="68"/>
      <c r="AJ40" s="629" t="s">
        <v>224</v>
      </c>
      <c r="AK40" s="522"/>
      <c r="AL40" s="630"/>
      <c r="AM40" s="82"/>
      <c r="AN40" s="629" t="s">
        <v>224</v>
      </c>
      <c r="AO40" s="522"/>
      <c r="AP40" s="630"/>
      <c r="AQ40" s="30"/>
      <c r="AR40" s="625"/>
      <c r="AS40" s="79"/>
      <c r="AT40" s="666"/>
      <c r="AU40" s="41"/>
      <c r="AV40" s="666"/>
      <c r="AW40" s="30"/>
      <c r="AX40" s="24"/>
      <c r="AY40" s="92"/>
      <c r="AZ40" s="629" t="s">
        <v>224</v>
      </c>
      <c r="BA40" s="522"/>
      <c r="BB40" s="630"/>
      <c r="BC40" s="68"/>
      <c r="BD40" s="629" t="s">
        <v>224</v>
      </c>
      <c r="BE40" s="522"/>
      <c r="BF40" s="630"/>
      <c r="BG40" s="82"/>
      <c r="BH40" s="629" t="s">
        <v>224</v>
      </c>
      <c r="BI40" s="522"/>
      <c r="BJ40" s="630"/>
      <c r="BK40" s="30"/>
      <c r="BL40" s="625"/>
      <c r="BM40" s="41"/>
      <c r="BN40" s="666"/>
      <c r="BO40" s="41"/>
      <c r="BP40" s="666"/>
      <c r="BQ40" s="18"/>
      <c r="BR40" s="49"/>
    </row>
    <row r="41" spans="1:70" ht="60.6" x14ac:dyDescent="1">
      <c r="A41" s="12"/>
      <c r="B41" s="14"/>
      <c r="C41" s="568"/>
      <c r="D41" s="76"/>
      <c r="E41" s="696"/>
      <c r="F41" s="18"/>
      <c r="G41" s="643"/>
      <c r="H41" s="631"/>
      <c r="I41" s="632"/>
      <c r="J41" s="633"/>
      <c r="K41" s="68"/>
      <c r="L41" s="631"/>
      <c r="M41" s="632"/>
      <c r="N41" s="633"/>
      <c r="O41" s="82"/>
      <c r="P41" s="631"/>
      <c r="Q41" s="632"/>
      <c r="R41" s="633"/>
      <c r="S41" s="70"/>
      <c r="T41" s="631"/>
      <c r="U41" s="632"/>
      <c r="V41" s="633"/>
      <c r="W41" s="41"/>
      <c r="X41" s="625"/>
      <c r="Y41" s="77"/>
      <c r="Z41" s="666"/>
      <c r="AA41" s="41"/>
      <c r="AB41" s="666"/>
      <c r="AC41" s="30"/>
      <c r="AD41" s="24"/>
      <c r="AE41" s="30"/>
      <c r="AF41" s="631"/>
      <c r="AG41" s="632"/>
      <c r="AH41" s="633"/>
      <c r="AI41" s="68"/>
      <c r="AJ41" s="631"/>
      <c r="AK41" s="632"/>
      <c r="AL41" s="633"/>
      <c r="AM41" s="82"/>
      <c r="AN41" s="631"/>
      <c r="AO41" s="632"/>
      <c r="AP41" s="633"/>
      <c r="AQ41" s="30"/>
      <c r="AR41" s="625"/>
      <c r="AS41" s="79"/>
      <c r="AT41" s="666"/>
      <c r="AU41" s="41"/>
      <c r="AV41" s="666"/>
      <c r="AW41" s="30"/>
      <c r="AX41" s="24"/>
      <c r="AY41" s="92"/>
      <c r="AZ41" s="631"/>
      <c r="BA41" s="632"/>
      <c r="BB41" s="633"/>
      <c r="BC41" s="68"/>
      <c r="BD41" s="631"/>
      <c r="BE41" s="632"/>
      <c r="BF41" s="633"/>
      <c r="BG41" s="82"/>
      <c r="BH41" s="631"/>
      <c r="BI41" s="632"/>
      <c r="BJ41" s="633"/>
      <c r="BK41" s="30"/>
      <c r="BL41" s="625"/>
      <c r="BM41" s="41"/>
      <c r="BN41" s="666"/>
      <c r="BO41" s="41"/>
      <c r="BP41" s="666"/>
      <c r="BQ41" s="18"/>
      <c r="BR41" s="49"/>
    </row>
    <row r="42" spans="1:70" ht="39" customHeight="1" thickBot="1" x14ac:dyDescent="1.05">
      <c r="A42" s="12"/>
      <c r="B42" s="14"/>
      <c r="C42" s="568"/>
      <c r="D42" s="76"/>
      <c r="E42" s="698"/>
      <c r="F42" s="18"/>
      <c r="G42" s="644"/>
      <c r="H42" s="83"/>
      <c r="I42" s="84"/>
      <c r="J42" s="85"/>
      <c r="K42" s="68"/>
      <c r="L42" s="83"/>
      <c r="M42" s="84"/>
      <c r="N42" s="85"/>
      <c r="O42" s="68"/>
      <c r="P42" s="83"/>
      <c r="Q42" s="84"/>
      <c r="R42" s="85"/>
      <c r="S42" s="70"/>
      <c r="T42" s="83"/>
      <c r="U42" s="84"/>
      <c r="V42" s="85"/>
      <c r="W42" s="99"/>
      <c r="X42" s="626"/>
      <c r="Y42" s="77"/>
      <c r="Z42" s="666"/>
      <c r="AA42" s="41"/>
      <c r="AB42" s="666"/>
      <c r="AC42" s="30"/>
      <c r="AD42" s="24"/>
      <c r="AE42" s="30"/>
      <c r="AF42" s="83"/>
      <c r="AG42" s="84"/>
      <c r="AH42" s="85"/>
      <c r="AI42" s="68"/>
      <c r="AJ42" s="83"/>
      <c r="AK42" s="84"/>
      <c r="AL42" s="85"/>
      <c r="AM42" s="68"/>
      <c r="AN42" s="83"/>
      <c r="AO42" s="84"/>
      <c r="AP42" s="85"/>
      <c r="AQ42" s="30"/>
      <c r="AR42" s="626"/>
      <c r="AS42" s="79"/>
      <c r="AT42" s="666"/>
      <c r="AU42" s="41"/>
      <c r="AV42" s="666"/>
      <c r="AW42" s="30"/>
      <c r="AX42" s="24"/>
      <c r="AY42" s="92"/>
      <c r="AZ42" s="83"/>
      <c r="BA42" s="84"/>
      <c r="BB42" s="85"/>
      <c r="BC42" s="68"/>
      <c r="BD42" s="83"/>
      <c r="BE42" s="84"/>
      <c r="BF42" s="85"/>
      <c r="BG42" s="68"/>
      <c r="BH42" s="83"/>
      <c r="BI42" s="84"/>
      <c r="BJ42" s="85"/>
      <c r="BK42" s="30"/>
      <c r="BL42" s="626"/>
      <c r="BM42" s="41"/>
      <c r="BN42" s="666"/>
      <c r="BO42" s="41"/>
      <c r="BP42" s="666"/>
      <c r="BQ42" s="18"/>
      <c r="BR42" s="49"/>
    </row>
    <row r="43" spans="1:70" ht="61.2" thickBot="1" x14ac:dyDescent="1.05">
      <c r="A43" s="12"/>
      <c r="B43" s="14"/>
      <c r="C43" s="568"/>
      <c r="D43" s="76"/>
      <c r="E43" s="427"/>
      <c r="F43" s="18"/>
      <c r="G43" s="13"/>
      <c r="H43" s="69"/>
      <c r="I43" s="69"/>
      <c r="J43" s="109"/>
      <c r="K43" s="111"/>
      <c r="L43" s="112"/>
      <c r="M43" s="112"/>
      <c r="N43" s="112"/>
      <c r="O43" s="82"/>
      <c r="P43" s="87"/>
      <c r="Q43" s="69"/>
      <c r="R43" s="69"/>
      <c r="S43" s="68"/>
      <c r="T43" s="87"/>
      <c r="U43" s="69"/>
      <c r="V43" s="69"/>
      <c r="W43" s="16"/>
      <c r="X43" s="16"/>
      <c r="Y43" s="77"/>
      <c r="Z43" s="666"/>
      <c r="AA43" s="41"/>
      <c r="AB43" s="666"/>
      <c r="AC43" s="30"/>
      <c r="AD43" s="24"/>
      <c r="AE43" s="13"/>
      <c r="AF43" s="69"/>
      <c r="AG43" s="69"/>
      <c r="AH43" s="109"/>
      <c r="AI43" s="111"/>
      <c r="AJ43" s="112"/>
      <c r="AK43" s="112"/>
      <c r="AL43" s="112"/>
      <c r="AM43" s="82"/>
      <c r="AN43" s="87"/>
      <c r="AO43" s="69"/>
      <c r="AP43" s="69"/>
      <c r="AQ43" s="30"/>
      <c r="AR43" s="16"/>
      <c r="AS43" s="79"/>
      <c r="AT43" s="666"/>
      <c r="AU43" s="41"/>
      <c r="AV43" s="666"/>
      <c r="AW43" s="30"/>
      <c r="AX43" s="24"/>
      <c r="AY43" s="44"/>
      <c r="AZ43" s="69"/>
      <c r="BA43" s="69"/>
      <c r="BB43" s="109"/>
      <c r="BC43" s="111"/>
      <c r="BD43" s="112"/>
      <c r="BE43" s="112"/>
      <c r="BF43" s="112"/>
      <c r="BG43" s="82"/>
      <c r="BH43" s="87"/>
      <c r="BI43" s="69"/>
      <c r="BJ43" s="69"/>
      <c r="BK43" s="13"/>
      <c r="BL43" s="16"/>
      <c r="BM43" s="41"/>
      <c r="BN43" s="666"/>
      <c r="BO43" s="41"/>
      <c r="BP43" s="666"/>
      <c r="BQ43" s="18"/>
      <c r="BR43" s="49"/>
    </row>
    <row r="44" spans="1:70" ht="112.5" customHeight="1" x14ac:dyDescent="1">
      <c r="A44" s="12"/>
      <c r="B44" s="14"/>
      <c r="C44" s="568"/>
      <c r="D44" s="76"/>
      <c r="E44" s="695">
        <f>'ASIGNACIÓN ASIGNATURAS'!C19</f>
        <v>0</v>
      </c>
      <c r="F44" s="18"/>
      <c r="G44" s="642">
        <f>COUNTIF($E$14:E47,E44)</f>
        <v>2</v>
      </c>
      <c r="H44" s="553" t="str">
        <f>$G44&amp;$C$14&amp;$E44&amp;H$10</f>
        <v>2DISCIPLINAR0I SEMESTRE</v>
      </c>
      <c r="I44" s="627"/>
      <c r="J44" s="628"/>
      <c r="K44" s="68"/>
      <c r="L44" s="553" t="str">
        <f>$G44&amp;$C$14&amp;$E44&amp;L$10</f>
        <v>2DISCIPLINAR0II SEMESTRE</v>
      </c>
      <c r="M44" s="627"/>
      <c r="N44" s="628"/>
      <c r="O44" s="70"/>
      <c r="P44" s="553" t="str">
        <f>$G44&amp;$C$14&amp;$E44&amp;P$10</f>
        <v>2DISCIPLINAR0III SEMESTRE</v>
      </c>
      <c r="Q44" s="627"/>
      <c r="R44" s="628"/>
      <c r="S44" s="70"/>
      <c r="T44" s="553" t="str">
        <f>$G44&amp;$C$14&amp;$E44&amp;T$10</f>
        <v>2DISCIPLINAR0IV SEMESTRE</v>
      </c>
      <c r="U44" s="627"/>
      <c r="V44" s="628"/>
      <c r="W44" s="41"/>
      <c r="X44" s="624">
        <f>'PLANTILLA MALLA PREGRADO'!J47+'PLANTILLA MALLA PREGRADO'!N47+'PLANTILLA MALLA PREGRADO'!R47+'PLANTILLA MALLA PREGRADO'!V47</f>
        <v>0</v>
      </c>
      <c r="Y44" s="77"/>
      <c r="Z44" s="666"/>
      <c r="AA44" s="41"/>
      <c r="AB44" s="666"/>
      <c r="AC44" s="30"/>
      <c r="AD44" s="24"/>
      <c r="AE44" s="30"/>
      <c r="AF44" s="553" t="str">
        <f>$G44&amp;$C$14&amp;$E44&amp;AF$10</f>
        <v>2DISCIPLINAR0V SEMESTRE</v>
      </c>
      <c r="AG44" s="627"/>
      <c r="AH44" s="628"/>
      <c r="AI44" s="68"/>
      <c r="AJ44" s="553" t="str">
        <f>$G44&amp;$C$14&amp;$E44&amp;AJ$10</f>
        <v>2DISCIPLINAR0VI SEMESTRE</v>
      </c>
      <c r="AK44" s="627"/>
      <c r="AL44" s="628"/>
      <c r="AM44" s="70"/>
      <c r="AN44" s="553" t="str">
        <f>$G44&amp;$C$14&amp;$E44&amp;AN$10</f>
        <v>2DISCIPLINAR0x SEMESTRE</v>
      </c>
      <c r="AO44" s="627"/>
      <c r="AP44" s="628"/>
      <c r="AQ44" s="30"/>
      <c r="AR44" s="624">
        <f>'PLANTILLA MALLA PREGRADO'!AD47+'PLANTILLA MALLA PREGRADO'!AH47+'PLANTILLA MALLA PREGRADO'!AL47+'PLANTILLA MALLA PREGRADO'!AP47</f>
        <v>0</v>
      </c>
      <c r="AS44" s="79"/>
      <c r="AT44" s="666"/>
      <c r="AU44" s="41"/>
      <c r="AV44" s="666"/>
      <c r="AW44" s="30"/>
      <c r="AX44" s="24"/>
      <c r="AY44" s="92"/>
      <c r="AZ44" s="553" t="str">
        <f>$G44&amp;$C$14&amp;$E44&amp;AZ$10</f>
        <v>2DISCIPLINAR0VII SEMESTRE</v>
      </c>
      <c r="BA44" s="627"/>
      <c r="BB44" s="628"/>
      <c r="BC44" s="68"/>
      <c r="BD44" s="553" t="str">
        <f>$G44&amp;$C$14&amp;$E44&amp;BD$10</f>
        <v>2DISCIPLINAR0VIII SEMESTRE</v>
      </c>
      <c r="BE44" s="627"/>
      <c r="BF44" s="628"/>
      <c r="BG44" s="70"/>
      <c r="BH44" s="553" t="str">
        <f>$G44&amp;$C$14&amp;$E44&amp;BH$10</f>
        <v>2DISCIPLINAR0IX SEMESTRE</v>
      </c>
      <c r="BI44" s="627"/>
      <c r="BJ44" s="628"/>
      <c r="BK44" s="30"/>
      <c r="BL44" s="624">
        <f>'PLANTILLA MALLA PREGRADO'!AX47+'PLANTILLA MALLA PREGRADO'!BB47+'PLANTILLA MALLA PREGRADO'!BF47+'PLANTILLA MALLA PREGRADO'!BJ47</f>
        <v>0</v>
      </c>
      <c r="BM44" s="41"/>
      <c r="BN44" s="666"/>
      <c r="BO44" s="41"/>
      <c r="BP44" s="666"/>
      <c r="BQ44" s="18"/>
      <c r="BR44" s="49"/>
    </row>
    <row r="45" spans="1:70" ht="60.45" customHeight="1" x14ac:dyDescent="1">
      <c r="A45" s="12"/>
      <c r="B45" s="14"/>
      <c r="C45" s="568"/>
      <c r="D45" s="76"/>
      <c r="E45" s="696"/>
      <c r="F45" s="18"/>
      <c r="G45" s="643"/>
      <c r="H45" s="629" t="s">
        <v>224</v>
      </c>
      <c r="I45" s="522"/>
      <c r="J45" s="630"/>
      <c r="K45" s="68"/>
      <c r="L45" s="629" t="s">
        <v>224</v>
      </c>
      <c r="M45" s="522"/>
      <c r="N45" s="630"/>
      <c r="O45" s="82"/>
      <c r="P45" s="629" t="s">
        <v>224</v>
      </c>
      <c r="Q45" s="522"/>
      <c r="R45" s="630"/>
      <c r="S45" s="70"/>
      <c r="T45" s="629" t="s">
        <v>224</v>
      </c>
      <c r="U45" s="522"/>
      <c r="V45" s="630"/>
      <c r="W45" s="41"/>
      <c r="X45" s="625"/>
      <c r="Y45" s="77"/>
      <c r="Z45" s="666"/>
      <c r="AA45" s="41"/>
      <c r="AB45" s="666"/>
      <c r="AC45" s="30"/>
      <c r="AD45" s="24"/>
      <c r="AE45" s="30"/>
      <c r="AF45" s="629" t="s">
        <v>224</v>
      </c>
      <c r="AG45" s="522"/>
      <c r="AH45" s="630"/>
      <c r="AI45" s="68"/>
      <c r="AJ45" s="629" t="s">
        <v>224</v>
      </c>
      <c r="AK45" s="522"/>
      <c r="AL45" s="630"/>
      <c r="AM45" s="82"/>
      <c r="AN45" s="629" t="s">
        <v>224</v>
      </c>
      <c r="AO45" s="522"/>
      <c r="AP45" s="630"/>
      <c r="AQ45" s="30"/>
      <c r="AR45" s="625"/>
      <c r="AS45" s="79"/>
      <c r="AT45" s="666"/>
      <c r="AU45" s="41"/>
      <c r="AV45" s="666"/>
      <c r="AW45" s="30"/>
      <c r="AX45" s="24"/>
      <c r="AY45" s="92"/>
      <c r="AZ45" s="629" t="s">
        <v>224</v>
      </c>
      <c r="BA45" s="522"/>
      <c r="BB45" s="630"/>
      <c r="BC45" s="68"/>
      <c r="BD45" s="629" t="s">
        <v>224</v>
      </c>
      <c r="BE45" s="522"/>
      <c r="BF45" s="630"/>
      <c r="BG45" s="82"/>
      <c r="BH45" s="629" t="s">
        <v>224</v>
      </c>
      <c r="BI45" s="522"/>
      <c r="BJ45" s="630"/>
      <c r="BK45" s="30"/>
      <c r="BL45" s="625"/>
      <c r="BM45" s="41"/>
      <c r="BN45" s="666"/>
      <c r="BO45" s="41"/>
      <c r="BP45" s="666"/>
      <c r="BQ45" s="18"/>
      <c r="BR45" s="49"/>
    </row>
    <row r="46" spans="1:70" ht="60.6" x14ac:dyDescent="1">
      <c r="A46" s="12"/>
      <c r="B46" s="14"/>
      <c r="C46" s="568"/>
      <c r="D46" s="76"/>
      <c r="E46" s="696"/>
      <c r="F46" s="18"/>
      <c r="G46" s="643"/>
      <c r="H46" s="631"/>
      <c r="I46" s="632"/>
      <c r="J46" s="633"/>
      <c r="K46" s="68"/>
      <c r="L46" s="631"/>
      <c r="M46" s="632"/>
      <c r="N46" s="633"/>
      <c r="O46" s="82"/>
      <c r="P46" s="631"/>
      <c r="Q46" s="632"/>
      <c r="R46" s="633"/>
      <c r="S46" s="70"/>
      <c r="T46" s="631"/>
      <c r="U46" s="632"/>
      <c r="V46" s="633"/>
      <c r="W46" s="41"/>
      <c r="X46" s="625"/>
      <c r="Y46" s="77"/>
      <c r="Z46" s="666"/>
      <c r="AA46" s="41"/>
      <c r="AB46" s="666"/>
      <c r="AC46" s="30"/>
      <c r="AD46" s="24"/>
      <c r="AE46" s="30"/>
      <c r="AF46" s="631"/>
      <c r="AG46" s="632"/>
      <c r="AH46" s="633"/>
      <c r="AI46" s="68"/>
      <c r="AJ46" s="631"/>
      <c r="AK46" s="632"/>
      <c r="AL46" s="633"/>
      <c r="AM46" s="82"/>
      <c r="AN46" s="631"/>
      <c r="AO46" s="632"/>
      <c r="AP46" s="633"/>
      <c r="AQ46" s="30"/>
      <c r="AR46" s="625"/>
      <c r="AS46" s="79"/>
      <c r="AT46" s="666"/>
      <c r="AU46" s="41"/>
      <c r="AV46" s="666"/>
      <c r="AW46" s="30"/>
      <c r="AX46" s="24"/>
      <c r="AY46" s="92"/>
      <c r="AZ46" s="631"/>
      <c r="BA46" s="632"/>
      <c r="BB46" s="633"/>
      <c r="BC46" s="68"/>
      <c r="BD46" s="631"/>
      <c r="BE46" s="632"/>
      <c r="BF46" s="633"/>
      <c r="BG46" s="82"/>
      <c r="BH46" s="631"/>
      <c r="BI46" s="632"/>
      <c r="BJ46" s="633"/>
      <c r="BK46" s="30"/>
      <c r="BL46" s="625"/>
      <c r="BM46" s="41"/>
      <c r="BN46" s="666"/>
      <c r="BO46" s="41"/>
      <c r="BP46" s="666"/>
      <c r="BQ46" s="18"/>
      <c r="BR46" s="49"/>
    </row>
    <row r="47" spans="1:70" ht="38.25" customHeight="1" thickBot="1" x14ac:dyDescent="1.05">
      <c r="A47" s="12"/>
      <c r="B47" s="14"/>
      <c r="C47" s="568"/>
      <c r="D47" s="76"/>
      <c r="E47" s="698"/>
      <c r="F47" s="18"/>
      <c r="G47" s="644"/>
      <c r="H47" s="83"/>
      <c r="I47" s="84"/>
      <c r="J47" s="85"/>
      <c r="K47" s="68"/>
      <c r="L47" s="83"/>
      <c r="M47" s="84"/>
      <c r="N47" s="85"/>
      <c r="O47" s="68"/>
      <c r="P47" s="83"/>
      <c r="Q47" s="84"/>
      <c r="R47" s="85"/>
      <c r="S47" s="70"/>
      <c r="T47" s="83"/>
      <c r="U47" s="84"/>
      <c r="V47" s="85"/>
      <c r="W47" s="41"/>
      <c r="X47" s="626"/>
      <c r="Y47" s="77"/>
      <c r="Z47" s="666"/>
      <c r="AA47" s="41"/>
      <c r="AB47" s="666"/>
      <c r="AC47" s="30"/>
      <c r="AD47" s="24"/>
      <c r="AE47" s="30"/>
      <c r="AF47" s="83"/>
      <c r="AG47" s="84"/>
      <c r="AH47" s="85"/>
      <c r="AI47" s="68"/>
      <c r="AJ47" s="83"/>
      <c r="AK47" s="84"/>
      <c r="AL47" s="85"/>
      <c r="AM47" s="68"/>
      <c r="AN47" s="83"/>
      <c r="AO47" s="84"/>
      <c r="AP47" s="85"/>
      <c r="AQ47" s="30"/>
      <c r="AR47" s="626"/>
      <c r="AS47" s="79"/>
      <c r="AT47" s="666"/>
      <c r="AU47" s="41"/>
      <c r="AV47" s="666"/>
      <c r="AW47" s="30"/>
      <c r="AX47" s="24"/>
      <c r="AY47" s="92"/>
      <c r="AZ47" s="83"/>
      <c r="BA47" s="84"/>
      <c r="BB47" s="85"/>
      <c r="BC47" s="68"/>
      <c r="BD47" s="83"/>
      <c r="BE47" s="84"/>
      <c r="BF47" s="85"/>
      <c r="BG47" s="68"/>
      <c r="BH47" s="83"/>
      <c r="BI47" s="84"/>
      <c r="BJ47" s="85"/>
      <c r="BK47" s="30"/>
      <c r="BL47" s="626"/>
      <c r="BM47" s="41"/>
      <c r="BN47" s="666"/>
      <c r="BO47" s="41"/>
      <c r="BP47" s="666"/>
      <c r="BQ47" s="18"/>
      <c r="BR47" s="49"/>
    </row>
    <row r="48" spans="1:70" ht="61.2" thickBot="1" x14ac:dyDescent="1.05">
      <c r="A48" s="12"/>
      <c r="B48" s="14"/>
      <c r="C48" s="568"/>
      <c r="D48" s="76"/>
      <c r="E48" s="429"/>
      <c r="F48" s="18"/>
      <c r="G48" s="13"/>
      <c r="H48" s="113"/>
      <c r="I48" s="114"/>
      <c r="J48" s="114"/>
      <c r="K48" s="115"/>
      <c r="L48" s="109"/>
      <c r="M48" s="109"/>
      <c r="N48" s="109"/>
      <c r="O48" s="111"/>
      <c r="P48" s="109"/>
      <c r="Q48" s="109"/>
      <c r="R48" s="109"/>
      <c r="S48" s="70"/>
      <c r="T48" s="87"/>
      <c r="U48" s="69"/>
      <c r="V48" s="69"/>
      <c r="W48" s="30"/>
      <c r="X48" s="441"/>
      <c r="Y48" s="77"/>
      <c r="Z48" s="666"/>
      <c r="AA48" s="41"/>
      <c r="AB48" s="666"/>
      <c r="AC48" s="30"/>
      <c r="AD48" s="24"/>
      <c r="AE48" s="13"/>
      <c r="AF48" s="113"/>
      <c r="AG48" s="114"/>
      <c r="AH48" s="114"/>
      <c r="AI48" s="115"/>
      <c r="AJ48" s="109"/>
      <c r="AK48" s="109"/>
      <c r="AL48" s="109"/>
      <c r="AM48" s="111"/>
      <c r="AN48" s="109"/>
      <c r="AO48" s="109"/>
      <c r="AP48" s="109"/>
      <c r="AQ48" s="12"/>
      <c r="AR48" s="441"/>
      <c r="AS48" s="79"/>
      <c r="AT48" s="666"/>
      <c r="AU48" s="41"/>
      <c r="AV48" s="666"/>
      <c r="AW48" s="30"/>
      <c r="AX48" s="24"/>
      <c r="AY48" s="44"/>
      <c r="AZ48" s="113"/>
      <c r="BA48" s="114"/>
      <c r="BB48" s="114"/>
      <c r="BC48" s="115"/>
      <c r="BD48" s="109"/>
      <c r="BE48" s="109"/>
      <c r="BF48" s="109"/>
      <c r="BG48" s="111"/>
      <c r="BH48" s="109"/>
      <c r="BI48" s="109"/>
      <c r="BJ48" s="109"/>
      <c r="BK48" s="30"/>
      <c r="BL48" s="441"/>
      <c r="BM48" s="41"/>
      <c r="BN48" s="666"/>
      <c r="BO48" s="41"/>
      <c r="BP48" s="666"/>
      <c r="BQ48" s="18"/>
      <c r="BR48" s="49"/>
    </row>
    <row r="49" spans="1:70" ht="117.75" customHeight="1" x14ac:dyDescent="1">
      <c r="A49" s="12"/>
      <c r="B49" s="14"/>
      <c r="C49" s="568"/>
      <c r="D49" s="76"/>
      <c r="E49" s="695">
        <f>'ASIGNACIÓN ASIGNATURAS'!C20</f>
        <v>0</v>
      </c>
      <c r="F49" s="18"/>
      <c r="G49" s="642">
        <f>COUNTIF($E$14:E52,E49)</f>
        <v>3</v>
      </c>
      <c r="H49" s="553" t="str">
        <f>$G49&amp;$C$14&amp;$E49&amp;H$10</f>
        <v>3DISCIPLINAR0I SEMESTRE</v>
      </c>
      <c r="I49" s="627"/>
      <c r="J49" s="628"/>
      <c r="K49" s="68"/>
      <c r="L49" s="553" t="str">
        <f>$G49&amp;$C$14&amp;$E49&amp;L$10</f>
        <v>3DISCIPLINAR0II SEMESTRE</v>
      </c>
      <c r="M49" s="627"/>
      <c r="N49" s="628"/>
      <c r="O49" s="70"/>
      <c r="P49" s="553" t="str">
        <f>$G49&amp;$C$14&amp;$E49&amp;P$10</f>
        <v>3DISCIPLINAR0III SEMESTRE</v>
      </c>
      <c r="Q49" s="627"/>
      <c r="R49" s="628"/>
      <c r="S49" s="70"/>
      <c r="T49" s="553" t="str">
        <f>$G49&amp;$C$14&amp;$E49&amp;T$10</f>
        <v>3DISCIPLINAR0IV SEMESTRE</v>
      </c>
      <c r="U49" s="627"/>
      <c r="V49" s="628"/>
      <c r="W49" s="30"/>
      <c r="X49" s="624">
        <f>'PLANTILLA MALLA PREGRADO'!J52+'PLANTILLA MALLA PREGRADO'!N52+'PLANTILLA MALLA PREGRADO'!R52+'PLANTILLA MALLA PREGRADO'!V52</f>
        <v>0</v>
      </c>
      <c r="Y49" s="77"/>
      <c r="Z49" s="666"/>
      <c r="AA49" s="41"/>
      <c r="AB49" s="666"/>
      <c r="AC49" s="30"/>
      <c r="AD49" s="24"/>
      <c r="AE49" s="30"/>
      <c r="AF49" s="553" t="str">
        <f>$G49&amp;$C$14&amp;$E49&amp;AF$10</f>
        <v>3DISCIPLINAR0V SEMESTRE</v>
      </c>
      <c r="AG49" s="627"/>
      <c r="AH49" s="628"/>
      <c r="AI49" s="68"/>
      <c r="AJ49" s="553" t="str">
        <f>$G49&amp;$C$14&amp;$E49&amp;AJ$10</f>
        <v>3DISCIPLINAR0VI SEMESTRE</v>
      </c>
      <c r="AK49" s="627"/>
      <c r="AL49" s="628"/>
      <c r="AM49" s="70"/>
      <c r="AN49" s="553" t="str">
        <f>$G49&amp;$C$14&amp;$E49&amp;AN$10</f>
        <v>3DISCIPLINAR0x SEMESTRE</v>
      </c>
      <c r="AO49" s="627"/>
      <c r="AP49" s="628"/>
      <c r="AQ49" s="12"/>
      <c r="AR49" s="624">
        <f>'PLANTILLA MALLA PREGRADO'!AD52+'PLANTILLA MALLA PREGRADO'!AH52+'PLANTILLA MALLA PREGRADO'!AL52+'PLANTILLA MALLA PREGRADO'!AP52</f>
        <v>0</v>
      </c>
      <c r="AS49" s="79"/>
      <c r="AT49" s="666"/>
      <c r="AU49" s="41"/>
      <c r="AV49" s="666"/>
      <c r="AW49" s="30"/>
      <c r="AX49" s="24"/>
      <c r="AY49" s="92"/>
      <c r="AZ49" s="553" t="str">
        <f>$G49&amp;$C$14&amp;$E49&amp;AZ$10</f>
        <v>3DISCIPLINAR0VII SEMESTRE</v>
      </c>
      <c r="BA49" s="627"/>
      <c r="BB49" s="628"/>
      <c r="BC49" s="68"/>
      <c r="BD49" s="553" t="str">
        <f>$G49&amp;$C$14&amp;$E49&amp;BD$10</f>
        <v>3DISCIPLINAR0VIII SEMESTRE</v>
      </c>
      <c r="BE49" s="627"/>
      <c r="BF49" s="628"/>
      <c r="BG49" s="70"/>
      <c r="BH49" s="553" t="str">
        <f>$G49&amp;$C$14&amp;$E49&amp;BH$10</f>
        <v>3DISCIPLINAR0IX SEMESTRE</v>
      </c>
      <c r="BI49" s="627"/>
      <c r="BJ49" s="628"/>
      <c r="BK49" s="30"/>
      <c r="BL49" s="624">
        <f>'PLANTILLA MALLA PREGRADO'!AX52+'PLANTILLA MALLA PREGRADO'!BB52+'PLANTILLA MALLA PREGRADO'!BF52+'PLANTILLA MALLA PREGRADO'!BJ52</f>
        <v>0</v>
      </c>
      <c r="BM49" s="41"/>
      <c r="BN49" s="666"/>
      <c r="BO49" s="41"/>
      <c r="BP49" s="666"/>
      <c r="BQ49" s="18"/>
      <c r="BR49" s="49"/>
    </row>
    <row r="50" spans="1:70" ht="60.45" customHeight="1" x14ac:dyDescent="1">
      <c r="A50" s="12"/>
      <c r="B50" s="14"/>
      <c r="C50" s="568"/>
      <c r="D50" s="76"/>
      <c r="E50" s="696"/>
      <c r="F50" s="18"/>
      <c r="G50" s="643"/>
      <c r="H50" s="629" t="s">
        <v>224</v>
      </c>
      <c r="I50" s="522"/>
      <c r="J50" s="630"/>
      <c r="K50" s="68"/>
      <c r="L50" s="629" t="s">
        <v>224</v>
      </c>
      <c r="M50" s="522"/>
      <c r="N50" s="630"/>
      <c r="O50" s="82"/>
      <c r="P50" s="629" t="s">
        <v>224</v>
      </c>
      <c r="Q50" s="522"/>
      <c r="R50" s="630"/>
      <c r="S50" s="70"/>
      <c r="T50" s="629" t="s">
        <v>224</v>
      </c>
      <c r="U50" s="522"/>
      <c r="V50" s="630"/>
      <c r="W50" s="30"/>
      <c r="X50" s="625"/>
      <c r="Y50" s="77"/>
      <c r="Z50" s="666"/>
      <c r="AA50" s="41"/>
      <c r="AB50" s="666"/>
      <c r="AC50" s="30"/>
      <c r="AD50" s="24"/>
      <c r="AE50" s="30"/>
      <c r="AF50" s="629" t="s">
        <v>224</v>
      </c>
      <c r="AG50" s="522"/>
      <c r="AH50" s="630"/>
      <c r="AI50" s="68"/>
      <c r="AJ50" s="629" t="s">
        <v>224</v>
      </c>
      <c r="AK50" s="522"/>
      <c r="AL50" s="630"/>
      <c r="AM50" s="82"/>
      <c r="AN50" s="629" t="s">
        <v>224</v>
      </c>
      <c r="AO50" s="522"/>
      <c r="AP50" s="630"/>
      <c r="AQ50" s="12"/>
      <c r="AR50" s="625"/>
      <c r="AS50" s="79"/>
      <c r="AT50" s="666"/>
      <c r="AU50" s="41"/>
      <c r="AV50" s="666"/>
      <c r="AW50" s="30"/>
      <c r="AX50" s="24"/>
      <c r="AY50" s="92"/>
      <c r="AZ50" s="629" t="s">
        <v>224</v>
      </c>
      <c r="BA50" s="522"/>
      <c r="BB50" s="630"/>
      <c r="BC50" s="68"/>
      <c r="BD50" s="629" t="s">
        <v>224</v>
      </c>
      <c r="BE50" s="522"/>
      <c r="BF50" s="630"/>
      <c r="BG50" s="82"/>
      <c r="BH50" s="629" t="s">
        <v>224</v>
      </c>
      <c r="BI50" s="522"/>
      <c r="BJ50" s="630"/>
      <c r="BK50" s="30"/>
      <c r="BL50" s="625"/>
      <c r="BM50" s="41"/>
      <c r="BN50" s="666"/>
      <c r="BO50" s="41"/>
      <c r="BP50" s="666"/>
      <c r="BQ50" s="18"/>
      <c r="BR50" s="49"/>
    </row>
    <row r="51" spans="1:70" ht="60.6" x14ac:dyDescent="1">
      <c r="A51" s="12"/>
      <c r="B51" s="14"/>
      <c r="C51" s="568"/>
      <c r="D51" s="76"/>
      <c r="E51" s="696"/>
      <c r="F51" s="18"/>
      <c r="G51" s="643"/>
      <c r="H51" s="631"/>
      <c r="I51" s="632"/>
      <c r="J51" s="633"/>
      <c r="K51" s="68"/>
      <c r="L51" s="631"/>
      <c r="M51" s="632"/>
      <c r="N51" s="633"/>
      <c r="O51" s="82"/>
      <c r="P51" s="631"/>
      <c r="Q51" s="632"/>
      <c r="R51" s="633"/>
      <c r="S51" s="70"/>
      <c r="T51" s="631"/>
      <c r="U51" s="632"/>
      <c r="V51" s="633"/>
      <c r="W51" s="30"/>
      <c r="X51" s="625"/>
      <c r="Y51" s="77"/>
      <c r="Z51" s="666"/>
      <c r="AA51" s="41"/>
      <c r="AB51" s="666"/>
      <c r="AC51" s="30"/>
      <c r="AD51" s="24"/>
      <c r="AE51" s="30"/>
      <c r="AF51" s="631"/>
      <c r="AG51" s="632"/>
      <c r="AH51" s="633"/>
      <c r="AI51" s="68"/>
      <c r="AJ51" s="631"/>
      <c r="AK51" s="632"/>
      <c r="AL51" s="633"/>
      <c r="AM51" s="82"/>
      <c r="AN51" s="631"/>
      <c r="AO51" s="632"/>
      <c r="AP51" s="633"/>
      <c r="AQ51" s="12"/>
      <c r="AR51" s="625"/>
      <c r="AS51" s="79"/>
      <c r="AT51" s="666"/>
      <c r="AU51" s="41"/>
      <c r="AV51" s="666"/>
      <c r="AW51" s="30"/>
      <c r="AX51" s="24"/>
      <c r="AY51" s="92"/>
      <c r="AZ51" s="631"/>
      <c r="BA51" s="632"/>
      <c r="BB51" s="633"/>
      <c r="BC51" s="68"/>
      <c r="BD51" s="631"/>
      <c r="BE51" s="632"/>
      <c r="BF51" s="633"/>
      <c r="BG51" s="82"/>
      <c r="BH51" s="631"/>
      <c r="BI51" s="632"/>
      <c r="BJ51" s="633"/>
      <c r="BK51" s="30"/>
      <c r="BL51" s="625"/>
      <c r="BM51" s="41"/>
      <c r="BN51" s="666"/>
      <c r="BO51" s="41"/>
      <c r="BP51" s="666"/>
      <c r="BQ51" s="18"/>
      <c r="BR51" s="49"/>
    </row>
    <row r="52" spans="1:70" ht="42.75" customHeight="1" thickBot="1" x14ac:dyDescent="1.05">
      <c r="A52" s="12"/>
      <c r="B52" s="14"/>
      <c r="C52" s="568"/>
      <c r="D52" s="76"/>
      <c r="E52" s="698"/>
      <c r="F52" s="18"/>
      <c r="G52" s="644"/>
      <c r="H52" s="83"/>
      <c r="I52" s="84"/>
      <c r="J52" s="85"/>
      <c r="K52" s="68"/>
      <c r="L52" s="83"/>
      <c r="M52" s="84"/>
      <c r="N52" s="85"/>
      <c r="O52" s="68"/>
      <c r="P52" s="83"/>
      <c r="Q52" s="84"/>
      <c r="R52" s="85"/>
      <c r="S52" s="70"/>
      <c r="T52" s="83"/>
      <c r="U52" s="84"/>
      <c r="V52" s="85"/>
      <c r="W52" s="30"/>
      <c r="X52" s="626"/>
      <c r="Y52" s="77"/>
      <c r="Z52" s="666"/>
      <c r="AA52" s="41"/>
      <c r="AB52" s="666"/>
      <c r="AC52" s="30"/>
      <c r="AD52" s="24"/>
      <c r="AE52" s="30"/>
      <c r="AF52" s="83"/>
      <c r="AG52" s="84"/>
      <c r="AH52" s="85"/>
      <c r="AI52" s="68"/>
      <c r="AJ52" s="83"/>
      <c r="AK52" s="84"/>
      <c r="AL52" s="85"/>
      <c r="AM52" s="68"/>
      <c r="AN52" s="83"/>
      <c r="AO52" s="84"/>
      <c r="AP52" s="85"/>
      <c r="AQ52" s="12"/>
      <c r="AR52" s="626"/>
      <c r="AS52" s="79"/>
      <c r="AT52" s="666"/>
      <c r="AU52" s="41"/>
      <c r="AV52" s="666"/>
      <c r="AW52" s="30"/>
      <c r="AX52" s="24"/>
      <c r="AY52" s="92"/>
      <c r="AZ52" s="83"/>
      <c r="BA52" s="84"/>
      <c r="BB52" s="85"/>
      <c r="BC52" s="68"/>
      <c r="BD52" s="83"/>
      <c r="BE52" s="84"/>
      <c r="BF52" s="85"/>
      <c r="BG52" s="68"/>
      <c r="BH52" s="83"/>
      <c r="BI52" s="84"/>
      <c r="BJ52" s="85"/>
      <c r="BK52" s="30"/>
      <c r="BL52" s="626"/>
      <c r="BM52" s="41"/>
      <c r="BN52" s="666"/>
      <c r="BO52" s="41"/>
      <c r="BP52" s="666"/>
      <c r="BQ52" s="18"/>
      <c r="BR52" s="49"/>
    </row>
    <row r="53" spans="1:70" ht="61.2" thickBot="1" x14ac:dyDescent="1.05">
      <c r="A53" s="12"/>
      <c r="B53" s="14"/>
      <c r="C53" s="568"/>
      <c r="D53" s="76"/>
      <c r="E53" s="429"/>
      <c r="F53" s="18"/>
      <c r="G53" s="13"/>
      <c r="H53" s="116"/>
      <c r="I53" s="117"/>
      <c r="J53" s="117"/>
      <c r="K53" s="70"/>
      <c r="L53" s="118"/>
      <c r="M53" s="109"/>
      <c r="N53" s="109"/>
      <c r="O53" s="111"/>
      <c r="P53" s="109"/>
      <c r="Q53" s="109"/>
      <c r="R53" s="109"/>
      <c r="S53" s="70"/>
      <c r="T53" s="87"/>
      <c r="U53" s="69"/>
      <c r="V53" s="69"/>
      <c r="W53" s="30"/>
      <c r="X53" s="441"/>
      <c r="Y53" s="77"/>
      <c r="Z53" s="666"/>
      <c r="AA53" s="41"/>
      <c r="AB53" s="666"/>
      <c r="AC53" s="30"/>
      <c r="AD53" s="24"/>
      <c r="AE53" s="30"/>
      <c r="AF53" s="116"/>
      <c r="AG53" s="117"/>
      <c r="AH53" s="117"/>
      <c r="AI53" s="70"/>
      <c r="AJ53" s="118"/>
      <c r="AK53" s="109"/>
      <c r="AL53" s="109"/>
      <c r="AM53" s="111"/>
      <c r="AN53" s="109"/>
      <c r="AO53" s="109"/>
      <c r="AP53" s="109"/>
      <c r="AQ53" s="12"/>
      <c r="AR53" s="441"/>
      <c r="AS53" s="79"/>
      <c r="AT53" s="666"/>
      <c r="AU53" s="41"/>
      <c r="AV53" s="666"/>
      <c r="AW53" s="30"/>
      <c r="AX53" s="24"/>
      <c r="AY53" s="92"/>
      <c r="AZ53" s="116"/>
      <c r="BA53" s="117"/>
      <c r="BB53" s="117"/>
      <c r="BC53" s="70"/>
      <c r="BD53" s="118"/>
      <c r="BE53" s="109"/>
      <c r="BF53" s="109"/>
      <c r="BG53" s="111"/>
      <c r="BH53" s="109"/>
      <c r="BI53" s="109"/>
      <c r="BJ53" s="109"/>
      <c r="BK53" s="30"/>
      <c r="BL53" s="441"/>
      <c r="BM53" s="41"/>
      <c r="BN53" s="666"/>
      <c r="BO53" s="41"/>
      <c r="BP53" s="666"/>
      <c r="BQ53" s="18"/>
      <c r="BR53" s="49"/>
    </row>
    <row r="54" spans="1:70" ht="134.25" customHeight="1" x14ac:dyDescent="1">
      <c r="A54" s="12"/>
      <c r="B54" s="14"/>
      <c r="C54" s="568"/>
      <c r="D54" s="76"/>
      <c r="E54" s="695">
        <f>'ASIGNACIÓN ASIGNATURAS'!C21</f>
        <v>0</v>
      </c>
      <c r="F54" s="18"/>
      <c r="G54" s="642">
        <f>COUNTIF($E$14:E57,E54)</f>
        <v>4</v>
      </c>
      <c r="H54" s="553" t="str">
        <f>$G54&amp;$C$14&amp;$E54&amp;H$10</f>
        <v>4DISCIPLINAR0I SEMESTRE</v>
      </c>
      <c r="I54" s="627"/>
      <c r="J54" s="628"/>
      <c r="K54" s="68"/>
      <c r="L54" s="553" t="str">
        <f>$G54&amp;$C$14&amp;$E54&amp;L$10</f>
        <v>4DISCIPLINAR0II SEMESTRE</v>
      </c>
      <c r="M54" s="627"/>
      <c r="N54" s="628"/>
      <c r="O54" s="70"/>
      <c r="P54" s="553" t="str">
        <f>$G54&amp;$C$14&amp;$E54&amp;P$10</f>
        <v>4DISCIPLINAR0III SEMESTRE</v>
      </c>
      <c r="Q54" s="627"/>
      <c r="R54" s="628"/>
      <c r="S54" s="70"/>
      <c r="T54" s="553" t="str">
        <f>$G54&amp;$C$14&amp;$E54&amp;T$10</f>
        <v>4DISCIPLINAR0IV SEMESTRE</v>
      </c>
      <c r="U54" s="627"/>
      <c r="V54" s="628"/>
      <c r="W54" s="30"/>
      <c r="X54" s="624">
        <f>'PLANTILLA MALLA PREGRADO'!J57+'PLANTILLA MALLA PREGRADO'!N57+'PLANTILLA MALLA PREGRADO'!R57+'PLANTILLA MALLA PREGRADO'!V57</f>
        <v>0</v>
      </c>
      <c r="Y54" s="77"/>
      <c r="Z54" s="666"/>
      <c r="AA54" s="41"/>
      <c r="AB54" s="666"/>
      <c r="AC54" s="30"/>
      <c r="AD54" s="24"/>
      <c r="AE54" s="30"/>
      <c r="AF54" s="553" t="str">
        <f>$G54&amp;$C$14&amp;$E54&amp;AF$10</f>
        <v>4DISCIPLINAR0V SEMESTRE</v>
      </c>
      <c r="AG54" s="627"/>
      <c r="AH54" s="628"/>
      <c r="AI54" s="68"/>
      <c r="AJ54" s="553" t="str">
        <f>$G54&amp;$C$14&amp;$E54&amp;AJ$10</f>
        <v>4DISCIPLINAR0VI SEMESTRE</v>
      </c>
      <c r="AK54" s="627"/>
      <c r="AL54" s="628"/>
      <c r="AM54" s="70"/>
      <c r="AN54" s="553" t="str">
        <f>$G54&amp;$C$14&amp;$E54&amp;AN$10</f>
        <v>4DISCIPLINAR0x SEMESTRE</v>
      </c>
      <c r="AO54" s="627"/>
      <c r="AP54" s="628"/>
      <c r="AQ54" s="12"/>
      <c r="AR54" s="624">
        <f>'PLANTILLA MALLA PREGRADO'!AD57+'PLANTILLA MALLA PREGRADO'!AH57+'PLANTILLA MALLA PREGRADO'!AL57+'PLANTILLA MALLA PREGRADO'!AP57</f>
        <v>0</v>
      </c>
      <c r="AS54" s="79"/>
      <c r="AT54" s="666"/>
      <c r="AU54" s="41"/>
      <c r="AV54" s="666"/>
      <c r="AW54" s="30"/>
      <c r="AX54" s="24"/>
      <c r="AY54" s="44"/>
      <c r="AZ54" s="553" t="str">
        <f>$G54&amp;$C$14&amp;$E54&amp;AZ$10</f>
        <v>4DISCIPLINAR0VII SEMESTRE</v>
      </c>
      <c r="BA54" s="627"/>
      <c r="BB54" s="628"/>
      <c r="BC54" s="68"/>
      <c r="BD54" s="553" t="str">
        <f>$G54&amp;$C$14&amp;$E54&amp;BD$10</f>
        <v>4DISCIPLINAR0VIII SEMESTRE</v>
      </c>
      <c r="BE54" s="627"/>
      <c r="BF54" s="628"/>
      <c r="BG54" s="70"/>
      <c r="BH54" s="553" t="str">
        <f>$G54&amp;$C$14&amp;$E54&amp;BH$10</f>
        <v>4DISCIPLINAR0IX SEMESTRE</v>
      </c>
      <c r="BI54" s="627"/>
      <c r="BJ54" s="628"/>
      <c r="BK54" s="30"/>
      <c r="BL54" s="624">
        <f>'PLANTILLA MALLA PREGRADO'!AX57+'PLANTILLA MALLA PREGRADO'!BB57+'PLANTILLA MALLA PREGRADO'!BF57+'PLANTILLA MALLA PREGRADO'!BJ57</f>
        <v>0</v>
      </c>
      <c r="BM54" s="41"/>
      <c r="BN54" s="666"/>
      <c r="BO54" s="41"/>
      <c r="BP54" s="666"/>
      <c r="BQ54" s="18"/>
      <c r="BR54" s="49"/>
    </row>
    <row r="55" spans="1:70" ht="60.45" customHeight="1" x14ac:dyDescent="1">
      <c r="A55" s="12"/>
      <c r="B55" s="14"/>
      <c r="C55" s="568"/>
      <c r="D55" s="76"/>
      <c r="E55" s="696"/>
      <c r="F55" s="18"/>
      <c r="G55" s="643"/>
      <c r="H55" s="629" t="s">
        <v>224</v>
      </c>
      <c r="I55" s="522"/>
      <c r="J55" s="630"/>
      <c r="K55" s="68"/>
      <c r="L55" s="629" t="s">
        <v>224</v>
      </c>
      <c r="M55" s="522"/>
      <c r="N55" s="630"/>
      <c r="O55" s="82"/>
      <c r="P55" s="629" t="s">
        <v>224</v>
      </c>
      <c r="Q55" s="522"/>
      <c r="R55" s="630"/>
      <c r="S55" s="70"/>
      <c r="T55" s="629" t="s">
        <v>224</v>
      </c>
      <c r="U55" s="522"/>
      <c r="V55" s="630"/>
      <c r="W55" s="30"/>
      <c r="X55" s="625"/>
      <c r="Y55" s="77"/>
      <c r="Z55" s="666"/>
      <c r="AA55" s="41"/>
      <c r="AB55" s="666"/>
      <c r="AC55" s="30"/>
      <c r="AD55" s="24"/>
      <c r="AE55" s="30"/>
      <c r="AF55" s="629" t="s">
        <v>224</v>
      </c>
      <c r="AG55" s="522"/>
      <c r="AH55" s="630"/>
      <c r="AI55" s="68"/>
      <c r="AJ55" s="629" t="s">
        <v>224</v>
      </c>
      <c r="AK55" s="522"/>
      <c r="AL55" s="630"/>
      <c r="AM55" s="82"/>
      <c r="AN55" s="629" t="s">
        <v>224</v>
      </c>
      <c r="AO55" s="522"/>
      <c r="AP55" s="630"/>
      <c r="AQ55" s="12"/>
      <c r="AR55" s="625"/>
      <c r="AS55" s="79"/>
      <c r="AT55" s="666"/>
      <c r="AU55" s="41"/>
      <c r="AV55" s="666"/>
      <c r="AW55" s="30"/>
      <c r="AX55" s="24"/>
      <c r="AY55" s="44"/>
      <c r="AZ55" s="629" t="s">
        <v>224</v>
      </c>
      <c r="BA55" s="522"/>
      <c r="BB55" s="630"/>
      <c r="BC55" s="68"/>
      <c r="BD55" s="629" t="s">
        <v>224</v>
      </c>
      <c r="BE55" s="522"/>
      <c r="BF55" s="630"/>
      <c r="BG55" s="82"/>
      <c r="BH55" s="629" t="s">
        <v>224</v>
      </c>
      <c r="BI55" s="522"/>
      <c r="BJ55" s="630"/>
      <c r="BK55" s="30"/>
      <c r="BL55" s="625"/>
      <c r="BM55" s="41"/>
      <c r="BN55" s="666"/>
      <c r="BO55" s="41"/>
      <c r="BP55" s="666"/>
      <c r="BQ55" s="18"/>
      <c r="BR55" s="49"/>
    </row>
    <row r="56" spans="1:70" ht="60.6" x14ac:dyDescent="1">
      <c r="A56" s="12"/>
      <c r="B56" s="14"/>
      <c r="C56" s="568"/>
      <c r="D56" s="76"/>
      <c r="E56" s="696"/>
      <c r="F56" s="18"/>
      <c r="G56" s="643"/>
      <c r="H56" s="631"/>
      <c r="I56" s="632"/>
      <c r="J56" s="633"/>
      <c r="K56" s="68"/>
      <c r="L56" s="631"/>
      <c r="M56" s="632"/>
      <c r="N56" s="633"/>
      <c r="O56" s="82"/>
      <c r="P56" s="631"/>
      <c r="Q56" s="632"/>
      <c r="R56" s="633"/>
      <c r="S56" s="70"/>
      <c r="T56" s="631"/>
      <c r="U56" s="632"/>
      <c r="V56" s="633"/>
      <c r="W56" s="30"/>
      <c r="X56" s="625"/>
      <c r="Y56" s="77"/>
      <c r="Z56" s="666"/>
      <c r="AA56" s="41"/>
      <c r="AB56" s="666"/>
      <c r="AC56" s="30"/>
      <c r="AD56" s="24"/>
      <c r="AE56" s="30"/>
      <c r="AF56" s="631"/>
      <c r="AG56" s="632"/>
      <c r="AH56" s="633"/>
      <c r="AI56" s="68"/>
      <c r="AJ56" s="631"/>
      <c r="AK56" s="632"/>
      <c r="AL56" s="633"/>
      <c r="AM56" s="82"/>
      <c r="AN56" s="631"/>
      <c r="AO56" s="632"/>
      <c r="AP56" s="633"/>
      <c r="AQ56" s="12"/>
      <c r="AR56" s="625"/>
      <c r="AS56" s="79"/>
      <c r="AT56" s="666"/>
      <c r="AU56" s="41"/>
      <c r="AV56" s="666"/>
      <c r="AW56" s="30"/>
      <c r="AX56" s="24"/>
      <c r="AY56" s="44"/>
      <c r="AZ56" s="631"/>
      <c r="BA56" s="632"/>
      <c r="BB56" s="633"/>
      <c r="BC56" s="68"/>
      <c r="BD56" s="631"/>
      <c r="BE56" s="632"/>
      <c r="BF56" s="633"/>
      <c r="BG56" s="82"/>
      <c r="BH56" s="631"/>
      <c r="BI56" s="632"/>
      <c r="BJ56" s="633"/>
      <c r="BK56" s="30"/>
      <c r="BL56" s="625"/>
      <c r="BM56" s="41"/>
      <c r="BN56" s="666"/>
      <c r="BO56" s="41"/>
      <c r="BP56" s="666"/>
      <c r="BQ56" s="18"/>
      <c r="BR56" s="49"/>
    </row>
    <row r="57" spans="1:70" ht="39" customHeight="1" thickBot="1" x14ac:dyDescent="1.05">
      <c r="A57" s="12"/>
      <c r="B57" s="14"/>
      <c r="C57" s="568"/>
      <c r="D57" s="76"/>
      <c r="E57" s="698"/>
      <c r="F57" s="18"/>
      <c r="G57" s="644"/>
      <c r="H57" s="83"/>
      <c r="I57" s="84"/>
      <c r="J57" s="85"/>
      <c r="K57" s="68"/>
      <c r="L57" s="83"/>
      <c r="M57" s="84"/>
      <c r="N57" s="85"/>
      <c r="O57" s="68"/>
      <c r="P57" s="83"/>
      <c r="Q57" s="84"/>
      <c r="R57" s="85"/>
      <c r="S57" s="70"/>
      <c r="T57" s="83"/>
      <c r="U57" s="84"/>
      <c r="V57" s="85"/>
      <c r="W57" s="30"/>
      <c r="X57" s="626"/>
      <c r="Y57" s="77"/>
      <c r="Z57" s="666"/>
      <c r="AA57" s="41"/>
      <c r="AB57" s="666"/>
      <c r="AC57" s="30"/>
      <c r="AD57" s="24"/>
      <c r="AE57" s="30"/>
      <c r="AF57" s="83"/>
      <c r="AG57" s="84"/>
      <c r="AH57" s="85"/>
      <c r="AI57" s="68"/>
      <c r="AJ57" s="83"/>
      <c r="AK57" s="84"/>
      <c r="AL57" s="85"/>
      <c r="AM57" s="68"/>
      <c r="AN57" s="83"/>
      <c r="AO57" s="84"/>
      <c r="AP57" s="85"/>
      <c r="AQ57" s="12"/>
      <c r="AR57" s="626"/>
      <c r="AS57" s="79"/>
      <c r="AT57" s="666"/>
      <c r="AU57" s="41"/>
      <c r="AV57" s="666"/>
      <c r="AW57" s="30"/>
      <c r="AX57" s="24"/>
      <c r="AY57" s="44"/>
      <c r="AZ57" s="83"/>
      <c r="BA57" s="84"/>
      <c r="BB57" s="85"/>
      <c r="BC57" s="68"/>
      <c r="BD57" s="83"/>
      <c r="BE57" s="84"/>
      <c r="BF57" s="85"/>
      <c r="BG57" s="68"/>
      <c r="BH57" s="83"/>
      <c r="BI57" s="84"/>
      <c r="BJ57" s="85"/>
      <c r="BK57" s="30"/>
      <c r="BL57" s="626"/>
      <c r="BM57" s="41"/>
      <c r="BN57" s="666"/>
      <c r="BO57" s="41"/>
      <c r="BP57" s="666"/>
      <c r="BQ57" s="18"/>
      <c r="BR57" s="49"/>
    </row>
    <row r="58" spans="1:70" ht="61.2" thickBot="1" x14ac:dyDescent="1.05">
      <c r="A58" s="12"/>
      <c r="B58" s="14"/>
      <c r="C58" s="568"/>
      <c r="D58" s="76"/>
      <c r="E58" s="427"/>
      <c r="F58" s="18"/>
      <c r="G58" s="13"/>
      <c r="H58" s="51"/>
      <c r="I58" s="121"/>
      <c r="J58" s="121"/>
      <c r="K58" s="70"/>
      <c r="L58" s="118"/>
      <c r="M58" s="109"/>
      <c r="N58" s="109"/>
      <c r="O58" s="82"/>
      <c r="P58" s="87"/>
      <c r="Q58" s="69"/>
      <c r="R58" s="69"/>
      <c r="S58" s="68"/>
      <c r="T58" s="87"/>
      <c r="U58" s="69"/>
      <c r="V58" s="69"/>
      <c r="W58" s="13"/>
      <c r="X58" s="20"/>
      <c r="Y58" s="30"/>
      <c r="Z58" s="666"/>
      <c r="AA58" s="41"/>
      <c r="AB58" s="666"/>
      <c r="AC58" s="30"/>
      <c r="AD58" s="24"/>
      <c r="AE58" s="13"/>
      <c r="AF58" s="51"/>
      <c r="AG58" s="121"/>
      <c r="AH58" s="121"/>
      <c r="AI58" s="70"/>
      <c r="AJ58" s="118"/>
      <c r="AK58" s="109"/>
      <c r="AL58" s="109"/>
      <c r="AM58" s="82"/>
      <c r="AN58" s="87"/>
      <c r="AO58" s="69"/>
      <c r="AP58" s="69"/>
      <c r="AQ58" s="13"/>
      <c r="AR58" s="100"/>
      <c r="AS58" s="123"/>
      <c r="AT58" s="666"/>
      <c r="AU58" s="41"/>
      <c r="AV58" s="666"/>
      <c r="AW58" s="30"/>
      <c r="AX58" s="24"/>
      <c r="AY58" s="44"/>
      <c r="AZ58" s="51"/>
      <c r="BA58" s="121"/>
      <c r="BB58" s="121"/>
      <c r="BC58" s="70"/>
      <c r="BD58" s="118"/>
      <c r="BE58" s="109"/>
      <c r="BF58" s="109"/>
      <c r="BG58" s="82"/>
      <c r="BH58" s="87"/>
      <c r="BI58" s="69"/>
      <c r="BJ58" s="69"/>
      <c r="BK58" s="29"/>
      <c r="BL58" s="100"/>
      <c r="BM58" s="41"/>
      <c r="BN58" s="666"/>
      <c r="BO58" s="41"/>
      <c r="BP58" s="666"/>
      <c r="BQ58" s="18"/>
      <c r="BR58" s="49"/>
    </row>
    <row r="59" spans="1:70" ht="107.25" customHeight="1" x14ac:dyDescent="1">
      <c r="A59" s="12"/>
      <c r="B59" s="14"/>
      <c r="C59" s="568"/>
      <c r="D59" s="76"/>
      <c r="E59" s="695">
        <f>'ASIGNACIÓN ASIGNATURAS'!C22</f>
        <v>0</v>
      </c>
      <c r="F59" s="18"/>
      <c r="G59" s="642">
        <f>COUNTIF($E$14:E62,E59)</f>
        <v>5</v>
      </c>
      <c r="H59" s="553" t="str">
        <f>$G59&amp;$C$14&amp;$E59&amp;H$10</f>
        <v>5DISCIPLINAR0I SEMESTRE</v>
      </c>
      <c r="I59" s="627"/>
      <c r="J59" s="628"/>
      <c r="K59" s="68"/>
      <c r="L59" s="553" t="str">
        <f>$G59&amp;$C$14&amp;$E59&amp;L$10</f>
        <v>5DISCIPLINAR0II SEMESTRE</v>
      </c>
      <c r="M59" s="627"/>
      <c r="N59" s="628"/>
      <c r="O59" s="70"/>
      <c r="P59" s="553" t="str">
        <f>$G59&amp;$C$14&amp;$E59&amp;P$10</f>
        <v>5DISCIPLINAR0III SEMESTRE</v>
      </c>
      <c r="Q59" s="627"/>
      <c r="R59" s="628"/>
      <c r="S59" s="70"/>
      <c r="T59" s="553" t="str">
        <f>$G59&amp;$C$14&amp;$E59&amp;T$10</f>
        <v>5DISCIPLINAR0IV SEMESTRE</v>
      </c>
      <c r="U59" s="627"/>
      <c r="V59" s="628"/>
      <c r="W59" s="30"/>
      <c r="X59" s="624">
        <f>'PLANTILLA MALLA PREGRADO'!J62+'PLANTILLA MALLA PREGRADO'!N62+'PLANTILLA MALLA PREGRADO'!R62+'PLANTILLA MALLA PREGRADO'!V62</f>
        <v>0</v>
      </c>
      <c r="Y59" s="77"/>
      <c r="Z59" s="666"/>
      <c r="AA59" s="41"/>
      <c r="AB59" s="666"/>
      <c r="AC59" s="30"/>
      <c r="AD59" s="24"/>
      <c r="AE59" s="13"/>
      <c r="AF59" s="553" t="str">
        <f>$G59&amp;$C$14&amp;$E59&amp;AF$10</f>
        <v>5DISCIPLINAR0V SEMESTRE</v>
      </c>
      <c r="AG59" s="627"/>
      <c r="AH59" s="628"/>
      <c r="AI59" s="68"/>
      <c r="AJ59" s="553" t="str">
        <f>$G59&amp;$C$14&amp;$E59&amp;AJ$10</f>
        <v>5DISCIPLINAR0VI SEMESTRE</v>
      </c>
      <c r="AK59" s="627"/>
      <c r="AL59" s="628"/>
      <c r="AM59" s="70"/>
      <c r="AN59" s="553" t="str">
        <f>$G59&amp;$C$14&amp;$E59&amp;AN$10</f>
        <v>5DISCIPLINAR0x SEMESTRE</v>
      </c>
      <c r="AO59" s="627"/>
      <c r="AP59" s="628"/>
      <c r="AQ59" s="12"/>
      <c r="AR59" s="624">
        <f>'PLANTILLA MALLA PREGRADO'!AD62+'PLANTILLA MALLA PREGRADO'!AH62+'PLANTILLA MALLA PREGRADO'!AL62+'PLANTILLA MALLA PREGRADO'!AP62</f>
        <v>0</v>
      </c>
      <c r="AS59" s="79"/>
      <c r="AT59" s="666"/>
      <c r="AU59" s="41"/>
      <c r="AV59" s="666"/>
      <c r="AW59" s="30"/>
      <c r="AX59" s="24"/>
      <c r="AY59" s="44"/>
      <c r="AZ59" s="553" t="str">
        <f>$G59&amp;$C$14&amp;$E59&amp;AZ$10</f>
        <v>5DISCIPLINAR0VII SEMESTRE</v>
      </c>
      <c r="BA59" s="627"/>
      <c r="BB59" s="628"/>
      <c r="BC59" s="68"/>
      <c r="BD59" s="553" t="str">
        <f>$G59&amp;$C$14&amp;$E59&amp;BD$10</f>
        <v>5DISCIPLINAR0VIII SEMESTRE</v>
      </c>
      <c r="BE59" s="627"/>
      <c r="BF59" s="628"/>
      <c r="BG59" s="70"/>
      <c r="BH59" s="553" t="str">
        <f>$G59&amp;$C$14&amp;$E59&amp;BH$10</f>
        <v>5DISCIPLINAR0IX SEMESTRE</v>
      </c>
      <c r="BI59" s="627"/>
      <c r="BJ59" s="628"/>
      <c r="BK59" s="30"/>
      <c r="BL59" s="624">
        <f>'PLANTILLA MALLA PREGRADO'!AX62+'PLANTILLA MALLA PREGRADO'!BB62+'PLANTILLA MALLA PREGRADO'!BF62+'PLANTILLA MALLA PREGRADO'!BJ62</f>
        <v>0</v>
      </c>
      <c r="BM59" s="41"/>
      <c r="BN59" s="666"/>
      <c r="BO59" s="41"/>
      <c r="BP59" s="666"/>
      <c r="BQ59" s="18"/>
      <c r="BR59" s="49"/>
    </row>
    <row r="60" spans="1:70" ht="40.5" customHeight="1" x14ac:dyDescent="1">
      <c r="A60" s="12"/>
      <c r="B60" s="14"/>
      <c r="C60" s="568"/>
      <c r="D60" s="76"/>
      <c r="E60" s="696"/>
      <c r="F60" s="18"/>
      <c r="G60" s="643"/>
      <c r="H60" s="629" t="s">
        <v>224</v>
      </c>
      <c r="I60" s="522"/>
      <c r="J60" s="630"/>
      <c r="K60" s="68"/>
      <c r="L60" s="629" t="s">
        <v>224</v>
      </c>
      <c r="M60" s="522"/>
      <c r="N60" s="630"/>
      <c r="O60" s="82"/>
      <c r="P60" s="629" t="s">
        <v>224</v>
      </c>
      <c r="Q60" s="522"/>
      <c r="R60" s="630"/>
      <c r="S60" s="70"/>
      <c r="T60" s="629" t="s">
        <v>224</v>
      </c>
      <c r="U60" s="522"/>
      <c r="V60" s="630"/>
      <c r="W60" s="30"/>
      <c r="X60" s="625"/>
      <c r="Y60" s="77"/>
      <c r="Z60" s="666"/>
      <c r="AA60" s="41"/>
      <c r="AB60" s="666"/>
      <c r="AC60" s="30"/>
      <c r="AD60" s="24"/>
      <c r="AE60" s="13"/>
      <c r="AF60" s="629" t="s">
        <v>224</v>
      </c>
      <c r="AG60" s="522"/>
      <c r="AH60" s="630"/>
      <c r="AI60" s="68"/>
      <c r="AJ60" s="629" t="s">
        <v>224</v>
      </c>
      <c r="AK60" s="522"/>
      <c r="AL60" s="630"/>
      <c r="AM60" s="82"/>
      <c r="AN60" s="629" t="s">
        <v>224</v>
      </c>
      <c r="AO60" s="522"/>
      <c r="AP60" s="630"/>
      <c r="AQ60" s="30"/>
      <c r="AR60" s="625"/>
      <c r="AS60" s="79"/>
      <c r="AT60" s="666"/>
      <c r="AU60" s="41"/>
      <c r="AV60" s="666"/>
      <c r="AW60" s="30"/>
      <c r="AX60" s="24"/>
      <c r="AY60" s="44"/>
      <c r="AZ60" s="629" t="s">
        <v>224</v>
      </c>
      <c r="BA60" s="522"/>
      <c r="BB60" s="630"/>
      <c r="BC60" s="68"/>
      <c r="BD60" s="629" t="s">
        <v>224</v>
      </c>
      <c r="BE60" s="522"/>
      <c r="BF60" s="630"/>
      <c r="BG60" s="82"/>
      <c r="BH60" s="629" t="s">
        <v>224</v>
      </c>
      <c r="BI60" s="522"/>
      <c r="BJ60" s="630"/>
      <c r="BK60" s="30"/>
      <c r="BL60" s="625"/>
      <c r="BM60" s="41"/>
      <c r="BN60" s="666"/>
      <c r="BO60" s="41"/>
      <c r="BP60" s="666"/>
      <c r="BQ60" s="18"/>
      <c r="BR60" s="49"/>
    </row>
    <row r="61" spans="1:70" ht="1.5" customHeight="1" x14ac:dyDescent="1">
      <c r="A61" s="12"/>
      <c r="B61" s="14"/>
      <c r="C61" s="568"/>
      <c r="D61" s="76"/>
      <c r="E61" s="696"/>
      <c r="F61" s="18"/>
      <c r="G61" s="643"/>
      <c r="H61" s="631"/>
      <c r="I61" s="632"/>
      <c r="J61" s="633"/>
      <c r="K61" s="68"/>
      <c r="L61" s="631"/>
      <c r="M61" s="632"/>
      <c r="N61" s="633"/>
      <c r="O61" s="82"/>
      <c r="P61" s="631"/>
      <c r="Q61" s="632"/>
      <c r="R61" s="633"/>
      <c r="S61" s="70"/>
      <c r="T61" s="631"/>
      <c r="U61" s="632"/>
      <c r="V61" s="633"/>
      <c r="W61" s="30"/>
      <c r="X61" s="625"/>
      <c r="Y61" s="77"/>
      <c r="Z61" s="666"/>
      <c r="AA61" s="41"/>
      <c r="AB61" s="666"/>
      <c r="AC61" s="30"/>
      <c r="AD61" s="24"/>
      <c r="AE61" s="13"/>
      <c r="AF61" s="631"/>
      <c r="AG61" s="632"/>
      <c r="AH61" s="633"/>
      <c r="AI61" s="68"/>
      <c r="AJ61" s="631"/>
      <c r="AK61" s="632"/>
      <c r="AL61" s="633"/>
      <c r="AM61" s="82"/>
      <c r="AN61" s="631"/>
      <c r="AO61" s="632"/>
      <c r="AP61" s="633"/>
      <c r="AQ61" s="30"/>
      <c r="AR61" s="625"/>
      <c r="AS61" s="79"/>
      <c r="AT61" s="666"/>
      <c r="AU61" s="41"/>
      <c r="AV61" s="666"/>
      <c r="AW61" s="30"/>
      <c r="AX61" s="24"/>
      <c r="AY61" s="44"/>
      <c r="AZ61" s="631"/>
      <c r="BA61" s="632"/>
      <c r="BB61" s="633"/>
      <c r="BC61" s="68"/>
      <c r="BD61" s="631"/>
      <c r="BE61" s="632"/>
      <c r="BF61" s="633"/>
      <c r="BG61" s="82"/>
      <c r="BH61" s="631"/>
      <c r="BI61" s="632"/>
      <c r="BJ61" s="633"/>
      <c r="BK61" s="30"/>
      <c r="BL61" s="625"/>
      <c r="BM61" s="41"/>
      <c r="BN61" s="666"/>
      <c r="BO61" s="41"/>
      <c r="BP61" s="666"/>
      <c r="BQ61" s="18"/>
      <c r="BR61" s="49"/>
    </row>
    <row r="62" spans="1:70" ht="36" customHeight="1" thickBot="1" x14ac:dyDescent="1.05">
      <c r="A62" s="12"/>
      <c r="B62" s="14"/>
      <c r="C62" s="568"/>
      <c r="D62" s="76"/>
      <c r="E62" s="696"/>
      <c r="F62" s="18"/>
      <c r="G62" s="644"/>
      <c r="H62" s="83"/>
      <c r="I62" s="84"/>
      <c r="J62" s="85"/>
      <c r="K62" s="68"/>
      <c r="L62" s="83"/>
      <c r="M62" s="84"/>
      <c r="N62" s="85"/>
      <c r="O62" s="68"/>
      <c r="P62" s="83"/>
      <c r="Q62" s="84"/>
      <c r="R62" s="85"/>
      <c r="S62" s="70"/>
      <c r="T62" s="83"/>
      <c r="U62" s="84"/>
      <c r="V62" s="85"/>
      <c r="W62" s="30"/>
      <c r="X62" s="626"/>
      <c r="Y62" s="77"/>
      <c r="Z62" s="666"/>
      <c r="AA62" s="41"/>
      <c r="AB62" s="666"/>
      <c r="AC62" s="30"/>
      <c r="AD62" s="24"/>
      <c r="AE62" s="93"/>
      <c r="AF62" s="83"/>
      <c r="AG62" s="84"/>
      <c r="AH62" s="85"/>
      <c r="AI62" s="68"/>
      <c r="AJ62" s="83"/>
      <c r="AK62" s="84"/>
      <c r="AL62" s="85"/>
      <c r="AM62" s="68"/>
      <c r="AN62" s="83"/>
      <c r="AO62" s="84"/>
      <c r="AP62" s="85"/>
      <c r="AQ62" s="30"/>
      <c r="AR62" s="626"/>
      <c r="AS62" s="79"/>
      <c r="AT62" s="666"/>
      <c r="AU62" s="41"/>
      <c r="AV62" s="666"/>
      <c r="AW62" s="30"/>
      <c r="AX62" s="94"/>
      <c r="AY62" s="124"/>
      <c r="AZ62" s="83"/>
      <c r="BA62" s="84"/>
      <c r="BB62" s="85"/>
      <c r="BC62" s="68"/>
      <c r="BD62" s="83"/>
      <c r="BE62" s="84"/>
      <c r="BF62" s="85"/>
      <c r="BG62" s="68"/>
      <c r="BH62" s="83"/>
      <c r="BI62" s="84"/>
      <c r="BJ62" s="85"/>
      <c r="BK62" s="30"/>
      <c r="BL62" s="626"/>
      <c r="BM62" s="41"/>
      <c r="BN62" s="666"/>
      <c r="BO62" s="41"/>
      <c r="BP62" s="666"/>
      <c r="BQ62" s="18"/>
      <c r="BR62" s="49"/>
    </row>
    <row r="63" spans="1:70" ht="60.6" x14ac:dyDescent="1">
      <c r="A63" s="12"/>
      <c r="B63" s="14"/>
      <c r="C63" s="568"/>
      <c r="D63" s="76"/>
      <c r="E63" s="474"/>
      <c r="F63" s="18"/>
      <c r="G63" s="13"/>
      <c r="H63" s="68"/>
      <c r="I63" s="68"/>
      <c r="J63" s="68"/>
      <c r="K63" s="68"/>
      <c r="L63" s="68"/>
      <c r="M63" s="68"/>
      <c r="N63" s="68"/>
      <c r="O63" s="82"/>
      <c r="P63" s="125"/>
      <c r="Q63" s="68"/>
      <c r="R63" s="68"/>
      <c r="S63" s="126"/>
      <c r="T63" s="127"/>
      <c r="U63" s="127"/>
      <c r="V63" s="127"/>
      <c r="W63" s="30"/>
      <c r="X63" s="441"/>
      <c r="Y63" s="77"/>
      <c r="Z63" s="666"/>
      <c r="AA63" s="41"/>
      <c r="AB63" s="666"/>
      <c r="AC63" s="30"/>
      <c r="AD63" s="24"/>
      <c r="AE63" s="96"/>
      <c r="AF63" s="68"/>
      <c r="AG63" s="68"/>
      <c r="AH63" s="68"/>
      <c r="AI63" s="68"/>
      <c r="AJ63" s="68"/>
      <c r="AK63" s="68"/>
      <c r="AL63" s="68"/>
      <c r="AM63" s="82"/>
      <c r="AN63" s="125"/>
      <c r="AO63" s="68"/>
      <c r="AP63" s="68"/>
      <c r="AQ63" s="30"/>
      <c r="AR63" s="441"/>
      <c r="AS63" s="79"/>
      <c r="AT63" s="666"/>
      <c r="AU63" s="41"/>
      <c r="AV63" s="666"/>
      <c r="AW63" s="30"/>
      <c r="AX63" s="97"/>
      <c r="AY63" s="103"/>
      <c r="AZ63" s="68"/>
      <c r="BA63" s="68"/>
      <c r="BB63" s="68"/>
      <c r="BC63" s="68"/>
      <c r="BD63" s="68"/>
      <c r="BE63" s="68"/>
      <c r="BF63" s="68"/>
      <c r="BG63" s="82"/>
      <c r="BH63" s="125"/>
      <c r="BI63" s="68"/>
      <c r="BJ63" s="68"/>
      <c r="BK63" s="71"/>
      <c r="BL63" s="441"/>
      <c r="BM63" s="41"/>
      <c r="BN63" s="666"/>
      <c r="BO63" s="41"/>
      <c r="BP63" s="666"/>
      <c r="BQ63" s="18"/>
      <c r="BR63" s="49"/>
    </row>
    <row r="64" spans="1:70" ht="100.95" customHeight="1" x14ac:dyDescent="1">
      <c r="A64" s="12"/>
      <c r="B64" s="14"/>
      <c r="C64" s="568"/>
      <c r="D64" s="76"/>
      <c r="E64" s="695" t="str">
        <f>'ASIGNACIÓN ASIGNATURAS'!C23</f>
        <v>PRÁCTICA</v>
      </c>
      <c r="F64" s="18"/>
      <c r="G64" s="642">
        <f>COUNTIF($E$14:E67,E64)</f>
        <v>1</v>
      </c>
      <c r="H64" s="553" t="str">
        <f>$G64&amp;$C$14&amp;$E64&amp;H$10</f>
        <v>1DISCIPLINARPRÁCTICAI SEMESTRE</v>
      </c>
      <c r="I64" s="627"/>
      <c r="J64" s="628"/>
      <c r="K64" s="68"/>
      <c r="L64" s="553" t="str">
        <f>$G64&amp;$C$14&amp;$E64&amp;L$10</f>
        <v>1DISCIPLINARPRÁCTICAII SEMESTRE</v>
      </c>
      <c r="M64" s="627"/>
      <c r="N64" s="628"/>
      <c r="O64" s="70"/>
      <c r="P64" s="553" t="str">
        <f>$G64&amp;$C$14&amp;$E64&amp;P$10</f>
        <v>1DISCIPLINARPRÁCTICAIII SEMESTRE</v>
      </c>
      <c r="Q64" s="627"/>
      <c r="R64" s="628"/>
      <c r="S64" s="70"/>
      <c r="T64" s="553" t="str">
        <f>$G64&amp;$C$14&amp;$E64&amp;T$10</f>
        <v>1DISCIPLINARPRÁCTICAIV SEMESTRE</v>
      </c>
      <c r="U64" s="627"/>
      <c r="V64" s="628"/>
      <c r="W64" s="30"/>
      <c r="X64" s="640"/>
      <c r="Y64" s="22"/>
      <c r="Z64" s="666"/>
      <c r="AA64" s="41"/>
      <c r="AB64" s="666"/>
      <c r="AC64" s="30"/>
      <c r="AD64" s="24"/>
      <c r="AE64" s="96"/>
      <c r="AF64" s="553" t="str">
        <f>$G64&amp;$C$14&amp;$E64&amp;AF$10</f>
        <v>1DISCIPLINARPRÁCTICAV SEMESTRE</v>
      </c>
      <c r="AG64" s="627"/>
      <c r="AH64" s="628"/>
      <c r="AI64" s="68"/>
      <c r="AJ64" s="553" t="str">
        <f>$G64&amp;$C$14&amp;$E64&amp;AJ$10</f>
        <v>1DISCIPLINARPRÁCTICAVI SEMESTRE</v>
      </c>
      <c r="AK64" s="627"/>
      <c r="AL64" s="628"/>
      <c r="AM64" s="70"/>
      <c r="AN64" s="553" t="str">
        <f>$G64&amp;$C$14&amp;$E64&amp;AN$10</f>
        <v>1DISCIPLINARPRÁCTICAx SEMESTRE</v>
      </c>
      <c r="AO64" s="627"/>
      <c r="AP64" s="628"/>
      <c r="AQ64" s="30"/>
      <c r="AR64" s="665"/>
      <c r="AS64" s="79"/>
      <c r="AT64" s="666"/>
      <c r="AU64" s="41"/>
      <c r="AV64" s="666"/>
      <c r="AW64" s="30"/>
      <c r="AX64" s="97"/>
      <c r="AY64" s="103"/>
      <c r="AZ64" s="553" t="str">
        <f>$G64&amp;$C$14&amp;$E64&amp;AZ$10</f>
        <v>1DISCIPLINARPRÁCTICAVII SEMESTRE</v>
      </c>
      <c r="BA64" s="627"/>
      <c r="BB64" s="628"/>
      <c r="BC64" s="68"/>
      <c r="BD64" s="553" t="str">
        <f>$G64&amp;$C$14&amp;$E64&amp;BD$10</f>
        <v>1DISCIPLINARPRÁCTICAVIII SEMESTRE</v>
      </c>
      <c r="BE64" s="627"/>
      <c r="BF64" s="628"/>
      <c r="BG64" s="70"/>
      <c r="BH64" s="553" t="str">
        <f>$G64&amp;$C$14&amp;$E64&amp;BH$10</f>
        <v>1DISCIPLINARPRÁCTICAIX SEMESTRE</v>
      </c>
      <c r="BI64" s="627"/>
      <c r="BJ64" s="628"/>
      <c r="BK64" s="27"/>
      <c r="BL64" s="665"/>
      <c r="BM64" s="2"/>
      <c r="BN64" s="666"/>
      <c r="BO64" s="41"/>
      <c r="BP64" s="666"/>
      <c r="BQ64" s="18"/>
      <c r="BR64" s="49"/>
    </row>
    <row r="65" spans="1:70" ht="60.6" x14ac:dyDescent="1">
      <c r="A65" s="12"/>
      <c r="B65" s="14"/>
      <c r="C65" s="568"/>
      <c r="D65" s="76"/>
      <c r="E65" s="696"/>
      <c r="F65" s="18"/>
      <c r="G65" s="643"/>
      <c r="H65" s="629" t="s">
        <v>224</v>
      </c>
      <c r="I65" s="522"/>
      <c r="J65" s="630"/>
      <c r="K65" s="68"/>
      <c r="L65" s="629" t="s">
        <v>224</v>
      </c>
      <c r="M65" s="522"/>
      <c r="N65" s="630"/>
      <c r="O65" s="82"/>
      <c r="P65" s="629" t="s">
        <v>224</v>
      </c>
      <c r="Q65" s="522"/>
      <c r="R65" s="630"/>
      <c r="S65" s="70"/>
      <c r="T65" s="629" t="s">
        <v>224</v>
      </c>
      <c r="U65" s="522"/>
      <c r="V65" s="630"/>
      <c r="W65" s="30"/>
      <c r="X65" s="640"/>
      <c r="Y65" s="22"/>
      <c r="Z65" s="666"/>
      <c r="AA65" s="41"/>
      <c r="AB65" s="666"/>
      <c r="AC65" s="30"/>
      <c r="AD65" s="24"/>
      <c r="AE65" s="96"/>
      <c r="AF65" s="629" t="s">
        <v>224</v>
      </c>
      <c r="AG65" s="522"/>
      <c r="AH65" s="630"/>
      <c r="AI65" s="68"/>
      <c r="AJ65" s="629" t="s">
        <v>224</v>
      </c>
      <c r="AK65" s="522"/>
      <c r="AL65" s="630"/>
      <c r="AM65" s="82"/>
      <c r="AN65" s="629" t="s">
        <v>224</v>
      </c>
      <c r="AO65" s="522"/>
      <c r="AP65" s="630"/>
      <c r="AQ65" s="30"/>
      <c r="AR65" s="665"/>
      <c r="AS65" s="79"/>
      <c r="AT65" s="666"/>
      <c r="AU65" s="41"/>
      <c r="AV65" s="666"/>
      <c r="AW65" s="30"/>
      <c r="AX65" s="97"/>
      <c r="AY65" s="103"/>
      <c r="AZ65" s="629" t="s">
        <v>224</v>
      </c>
      <c r="BA65" s="522"/>
      <c r="BB65" s="630"/>
      <c r="BC65" s="68"/>
      <c r="BD65" s="629" t="s">
        <v>224</v>
      </c>
      <c r="BE65" s="522"/>
      <c r="BF65" s="630"/>
      <c r="BG65" s="82"/>
      <c r="BH65" s="629" t="s">
        <v>224</v>
      </c>
      <c r="BI65" s="522"/>
      <c r="BJ65" s="630"/>
      <c r="BK65" s="27"/>
      <c r="BL65" s="665"/>
      <c r="BM65" s="2"/>
      <c r="BN65" s="666"/>
      <c r="BO65" s="41"/>
      <c r="BP65" s="666"/>
      <c r="BQ65" s="18"/>
      <c r="BR65" s="49"/>
    </row>
    <row r="66" spans="1:70" ht="60.6" x14ac:dyDescent="1">
      <c r="A66" s="12"/>
      <c r="B66" s="14"/>
      <c r="C66" s="568"/>
      <c r="D66" s="76"/>
      <c r="E66" s="696"/>
      <c r="F66" s="18"/>
      <c r="G66" s="643"/>
      <c r="H66" s="631"/>
      <c r="I66" s="632"/>
      <c r="J66" s="633"/>
      <c r="K66" s="68"/>
      <c r="L66" s="631"/>
      <c r="M66" s="632"/>
      <c r="N66" s="633"/>
      <c r="O66" s="82"/>
      <c r="P66" s="631"/>
      <c r="Q66" s="632"/>
      <c r="R66" s="633"/>
      <c r="S66" s="70"/>
      <c r="T66" s="631"/>
      <c r="U66" s="632"/>
      <c r="V66" s="633"/>
      <c r="W66" s="30"/>
      <c r="X66" s="640"/>
      <c r="Y66" s="22"/>
      <c r="Z66" s="666"/>
      <c r="AA66" s="41"/>
      <c r="AB66" s="666"/>
      <c r="AC66" s="30"/>
      <c r="AD66" s="24"/>
      <c r="AE66" s="96"/>
      <c r="AF66" s="631"/>
      <c r="AG66" s="632"/>
      <c r="AH66" s="633"/>
      <c r="AI66" s="68"/>
      <c r="AJ66" s="631"/>
      <c r="AK66" s="632"/>
      <c r="AL66" s="633"/>
      <c r="AM66" s="82"/>
      <c r="AN66" s="631"/>
      <c r="AO66" s="632"/>
      <c r="AP66" s="633"/>
      <c r="AQ66" s="30"/>
      <c r="AR66" s="665"/>
      <c r="AS66" s="79"/>
      <c r="AT66" s="666"/>
      <c r="AU66" s="41"/>
      <c r="AV66" s="666"/>
      <c r="AW66" s="30"/>
      <c r="AX66" s="97"/>
      <c r="AY66" s="103"/>
      <c r="AZ66" s="631"/>
      <c r="BA66" s="632"/>
      <c r="BB66" s="633"/>
      <c r="BC66" s="68"/>
      <c r="BD66" s="631"/>
      <c r="BE66" s="632"/>
      <c r="BF66" s="633"/>
      <c r="BG66" s="82"/>
      <c r="BH66" s="631"/>
      <c r="BI66" s="632"/>
      <c r="BJ66" s="633"/>
      <c r="BK66" s="27"/>
      <c r="BL66" s="665"/>
      <c r="BM66" s="2"/>
      <c r="BN66" s="666"/>
      <c r="BO66" s="41"/>
      <c r="BP66" s="666"/>
      <c r="BQ66" s="18"/>
      <c r="BR66" s="49"/>
    </row>
    <row r="67" spans="1:70" ht="60.6" x14ac:dyDescent="1">
      <c r="A67" s="12"/>
      <c r="B67" s="14"/>
      <c r="C67" s="568"/>
      <c r="D67" s="76"/>
      <c r="E67" s="696"/>
      <c r="F67" s="18"/>
      <c r="G67" s="644"/>
      <c r="H67" s="83"/>
      <c r="I67" s="84"/>
      <c r="J67" s="85"/>
      <c r="K67" s="68"/>
      <c r="L67" s="83"/>
      <c r="M67" s="84"/>
      <c r="N67" s="85"/>
      <c r="O67" s="68"/>
      <c r="P67" s="83"/>
      <c r="Q67" s="84"/>
      <c r="R67" s="85"/>
      <c r="S67" s="70"/>
      <c r="T67" s="83"/>
      <c r="U67" s="84"/>
      <c r="V67" s="85"/>
      <c r="W67" s="30"/>
      <c r="X67" s="640"/>
      <c r="Y67" s="22"/>
      <c r="Z67" s="666"/>
      <c r="AA67" s="41"/>
      <c r="AB67" s="666"/>
      <c r="AC67" s="30"/>
      <c r="AD67" s="24"/>
      <c r="AE67" s="96"/>
      <c r="AF67" s="83"/>
      <c r="AG67" s="84"/>
      <c r="AH67" s="85"/>
      <c r="AI67" s="68"/>
      <c r="AJ67" s="83"/>
      <c r="AK67" s="84"/>
      <c r="AL67" s="85"/>
      <c r="AM67" s="68"/>
      <c r="AN67" s="83"/>
      <c r="AO67" s="84"/>
      <c r="AP67" s="85"/>
      <c r="AQ67" s="30"/>
      <c r="AR67" s="665"/>
      <c r="AS67" s="79"/>
      <c r="AT67" s="666"/>
      <c r="AU67" s="41"/>
      <c r="AV67" s="666"/>
      <c r="AW67" s="30"/>
      <c r="AX67" s="97"/>
      <c r="AY67" s="103"/>
      <c r="AZ67" s="83"/>
      <c r="BA67" s="84"/>
      <c r="BB67" s="85"/>
      <c r="BC67" s="68"/>
      <c r="BD67" s="83"/>
      <c r="BE67" s="84"/>
      <c r="BF67" s="85"/>
      <c r="BG67" s="68"/>
      <c r="BH67" s="83"/>
      <c r="BI67" s="84"/>
      <c r="BJ67" s="85"/>
      <c r="BK67" s="27"/>
      <c r="BL67" s="665"/>
      <c r="BM67" s="2"/>
      <c r="BN67" s="666"/>
      <c r="BO67" s="41"/>
      <c r="BP67" s="666"/>
      <c r="BQ67" s="18"/>
      <c r="BR67" s="49"/>
    </row>
    <row r="68" spans="1:70" ht="105.75" customHeight="1" x14ac:dyDescent="1">
      <c r="A68" s="12"/>
      <c r="B68" s="14"/>
      <c r="C68" s="129"/>
      <c r="D68" s="45"/>
      <c r="E68" s="20"/>
      <c r="F68" s="18"/>
      <c r="G68" s="39"/>
      <c r="H68" s="639"/>
      <c r="I68" s="637"/>
      <c r="J68" s="638"/>
      <c r="K68" s="131"/>
      <c r="L68" s="639"/>
      <c r="M68" s="637"/>
      <c r="N68" s="638"/>
      <c r="O68" s="131"/>
      <c r="P68" s="639"/>
      <c r="Q68" s="637"/>
      <c r="R68" s="638"/>
      <c r="S68" s="111"/>
      <c r="T68" s="132"/>
      <c r="U68" s="132"/>
      <c r="V68" s="132"/>
      <c r="W68" s="13"/>
      <c r="X68" s="20"/>
      <c r="Y68" s="21"/>
      <c r="Z68" s="21"/>
      <c r="AA68" s="13"/>
      <c r="AB68" s="17"/>
      <c r="AC68" s="30"/>
      <c r="AD68" s="24"/>
      <c r="AE68" s="13"/>
      <c r="AF68" s="639"/>
      <c r="AG68" s="637"/>
      <c r="AH68" s="638"/>
      <c r="AI68" s="131"/>
      <c r="AJ68" s="639"/>
      <c r="AK68" s="637"/>
      <c r="AL68" s="638"/>
      <c r="AM68" s="131"/>
      <c r="AN68" s="639"/>
      <c r="AO68" s="637"/>
      <c r="AP68" s="638"/>
      <c r="AQ68" s="13"/>
      <c r="AS68" s="73"/>
      <c r="AT68" s="23"/>
      <c r="AU68" s="29"/>
      <c r="AV68" s="17"/>
      <c r="AW68" s="30"/>
      <c r="AX68" s="24"/>
      <c r="AY68" s="44"/>
      <c r="AZ68" s="639"/>
      <c r="BA68" s="637"/>
      <c r="BB68" s="638"/>
      <c r="BC68" s="131"/>
      <c r="BD68" s="639"/>
      <c r="BE68" s="637"/>
      <c r="BF68" s="638"/>
      <c r="BG68" s="131"/>
      <c r="BH68" s="639"/>
      <c r="BI68" s="637"/>
      <c r="BJ68" s="638"/>
      <c r="BK68" s="13"/>
      <c r="BL68" s="133"/>
      <c r="BM68" s="19"/>
      <c r="BN68" s="134"/>
      <c r="BO68" s="39"/>
      <c r="BP68" s="135"/>
      <c r="BQ68" s="18"/>
      <c r="BR68" s="49"/>
    </row>
    <row r="69" spans="1:70" ht="103.5" customHeight="1" x14ac:dyDescent="1">
      <c r="A69" s="12"/>
      <c r="B69" s="14"/>
      <c r="C69" s="694" t="s">
        <v>54</v>
      </c>
      <c r="D69" s="120"/>
      <c r="E69" s="658" t="e" cm="1">
        <f t="array" ref="E69">_xlfn.IFS('ASIGNACIÓN ASIGNATURAS'!B3="PREGRADO",'ASIGNACIÓN ASIGNATURAS'!C24,'ASIGNACIÓN ASIGNATURAS'!B3="POSGRADO",'ASIGNACIÓN ASIGNATURAS'!C43)</f>
        <v>#N/A</v>
      </c>
      <c r="F69" s="36"/>
      <c r="G69" s="642">
        <f>COUNTIF($E$14:E72,E69)</f>
        <v>6</v>
      </c>
      <c r="H69" s="553" t="e">
        <f>$G69&amp;$C$69&amp;$E69&amp;H$10</f>
        <v>#N/A</v>
      </c>
      <c r="I69" s="627"/>
      <c r="J69" s="628"/>
      <c r="K69" s="68"/>
      <c r="L69" s="553" t="e">
        <f>$G69&amp;$C$69&amp;$E69&amp;L$10</f>
        <v>#N/A</v>
      </c>
      <c r="M69" s="627"/>
      <c r="N69" s="628"/>
      <c r="O69" s="70"/>
      <c r="P69" s="553" t="e">
        <f>$G69&amp;$C$69&amp;$E69&amp;P$10</f>
        <v>#N/A</v>
      </c>
      <c r="Q69" s="627"/>
      <c r="R69" s="628"/>
      <c r="S69" s="70"/>
      <c r="T69" s="553" t="e">
        <f>$G69&amp;$C$69&amp;$E69&amp;T$10</f>
        <v>#N/A</v>
      </c>
      <c r="U69" s="627"/>
      <c r="V69" s="628"/>
      <c r="W69" s="30"/>
      <c r="X69" s="634"/>
      <c r="Y69" s="136"/>
      <c r="Z69" s="645"/>
      <c r="AA69" s="41"/>
      <c r="AB69" s="645"/>
      <c r="AC69" s="30"/>
      <c r="AD69" s="24"/>
      <c r="AE69" s="90"/>
      <c r="AF69" s="553" t="e">
        <f>$G69&amp;$C$69&amp;$E69&amp;AF$10</f>
        <v>#N/A</v>
      </c>
      <c r="AG69" s="627"/>
      <c r="AH69" s="628"/>
      <c r="AI69" s="68"/>
      <c r="AJ69" s="553" t="e">
        <f>$G69&amp;$C$69&amp;$E69&amp;AJ$10</f>
        <v>#N/A</v>
      </c>
      <c r="AK69" s="627"/>
      <c r="AL69" s="628"/>
      <c r="AM69" s="70"/>
      <c r="AN69" s="553" t="e">
        <f>$G69&amp;$C$69&amp;$E69&amp;AN$10</f>
        <v>#N/A</v>
      </c>
      <c r="AO69" s="627"/>
      <c r="AP69" s="628"/>
      <c r="AQ69" s="30"/>
      <c r="AR69" s="634"/>
      <c r="AS69" s="79"/>
      <c r="AT69" s="645"/>
      <c r="AU69" s="41"/>
      <c r="AV69" s="645"/>
      <c r="AW69" s="30"/>
      <c r="AX69" s="94"/>
      <c r="AY69" s="44"/>
      <c r="AZ69" s="553" t="e">
        <f>$G69&amp;$C$69&amp;$E69&amp;AZ$10</f>
        <v>#N/A</v>
      </c>
      <c r="BA69" s="627"/>
      <c r="BB69" s="628"/>
      <c r="BC69" s="68"/>
      <c r="BD69" s="553" t="e">
        <f>$G69&amp;$C$69&amp;$E69&amp;BD$10</f>
        <v>#N/A</v>
      </c>
      <c r="BE69" s="627"/>
      <c r="BF69" s="628"/>
      <c r="BG69" s="70"/>
      <c r="BH69" s="553" t="e">
        <f>$G69&amp;$C$69&amp;$E69&amp;BH$10</f>
        <v>#N/A</v>
      </c>
      <c r="BI69" s="627"/>
      <c r="BJ69" s="628"/>
      <c r="BK69" s="30"/>
      <c r="BL69" s="634"/>
      <c r="BM69" s="102"/>
      <c r="BN69" s="645"/>
      <c r="BO69" s="41"/>
      <c r="BP69" s="645"/>
      <c r="BQ69" s="18"/>
      <c r="BR69" s="49"/>
    </row>
    <row r="70" spans="1:70" ht="60.45" customHeight="1" x14ac:dyDescent="1">
      <c r="A70" s="12"/>
      <c r="B70" s="14"/>
      <c r="C70" s="656"/>
      <c r="D70" s="120"/>
      <c r="E70" s="659"/>
      <c r="F70" s="36"/>
      <c r="G70" s="643"/>
      <c r="H70" s="629" t="s">
        <v>224</v>
      </c>
      <c r="I70" s="522"/>
      <c r="J70" s="630"/>
      <c r="K70" s="68"/>
      <c r="L70" s="629" t="s">
        <v>224</v>
      </c>
      <c r="M70" s="522"/>
      <c r="N70" s="630"/>
      <c r="O70" s="82"/>
      <c r="P70" s="629" t="s">
        <v>224</v>
      </c>
      <c r="Q70" s="522"/>
      <c r="R70" s="630"/>
      <c r="S70" s="70"/>
      <c r="T70" s="629" t="s">
        <v>224</v>
      </c>
      <c r="U70" s="522"/>
      <c r="V70" s="630"/>
      <c r="W70" s="30"/>
      <c r="X70" s="635"/>
      <c r="Y70" s="137"/>
      <c r="Z70" s="635"/>
      <c r="AA70" s="41"/>
      <c r="AB70" s="635"/>
      <c r="AC70" s="30"/>
      <c r="AD70" s="24"/>
      <c r="AE70" s="13"/>
      <c r="AF70" s="629" t="s">
        <v>224</v>
      </c>
      <c r="AG70" s="522"/>
      <c r="AH70" s="630"/>
      <c r="AI70" s="68"/>
      <c r="AJ70" s="629" t="s">
        <v>224</v>
      </c>
      <c r="AK70" s="522"/>
      <c r="AL70" s="630"/>
      <c r="AM70" s="82"/>
      <c r="AN70" s="629" t="s">
        <v>224</v>
      </c>
      <c r="AO70" s="522"/>
      <c r="AP70" s="630"/>
      <c r="AQ70" s="30"/>
      <c r="AR70" s="635"/>
      <c r="AS70" s="79"/>
      <c r="AT70" s="635"/>
      <c r="AU70" s="41"/>
      <c r="AV70" s="635"/>
      <c r="AW70" s="30"/>
      <c r="AX70" s="94"/>
      <c r="AY70" s="44"/>
      <c r="AZ70" s="629" t="s">
        <v>224</v>
      </c>
      <c r="BA70" s="522"/>
      <c r="BB70" s="630"/>
      <c r="BC70" s="68"/>
      <c r="BD70" s="629" t="s">
        <v>224</v>
      </c>
      <c r="BE70" s="522"/>
      <c r="BF70" s="630"/>
      <c r="BG70" s="82"/>
      <c r="BH70" s="629" t="s">
        <v>224</v>
      </c>
      <c r="BI70" s="522"/>
      <c r="BJ70" s="630"/>
      <c r="BK70" s="30"/>
      <c r="BL70" s="635"/>
      <c r="BM70" s="41"/>
      <c r="BN70" s="635"/>
      <c r="BO70" s="41"/>
      <c r="BP70" s="635"/>
      <c r="BQ70" s="18"/>
      <c r="BR70" s="49"/>
    </row>
    <row r="71" spans="1:70" ht="60.6" x14ac:dyDescent="1">
      <c r="A71" s="12"/>
      <c r="B71" s="14"/>
      <c r="C71" s="656"/>
      <c r="D71" s="120"/>
      <c r="E71" s="659"/>
      <c r="F71" s="36"/>
      <c r="G71" s="643"/>
      <c r="H71" s="631"/>
      <c r="I71" s="632"/>
      <c r="J71" s="633"/>
      <c r="K71" s="68"/>
      <c r="L71" s="631"/>
      <c r="M71" s="632"/>
      <c r="N71" s="633"/>
      <c r="O71" s="82"/>
      <c r="P71" s="631"/>
      <c r="Q71" s="632"/>
      <c r="R71" s="633"/>
      <c r="S71" s="70"/>
      <c r="T71" s="631"/>
      <c r="U71" s="632"/>
      <c r="V71" s="633"/>
      <c r="W71" s="30"/>
      <c r="X71" s="635"/>
      <c r="Y71" s="137"/>
      <c r="Z71" s="635"/>
      <c r="AA71" s="41"/>
      <c r="AB71" s="635"/>
      <c r="AC71" s="30"/>
      <c r="AD71" s="24"/>
      <c r="AE71" s="93"/>
      <c r="AF71" s="631"/>
      <c r="AG71" s="632"/>
      <c r="AH71" s="633"/>
      <c r="AI71" s="68"/>
      <c r="AJ71" s="631"/>
      <c r="AK71" s="632"/>
      <c r="AL71" s="633"/>
      <c r="AM71" s="82"/>
      <c r="AN71" s="631"/>
      <c r="AO71" s="632"/>
      <c r="AP71" s="633"/>
      <c r="AQ71" s="30"/>
      <c r="AR71" s="635"/>
      <c r="AS71" s="79"/>
      <c r="AT71" s="635"/>
      <c r="AU71" s="41"/>
      <c r="AV71" s="635"/>
      <c r="AW71" s="30"/>
      <c r="AX71" s="94"/>
      <c r="AY71" s="124"/>
      <c r="AZ71" s="631"/>
      <c r="BA71" s="632"/>
      <c r="BB71" s="633"/>
      <c r="BC71" s="68"/>
      <c r="BD71" s="631"/>
      <c r="BE71" s="632"/>
      <c r="BF71" s="633"/>
      <c r="BG71" s="82"/>
      <c r="BH71" s="631"/>
      <c r="BI71" s="632"/>
      <c r="BJ71" s="633"/>
      <c r="BK71" s="30"/>
      <c r="BL71" s="635"/>
      <c r="BM71" s="41"/>
      <c r="BN71" s="635"/>
      <c r="BO71" s="41"/>
      <c r="BP71" s="635"/>
      <c r="BQ71" s="18"/>
      <c r="BR71" s="49"/>
    </row>
    <row r="72" spans="1:70" ht="48" customHeight="1" x14ac:dyDescent="1">
      <c r="A72" s="12"/>
      <c r="B72" s="14"/>
      <c r="C72" s="656"/>
      <c r="D72" s="120"/>
      <c r="E72" s="663"/>
      <c r="F72" s="36"/>
      <c r="G72" s="644"/>
      <c r="H72" s="83"/>
      <c r="I72" s="84"/>
      <c r="J72" s="85"/>
      <c r="K72" s="68"/>
      <c r="L72" s="83"/>
      <c r="M72" s="84"/>
      <c r="N72" s="85"/>
      <c r="O72" s="68"/>
      <c r="P72" s="83"/>
      <c r="Q72" s="84"/>
      <c r="R72" s="85"/>
      <c r="S72" s="70"/>
      <c r="T72" s="83"/>
      <c r="U72" s="84"/>
      <c r="V72" s="85"/>
      <c r="W72" s="30"/>
      <c r="X72" s="641"/>
      <c r="Y72" s="137"/>
      <c r="Z72" s="635"/>
      <c r="AA72" s="41"/>
      <c r="AB72" s="635"/>
      <c r="AC72" s="30"/>
      <c r="AD72" s="24"/>
      <c r="AE72" s="96"/>
      <c r="AF72" s="83"/>
      <c r="AG72" s="84"/>
      <c r="AH72" s="85"/>
      <c r="AI72" s="68"/>
      <c r="AJ72" s="83"/>
      <c r="AK72" s="84"/>
      <c r="AL72" s="85"/>
      <c r="AM72" s="68"/>
      <c r="AN72" s="83"/>
      <c r="AO72" s="84"/>
      <c r="AP72" s="85"/>
      <c r="AQ72" s="30"/>
      <c r="AR72" s="641"/>
      <c r="AS72" s="79"/>
      <c r="AT72" s="635"/>
      <c r="AU72" s="41"/>
      <c r="AV72" s="635"/>
      <c r="AW72" s="30"/>
      <c r="AX72" s="94"/>
      <c r="AY72" s="103"/>
      <c r="AZ72" s="83"/>
      <c r="BA72" s="84"/>
      <c r="BB72" s="85"/>
      <c r="BC72" s="68"/>
      <c r="BD72" s="83"/>
      <c r="BE72" s="84"/>
      <c r="BF72" s="85"/>
      <c r="BG72" s="68"/>
      <c r="BH72" s="83"/>
      <c r="BI72" s="84"/>
      <c r="BJ72" s="85"/>
      <c r="BK72" s="30"/>
      <c r="BL72" s="641"/>
      <c r="BM72" s="41"/>
      <c r="BN72" s="635"/>
      <c r="BO72" s="41"/>
      <c r="BP72" s="635"/>
      <c r="BQ72" s="18"/>
      <c r="BR72" s="49"/>
    </row>
    <row r="73" spans="1:70" ht="60.6" x14ac:dyDescent="1">
      <c r="A73" s="12"/>
      <c r="B73" s="14"/>
      <c r="C73" s="656"/>
      <c r="D73" s="120"/>
      <c r="E73" s="138"/>
      <c r="F73" s="18"/>
      <c r="G73" s="13"/>
      <c r="H73" s="636"/>
      <c r="I73" s="637"/>
      <c r="J73" s="638"/>
      <c r="K73" s="139"/>
      <c r="L73" s="636"/>
      <c r="M73" s="637"/>
      <c r="N73" s="638"/>
      <c r="O73" s="139"/>
      <c r="P73" s="636"/>
      <c r="Q73" s="637"/>
      <c r="R73" s="638"/>
      <c r="S73" s="111"/>
      <c r="T73" s="140"/>
      <c r="U73" s="140"/>
      <c r="V73" s="140"/>
      <c r="W73" s="13"/>
      <c r="X73" s="133"/>
      <c r="Y73" s="137"/>
      <c r="Z73" s="635"/>
      <c r="AA73" s="41"/>
      <c r="AB73" s="635"/>
      <c r="AC73" s="30"/>
      <c r="AD73" s="24"/>
      <c r="AE73" s="13"/>
      <c r="AF73" s="636"/>
      <c r="AG73" s="637"/>
      <c r="AH73" s="638"/>
      <c r="AI73" s="139"/>
      <c r="AJ73" s="636"/>
      <c r="AK73" s="637"/>
      <c r="AL73" s="638"/>
      <c r="AM73" s="139"/>
      <c r="AN73" s="636"/>
      <c r="AO73" s="637"/>
      <c r="AP73" s="638"/>
      <c r="AQ73" s="13"/>
      <c r="AR73" s="133"/>
      <c r="AS73" s="79"/>
      <c r="AT73" s="635"/>
      <c r="AU73" s="41"/>
      <c r="AV73" s="635"/>
      <c r="AW73" s="30"/>
      <c r="AX73" s="94"/>
      <c r="AY73" s="44"/>
      <c r="AZ73" s="636"/>
      <c r="BA73" s="637"/>
      <c r="BB73" s="638"/>
      <c r="BC73" s="139"/>
      <c r="BD73" s="636"/>
      <c r="BE73" s="637"/>
      <c r="BF73" s="638"/>
      <c r="BG73" s="139"/>
      <c r="BH73" s="636"/>
      <c r="BI73" s="637"/>
      <c r="BJ73" s="638"/>
      <c r="BK73" s="13"/>
      <c r="BL73" s="133"/>
      <c r="BM73" s="41"/>
      <c r="BN73" s="635"/>
      <c r="BO73" s="41"/>
      <c r="BP73" s="635"/>
      <c r="BQ73" s="18"/>
      <c r="BR73" s="49"/>
    </row>
    <row r="74" spans="1:70" ht="108" customHeight="1" x14ac:dyDescent="1">
      <c r="A74" s="12"/>
      <c r="B74" s="14"/>
      <c r="C74" s="656"/>
      <c r="D74" s="120"/>
      <c r="E74" s="664" t="str">
        <f>'ASIGNACIÓN ASIGNATURAS'!C25</f>
        <v>Complementaria</v>
      </c>
      <c r="F74" s="36"/>
      <c r="G74" s="642">
        <f>COUNTIF($E$14:E77,E74)</f>
        <v>1</v>
      </c>
      <c r="H74" s="553" t="str">
        <f>$G74&amp;$C$69&amp;$E74&amp;H$10</f>
        <v>1ELECTIVOSComplementariaI SEMESTRE</v>
      </c>
      <c r="I74" s="627"/>
      <c r="J74" s="628"/>
      <c r="K74" s="68"/>
      <c r="L74" s="553" t="str">
        <f>$G74&amp;$C$69&amp;$E74&amp;L$10</f>
        <v>1ELECTIVOSComplementariaII SEMESTRE</v>
      </c>
      <c r="M74" s="627"/>
      <c r="N74" s="628"/>
      <c r="O74" s="70"/>
      <c r="P74" s="553" t="str">
        <f>$G74&amp;$C$69&amp;$E74&amp;P$10</f>
        <v>1ELECTIVOSComplementariaIII SEMESTRE</v>
      </c>
      <c r="Q74" s="627"/>
      <c r="R74" s="628"/>
      <c r="S74" s="70"/>
      <c r="T74" s="553" t="str">
        <f>$G74&amp;$C$69&amp;$E74&amp;T$10</f>
        <v>1ELECTIVOSComplementariaIV SEMESTRE</v>
      </c>
      <c r="U74" s="627"/>
      <c r="V74" s="628"/>
      <c r="W74" s="30"/>
      <c r="X74" s="634"/>
      <c r="Y74" s="137"/>
      <c r="Z74" s="635"/>
      <c r="AA74" s="41"/>
      <c r="AB74" s="635"/>
      <c r="AC74" s="30"/>
      <c r="AD74" s="24"/>
      <c r="AE74" s="104"/>
      <c r="AF74" s="553" t="str">
        <f>$G74&amp;$C$69&amp;$E74&amp;AF$10</f>
        <v>1ELECTIVOSComplementariaV SEMESTRE</v>
      </c>
      <c r="AG74" s="627"/>
      <c r="AH74" s="628"/>
      <c r="AI74" s="68"/>
      <c r="AJ74" s="553" t="str">
        <f>$G74&amp;$C$69&amp;$E74&amp;AJ$10</f>
        <v>1ELECTIVOSComplementariaVI SEMESTRE</v>
      </c>
      <c r="AK74" s="627"/>
      <c r="AL74" s="628"/>
      <c r="AM74" s="70"/>
      <c r="AN74" s="553" t="str">
        <f>$G74&amp;$C$69&amp;$E74&amp;AN$10</f>
        <v>1ELECTIVOSComplementariax SEMESTRE</v>
      </c>
      <c r="AO74" s="627"/>
      <c r="AP74" s="628"/>
      <c r="AQ74" s="30"/>
      <c r="AR74" s="634"/>
      <c r="AS74" s="79"/>
      <c r="AT74" s="635"/>
      <c r="AU74" s="41"/>
      <c r="AV74" s="635"/>
      <c r="AW74" s="30"/>
      <c r="AX74" s="91"/>
      <c r="AY74" s="44"/>
      <c r="AZ74" s="553" t="str">
        <f>$G74&amp;$C$69&amp;$E74&amp;AZ$10</f>
        <v>1ELECTIVOSComplementariaVII SEMESTRE</v>
      </c>
      <c r="BA74" s="627"/>
      <c r="BB74" s="628"/>
      <c r="BC74" s="68"/>
      <c r="BD74" s="553" t="str">
        <f>$G74&amp;$C$69&amp;$E74&amp;BD$10</f>
        <v>1ELECTIVOSComplementariaVIII SEMESTRE</v>
      </c>
      <c r="BE74" s="627"/>
      <c r="BF74" s="628"/>
      <c r="BG74" s="70"/>
      <c r="BH74" s="553" t="str">
        <f>$G74&amp;$C$69&amp;$E74&amp;BH$10</f>
        <v>1ELECTIVOSComplementariaIX SEMESTRE</v>
      </c>
      <c r="BI74" s="627"/>
      <c r="BJ74" s="628"/>
      <c r="BK74" s="30"/>
      <c r="BL74" s="634"/>
      <c r="BM74" s="41"/>
      <c r="BN74" s="635"/>
      <c r="BO74" s="41"/>
      <c r="BP74" s="635"/>
      <c r="BQ74" s="18"/>
      <c r="BR74" s="49"/>
    </row>
    <row r="75" spans="1:70" ht="60.45" customHeight="1" x14ac:dyDescent="1">
      <c r="A75" s="12"/>
      <c r="B75" s="14"/>
      <c r="C75" s="656"/>
      <c r="D75" s="120"/>
      <c r="E75" s="656"/>
      <c r="F75" s="36"/>
      <c r="G75" s="643"/>
      <c r="H75" s="629" t="s">
        <v>224</v>
      </c>
      <c r="I75" s="522"/>
      <c r="J75" s="630"/>
      <c r="K75" s="68"/>
      <c r="L75" s="629" t="s">
        <v>224</v>
      </c>
      <c r="M75" s="522"/>
      <c r="N75" s="630"/>
      <c r="O75" s="82"/>
      <c r="P75" s="629" t="s">
        <v>224</v>
      </c>
      <c r="Q75" s="522"/>
      <c r="R75" s="630"/>
      <c r="S75" s="70"/>
      <c r="T75" s="629" t="s">
        <v>224</v>
      </c>
      <c r="U75" s="522"/>
      <c r="V75" s="630"/>
      <c r="W75" s="30"/>
      <c r="X75" s="635"/>
      <c r="Y75" s="137"/>
      <c r="Z75" s="635"/>
      <c r="AA75" s="41"/>
      <c r="AB75" s="635"/>
      <c r="AC75" s="30"/>
      <c r="AD75" s="24"/>
      <c r="AE75" s="30"/>
      <c r="AF75" s="629" t="s">
        <v>224</v>
      </c>
      <c r="AG75" s="522"/>
      <c r="AH75" s="630"/>
      <c r="AI75" s="68"/>
      <c r="AJ75" s="629" t="s">
        <v>224</v>
      </c>
      <c r="AK75" s="522"/>
      <c r="AL75" s="630"/>
      <c r="AM75" s="82"/>
      <c r="AN75" s="629" t="s">
        <v>224</v>
      </c>
      <c r="AO75" s="522"/>
      <c r="AP75" s="630"/>
      <c r="AQ75" s="30"/>
      <c r="AR75" s="635"/>
      <c r="AS75" s="79"/>
      <c r="AT75" s="635"/>
      <c r="AU75" s="41"/>
      <c r="AV75" s="635"/>
      <c r="AW75" s="30"/>
      <c r="AX75" s="94"/>
      <c r="AY75" s="44"/>
      <c r="AZ75" s="629" t="s">
        <v>224</v>
      </c>
      <c r="BA75" s="522"/>
      <c r="BB75" s="630"/>
      <c r="BC75" s="68"/>
      <c r="BD75" s="629" t="s">
        <v>224</v>
      </c>
      <c r="BE75" s="522"/>
      <c r="BF75" s="630"/>
      <c r="BG75" s="82"/>
      <c r="BH75" s="629" t="s">
        <v>224</v>
      </c>
      <c r="BI75" s="522"/>
      <c r="BJ75" s="630"/>
      <c r="BK75" s="30"/>
      <c r="BL75" s="635"/>
      <c r="BM75" s="41"/>
      <c r="BN75" s="635"/>
      <c r="BO75" s="41"/>
      <c r="BP75" s="635"/>
      <c r="BQ75" s="18"/>
      <c r="BR75" s="49"/>
    </row>
    <row r="76" spans="1:70" ht="60.6" x14ac:dyDescent="1">
      <c r="A76" s="12"/>
      <c r="B76" s="14"/>
      <c r="C76" s="656"/>
      <c r="D76" s="120"/>
      <c r="E76" s="656"/>
      <c r="F76" s="36"/>
      <c r="G76" s="643"/>
      <c r="H76" s="631"/>
      <c r="I76" s="632"/>
      <c r="J76" s="633"/>
      <c r="K76" s="68"/>
      <c r="L76" s="631"/>
      <c r="M76" s="632"/>
      <c r="N76" s="633"/>
      <c r="O76" s="82"/>
      <c r="P76" s="631"/>
      <c r="Q76" s="632"/>
      <c r="R76" s="633"/>
      <c r="S76" s="70"/>
      <c r="T76" s="631"/>
      <c r="U76" s="632"/>
      <c r="V76" s="633"/>
      <c r="W76" s="30"/>
      <c r="X76" s="635"/>
      <c r="Y76" s="137"/>
      <c r="Z76" s="635"/>
      <c r="AA76" s="41"/>
      <c r="AB76" s="635"/>
      <c r="AC76" s="30"/>
      <c r="AD76" s="24"/>
      <c r="AE76" s="105"/>
      <c r="AF76" s="631"/>
      <c r="AG76" s="632"/>
      <c r="AH76" s="633"/>
      <c r="AI76" s="68"/>
      <c r="AJ76" s="631"/>
      <c r="AK76" s="632"/>
      <c r="AL76" s="633"/>
      <c r="AM76" s="82"/>
      <c r="AN76" s="631"/>
      <c r="AO76" s="632"/>
      <c r="AP76" s="633"/>
      <c r="AQ76" s="30"/>
      <c r="AR76" s="635"/>
      <c r="AS76" s="79"/>
      <c r="AT76" s="635"/>
      <c r="AU76" s="41"/>
      <c r="AV76" s="635"/>
      <c r="AW76" s="30"/>
      <c r="AX76" s="94"/>
      <c r="AY76" s="124"/>
      <c r="AZ76" s="631"/>
      <c r="BA76" s="632"/>
      <c r="BB76" s="633"/>
      <c r="BC76" s="68"/>
      <c r="BD76" s="631"/>
      <c r="BE76" s="632"/>
      <c r="BF76" s="633"/>
      <c r="BG76" s="82"/>
      <c r="BH76" s="631"/>
      <c r="BI76" s="632"/>
      <c r="BJ76" s="633"/>
      <c r="BK76" s="30"/>
      <c r="BL76" s="635"/>
      <c r="BM76" s="41"/>
      <c r="BN76" s="635"/>
      <c r="BO76" s="41"/>
      <c r="BP76" s="635"/>
      <c r="BQ76" s="18"/>
      <c r="BR76" s="49"/>
    </row>
    <row r="77" spans="1:70" ht="54.75" customHeight="1" x14ac:dyDescent="1">
      <c r="A77" s="12"/>
      <c r="B77" s="14"/>
      <c r="C77" s="657"/>
      <c r="D77" s="120"/>
      <c r="E77" s="657"/>
      <c r="F77" s="36"/>
      <c r="G77" s="644"/>
      <c r="H77" s="83"/>
      <c r="I77" s="84"/>
      <c r="J77" s="85"/>
      <c r="K77" s="68"/>
      <c r="L77" s="83"/>
      <c r="M77" s="84"/>
      <c r="N77" s="85"/>
      <c r="O77" s="68"/>
      <c r="P77" s="83"/>
      <c r="Q77" s="84"/>
      <c r="R77" s="85"/>
      <c r="S77" s="70"/>
      <c r="T77" s="83"/>
      <c r="U77" s="84"/>
      <c r="V77" s="85"/>
      <c r="W77" s="30"/>
      <c r="X77" s="641"/>
      <c r="Y77" s="137"/>
      <c r="Z77" s="641"/>
      <c r="AA77" s="41"/>
      <c r="AB77" s="641"/>
      <c r="AC77" s="30"/>
      <c r="AD77" s="24"/>
      <c r="AE77" s="108"/>
      <c r="AF77" s="83"/>
      <c r="AG77" s="84"/>
      <c r="AH77" s="85"/>
      <c r="AI77" s="68"/>
      <c r="AJ77" s="83"/>
      <c r="AK77" s="84"/>
      <c r="AL77" s="85"/>
      <c r="AM77" s="68"/>
      <c r="AN77" s="83"/>
      <c r="AO77" s="84"/>
      <c r="AP77" s="85"/>
      <c r="AQ77" s="30"/>
      <c r="AR77" s="641"/>
      <c r="AS77" s="79"/>
      <c r="AT77" s="641"/>
      <c r="AU77" s="41"/>
      <c r="AV77" s="641"/>
      <c r="AW77" s="30"/>
      <c r="AX77" s="97"/>
      <c r="AY77" s="103"/>
      <c r="AZ77" s="83"/>
      <c r="BA77" s="84"/>
      <c r="BB77" s="85"/>
      <c r="BC77" s="68"/>
      <c r="BD77" s="83"/>
      <c r="BE77" s="84"/>
      <c r="BF77" s="85"/>
      <c r="BG77" s="68"/>
      <c r="BH77" s="83"/>
      <c r="BI77" s="84"/>
      <c r="BJ77" s="85"/>
      <c r="BK77" s="30"/>
      <c r="BL77" s="641"/>
      <c r="BM77" s="41"/>
      <c r="BN77" s="641"/>
      <c r="BO77" s="41"/>
      <c r="BP77" s="641"/>
      <c r="BQ77" s="18"/>
      <c r="BR77" s="49"/>
    </row>
    <row r="78" spans="1:70" ht="60.6" x14ac:dyDescent="1">
      <c r="A78" s="12"/>
      <c r="B78" s="14"/>
      <c r="C78" s="129"/>
      <c r="D78" s="45"/>
      <c r="E78" s="141"/>
      <c r="F78" s="18"/>
      <c r="G78" s="13"/>
      <c r="H78" s="69"/>
      <c r="I78" s="69"/>
      <c r="J78" s="69"/>
      <c r="K78" s="68"/>
      <c r="L78" s="88"/>
      <c r="M78" s="88"/>
      <c r="N78" s="88"/>
      <c r="O78" s="68"/>
      <c r="P78" s="69"/>
      <c r="Q78" s="69"/>
      <c r="R78" s="69"/>
      <c r="S78" s="111"/>
      <c r="T78" s="69"/>
      <c r="U78" s="69"/>
      <c r="V78" s="69"/>
      <c r="W78" s="13"/>
      <c r="X78" s="100"/>
      <c r="Y78" s="142"/>
      <c r="Z78" s="143"/>
      <c r="AA78" s="29"/>
      <c r="AB78" s="21"/>
      <c r="AC78" s="30"/>
      <c r="AD78" s="24"/>
      <c r="AE78" s="13"/>
      <c r="AF78" s="69"/>
      <c r="AG78" s="69"/>
      <c r="AH78" s="69"/>
      <c r="AI78" s="68"/>
      <c r="AJ78" s="88"/>
      <c r="AK78" s="88"/>
      <c r="AL78" s="88"/>
      <c r="AM78" s="68"/>
      <c r="AN78" s="69"/>
      <c r="AO78" s="69"/>
      <c r="AP78" s="69"/>
      <c r="AQ78" s="39"/>
      <c r="AR78" s="100"/>
      <c r="AS78" s="43"/>
      <c r="AT78" s="143"/>
      <c r="AU78" s="29"/>
      <c r="AV78" s="21"/>
      <c r="AW78" s="30"/>
      <c r="AX78" s="97"/>
      <c r="AY78" s="44"/>
      <c r="AZ78" s="69"/>
      <c r="BA78" s="69"/>
      <c r="BB78" s="69"/>
      <c r="BC78" s="68"/>
      <c r="BD78" s="88"/>
      <c r="BE78" s="88"/>
      <c r="BF78" s="88"/>
      <c r="BG78" s="68"/>
      <c r="BH78" s="69"/>
      <c r="BI78" s="69"/>
      <c r="BJ78" s="69"/>
      <c r="BK78" s="13"/>
      <c r="BL78" s="20"/>
      <c r="BM78" s="13"/>
      <c r="BN78" s="21"/>
      <c r="BO78" s="13"/>
      <c r="BP78" s="21"/>
      <c r="BQ78" s="18"/>
      <c r="BR78" s="49"/>
    </row>
    <row r="79" spans="1:70" ht="105" customHeight="1" x14ac:dyDescent="1">
      <c r="A79" s="12"/>
      <c r="B79" s="14"/>
      <c r="C79" s="655" t="s">
        <v>57</v>
      </c>
      <c r="D79" s="63"/>
      <c r="E79" s="658" t="e" cm="1">
        <f t="array" ref="E79">_xlfn.IFS('ASIGNACIÓN ASIGNATURAS'!B3="PREGRADO",'ASIGNACIÓN ASIGNATURAS'!C26,'ASIGNACIÓN ASIGNATURAS'!B3="POSGRADO",'ASIGNACIÓN ASIGNATURAS'!C40)</f>
        <v>#N/A</v>
      </c>
      <c r="F79" s="36"/>
      <c r="G79" s="642">
        <f>COUNTIF($E$14:E82,E79)</f>
        <v>7</v>
      </c>
      <c r="H79" s="553" t="e">
        <f>$G79&amp;$C$79&amp;$E79&amp;H$10</f>
        <v>#N/A</v>
      </c>
      <c r="I79" s="627"/>
      <c r="J79" s="628"/>
      <c r="K79" s="68"/>
      <c r="L79" s="553" t="e">
        <f>$G79&amp;$C$79&amp;$E79&amp;L$10</f>
        <v>#N/A</v>
      </c>
      <c r="M79" s="627"/>
      <c r="N79" s="628"/>
      <c r="O79" s="70"/>
      <c r="P79" s="553" t="e">
        <f>$G79&amp;$C$79&amp;$E79&amp;P$10</f>
        <v>#N/A</v>
      </c>
      <c r="Q79" s="627"/>
      <c r="R79" s="628"/>
      <c r="S79" s="70"/>
      <c r="T79" s="553" t="e">
        <f>$G79&amp;$C$79&amp;$E79&amp;T$10</f>
        <v>#N/A</v>
      </c>
      <c r="U79" s="627"/>
      <c r="V79" s="628"/>
      <c r="W79" s="30"/>
      <c r="X79" s="634"/>
      <c r="Y79" s="77"/>
      <c r="Z79" s="645"/>
      <c r="AA79" s="30"/>
      <c r="AB79" s="645"/>
      <c r="AC79" s="30"/>
      <c r="AD79" s="24"/>
      <c r="AE79" s="30"/>
      <c r="AF79" s="553" t="e">
        <f>$G79&amp;$C$79&amp;$E79&amp;AF$10</f>
        <v>#N/A</v>
      </c>
      <c r="AG79" s="627"/>
      <c r="AH79" s="628"/>
      <c r="AI79" s="68"/>
      <c r="AJ79" s="553" t="e">
        <f>$G79&amp;$C$79&amp;$E79&amp;AJ$10</f>
        <v>#N/A</v>
      </c>
      <c r="AK79" s="627"/>
      <c r="AL79" s="628"/>
      <c r="AM79" s="70"/>
      <c r="AN79" s="553" t="e">
        <f>$G79&amp;$C$79&amp;$E79&amp;AN$10</f>
        <v>#N/A</v>
      </c>
      <c r="AO79" s="627"/>
      <c r="AP79" s="628"/>
      <c r="AQ79" s="12"/>
      <c r="AR79" s="634"/>
      <c r="AS79" s="73"/>
      <c r="AT79" s="645"/>
      <c r="AU79" s="30"/>
      <c r="AV79" s="645"/>
      <c r="AW79" s="30"/>
      <c r="AX79" s="91"/>
      <c r="AY79" s="92"/>
      <c r="AZ79" s="553" t="e">
        <f>$G79&amp;$C$79&amp;$E79&amp;AZ$10</f>
        <v>#N/A</v>
      </c>
      <c r="BA79" s="627"/>
      <c r="BB79" s="628"/>
      <c r="BC79" s="68"/>
      <c r="BD79" s="553" t="e">
        <f>$G79&amp;$C$79&amp;$E79&amp;BD$10</f>
        <v>#N/A</v>
      </c>
      <c r="BE79" s="627"/>
      <c r="BF79" s="628"/>
      <c r="BG79" s="70"/>
      <c r="BH79" s="553" t="e">
        <f>$G79&amp;$C$79&amp;$E79&amp;BH$10</f>
        <v>#N/A</v>
      </c>
      <c r="BI79" s="627"/>
      <c r="BJ79" s="628"/>
      <c r="BK79" s="30"/>
      <c r="BL79" s="634"/>
      <c r="BM79" s="30"/>
      <c r="BN79" s="645"/>
      <c r="BO79" s="30"/>
      <c r="BP79" s="645"/>
      <c r="BQ79" s="18"/>
      <c r="BR79" s="49"/>
    </row>
    <row r="80" spans="1:70" ht="60.45" customHeight="1" x14ac:dyDescent="1">
      <c r="A80" s="12"/>
      <c r="B80" s="14"/>
      <c r="C80" s="656"/>
      <c r="D80" s="63"/>
      <c r="E80" s="659"/>
      <c r="F80" s="36"/>
      <c r="G80" s="643"/>
      <c r="H80" s="629" t="s">
        <v>224</v>
      </c>
      <c r="I80" s="522"/>
      <c r="J80" s="630"/>
      <c r="K80" s="68"/>
      <c r="L80" s="629" t="s">
        <v>224</v>
      </c>
      <c r="M80" s="522"/>
      <c r="N80" s="630"/>
      <c r="O80" s="82"/>
      <c r="P80" s="629" t="s">
        <v>224</v>
      </c>
      <c r="Q80" s="522"/>
      <c r="R80" s="630"/>
      <c r="S80" s="70"/>
      <c r="T80" s="629" t="s">
        <v>224</v>
      </c>
      <c r="U80" s="522"/>
      <c r="V80" s="630"/>
      <c r="W80" s="30"/>
      <c r="X80" s="635"/>
      <c r="Y80" s="77"/>
      <c r="Z80" s="635"/>
      <c r="AA80" s="30"/>
      <c r="AB80" s="635"/>
      <c r="AC80" s="30"/>
      <c r="AD80" s="24"/>
      <c r="AE80" s="30"/>
      <c r="AF80" s="629" t="s">
        <v>224</v>
      </c>
      <c r="AG80" s="522"/>
      <c r="AH80" s="630"/>
      <c r="AI80" s="68"/>
      <c r="AJ80" s="629" t="s">
        <v>224</v>
      </c>
      <c r="AK80" s="522"/>
      <c r="AL80" s="630"/>
      <c r="AM80" s="82"/>
      <c r="AN80" s="629" t="s">
        <v>224</v>
      </c>
      <c r="AO80" s="522"/>
      <c r="AP80" s="630"/>
      <c r="AQ80" s="12"/>
      <c r="AR80" s="635"/>
      <c r="AS80" s="73"/>
      <c r="AT80" s="635"/>
      <c r="AU80" s="30"/>
      <c r="AV80" s="635"/>
      <c r="AW80" s="30"/>
      <c r="AX80" s="24"/>
      <c r="AY80" s="92"/>
      <c r="AZ80" s="629" t="s">
        <v>224</v>
      </c>
      <c r="BA80" s="522"/>
      <c r="BB80" s="630"/>
      <c r="BC80" s="68"/>
      <c r="BD80" s="629" t="s">
        <v>224</v>
      </c>
      <c r="BE80" s="522"/>
      <c r="BF80" s="630"/>
      <c r="BG80" s="82"/>
      <c r="BH80" s="629" t="s">
        <v>224</v>
      </c>
      <c r="BI80" s="522"/>
      <c r="BJ80" s="630"/>
      <c r="BK80" s="30"/>
      <c r="BL80" s="635"/>
      <c r="BM80" s="30"/>
      <c r="BN80" s="635"/>
      <c r="BO80" s="30"/>
      <c r="BP80" s="635"/>
      <c r="BQ80" s="18"/>
      <c r="BR80" s="49"/>
    </row>
    <row r="81" spans="1:70" ht="60.6" x14ac:dyDescent="1">
      <c r="A81" s="12"/>
      <c r="B81" s="14"/>
      <c r="C81" s="656"/>
      <c r="D81" s="63"/>
      <c r="E81" s="659"/>
      <c r="F81" s="36"/>
      <c r="G81" s="643"/>
      <c r="H81" s="631"/>
      <c r="I81" s="632"/>
      <c r="J81" s="633"/>
      <c r="K81" s="68"/>
      <c r="L81" s="631"/>
      <c r="M81" s="632"/>
      <c r="N81" s="633"/>
      <c r="O81" s="82"/>
      <c r="P81" s="631"/>
      <c r="Q81" s="632"/>
      <c r="R81" s="633"/>
      <c r="S81" s="70"/>
      <c r="T81" s="631"/>
      <c r="U81" s="632"/>
      <c r="V81" s="633"/>
      <c r="W81" s="30"/>
      <c r="X81" s="635"/>
      <c r="Y81" s="77"/>
      <c r="Z81" s="635"/>
      <c r="AA81" s="30"/>
      <c r="AB81" s="635"/>
      <c r="AC81" s="30"/>
      <c r="AD81" s="24"/>
      <c r="AE81" s="30"/>
      <c r="AF81" s="631"/>
      <c r="AG81" s="632"/>
      <c r="AH81" s="633"/>
      <c r="AI81" s="68"/>
      <c r="AJ81" s="631"/>
      <c r="AK81" s="632"/>
      <c r="AL81" s="633"/>
      <c r="AM81" s="82"/>
      <c r="AN81" s="631"/>
      <c r="AO81" s="632"/>
      <c r="AP81" s="633"/>
      <c r="AQ81" s="12"/>
      <c r="AR81" s="635"/>
      <c r="AS81" s="73"/>
      <c r="AT81" s="635"/>
      <c r="AU81" s="30"/>
      <c r="AV81" s="635"/>
      <c r="AW81" s="30"/>
      <c r="AX81" s="94"/>
      <c r="AY81" s="95"/>
      <c r="AZ81" s="631"/>
      <c r="BA81" s="632"/>
      <c r="BB81" s="633"/>
      <c r="BC81" s="68"/>
      <c r="BD81" s="631"/>
      <c r="BE81" s="632"/>
      <c r="BF81" s="633"/>
      <c r="BG81" s="82"/>
      <c r="BH81" s="631"/>
      <c r="BI81" s="632"/>
      <c r="BJ81" s="633"/>
      <c r="BK81" s="30"/>
      <c r="BL81" s="635"/>
      <c r="BM81" s="30"/>
      <c r="BN81" s="635"/>
      <c r="BO81" s="30"/>
      <c r="BP81" s="635"/>
      <c r="BQ81" s="18"/>
      <c r="BR81" s="49"/>
    </row>
    <row r="82" spans="1:70" ht="47.25" customHeight="1" x14ac:dyDescent="1">
      <c r="A82" s="12"/>
      <c r="B82" s="14"/>
      <c r="C82" s="656"/>
      <c r="D82" s="63"/>
      <c r="E82" s="659"/>
      <c r="F82" s="36"/>
      <c r="G82" s="644"/>
      <c r="H82" s="83"/>
      <c r="I82" s="84"/>
      <c r="J82" s="85"/>
      <c r="K82" s="68"/>
      <c r="L82" s="83"/>
      <c r="M82" s="84"/>
      <c r="N82" s="85"/>
      <c r="O82" s="68"/>
      <c r="P82" s="83"/>
      <c r="Q82" s="84"/>
      <c r="R82" s="85"/>
      <c r="S82" s="70"/>
      <c r="T82" s="83"/>
      <c r="U82" s="84"/>
      <c r="V82" s="85"/>
      <c r="W82" s="30"/>
      <c r="X82" s="635"/>
      <c r="Y82" s="77"/>
      <c r="Z82" s="635"/>
      <c r="AA82" s="30"/>
      <c r="AB82" s="635"/>
      <c r="AC82" s="30"/>
      <c r="AD82" s="24"/>
      <c r="AE82" s="30"/>
      <c r="AF82" s="83"/>
      <c r="AG82" s="84"/>
      <c r="AH82" s="85"/>
      <c r="AI82" s="68"/>
      <c r="AJ82" s="83"/>
      <c r="AK82" s="84"/>
      <c r="AL82" s="85"/>
      <c r="AM82" s="68"/>
      <c r="AN82" s="83"/>
      <c r="AO82" s="84"/>
      <c r="AP82" s="85"/>
      <c r="AQ82" s="12"/>
      <c r="AR82" s="635"/>
      <c r="AS82" s="73"/>
      <c r="AT82" s="635"/>
      <c r="AU82" s="30"/>
      <c r="AV82" s="635"/>
      <c r="AW82" s="30"/>
      <c r="AX82" s="97"/>
      <c r="AY82" s="103"/>
      <c r="AZ82" s="83"/>
      <c r="BA82" s="84"/>
      <c r="BB82" s="85"/>
      <c r="BC82" s="68"/>
      <c r="BD82" s="83"/>
      <c r="BE82" s="84"/>
      <c r="BF82" s="85"/>
      <c r="BG82" s="68"/>
      <c r="BH82" s="83"/>
      <c r="BI82" s="84"/>
      <c r="BJ82" s="85"/>
      <c r="BK82" s="30"/>
      <c r="BL82" s="635"/>
      <c r="BM82" s="30"/>
      <c r="BN82" s="635"/>
      <c r="BO82" s="30"/>
      <c r="BP82" s="635"/>
      <c r="BQ82" s="18"/>
      <c r="BR82" s="49"/>
    </row>
    <row r="83" spans="1:70" ht="60.6" x14ac:dyDescent="1">
      <c r="A83" s="12"/>
      <c r="B83" s="14"/>
      <c r="C83" s="656"/>
      <c r="D83" s="63"/>
      <c r="E83" s="144"/>
      <c r="F83" s="18"/>
      <c r="G83" s="13"/>
      <c r="H83" s="69"/>
      <c r="I83" s="69"/>
      <c r="J83" s="69"/>
      <c r="K83" s="68"/>
      <c r="L83" s="112"/>
      <c r="M83" s="112"/>
      <c r="N83" s="112"/>
      <c r="O83" s="68"/>
      <c r="P83" s="88"/>
      <c r="Q83" s="88"/>
      <c r="R83" s="88"/>
      <c r="S83" s="111"/>
      <c r="T83" s="69"/>
      <c r="U83" s="69"/>
      <c r="V83" s="69"/>
      <c r="W83" s="13"/>
      <c r="X83" s="20"/>
      <c r="Y83" s="77"/>
      <c r="Z83" s="635"/>
      <c r="AA83" s="30"/>
      <c r="AB83" s="635"/>
      <c r="AC83" s="30"/>
      <c r="AD83" s="24"/>
      <c r="AE83" s="13"/>
      <c r="AF83" s="69"/>
      <c r="AG83" s="69"/>
      <c r="AH83" s="69"/>
      <c r="AI83" s="68"/>
      <c r="AJ83" s="112"/>
      <c r="AK83" s="112"/>
      <c r="AL83" s="112"/>
      <c r="AM83" s="68"/>
      <c r="AN83" s="88"/>
      <c r="AO83" s="88"/>
      <c r="AP83" s="88"/>
      <c r="AQ83" s="13"/>
      <c r="AR83" s="20"/>
      <c r="AS83" s="73"/>
      <c r="AT83" s="635"/>
      <c r="AU83" s="30"/>
      <c r="AV83" s="635"/>
      <c r="AW83" s="30"/>
      <c r="AX83" s="24"/>
      <c r="AY83" s="44"/>
      <c r="AZ83" s="69"/>
      <c r="BA83" s="69"/>
      <c r="BB83" s="69"/>
      <c r="BC83" s="68"/>
      <c r="BD83" s="112"/>
      <c r="BE83" s="112"/>
      <c r="BF83" s="112"/>
      <c r="BG83" s="68"/>
      <c r="BH83" s="88"/>
      <c r="BI83" s="88"/>
      <c r="BJ83" s="88"/>
      <c r="BK83" s="13"/>
      <c r="BL83" s="20"/>
      <c r="BM83" s="30"/>
      <c r="BN83" s="635"/>
      <c r="BO83" s="30"/>
      <c r="BP83" s="635"/>
      <c r="BQ83" s="18"/>
      <c r="BR83" s="49"/>
    </row>
    <row r="84" spans="1:70" ht="93.75" customHeight="1" x14ac:dyDescent="1">
      <c r="A84" s="12"/>
      <c r="B84" s="14"/>
      <c r="C84" s="656"/>
      <c r="D84" s="63"/>
      <c r="E84" s="658" t="e" cm="1">
        <f t="array" ref="E84">_xlfn.IFS('ASIGNACIÓN ASIGNATURAS'!B3="PREGRADO",'ASIGNACIÓN ASIGNATURAS'!C27,'ASIGNACIÓN ASIGNATURAS'!B3="POSGRADO",'ASIGNACIÓN ASIGNATURAS'!C41)</f>
        <v>#N/A</v>
      </c>
      <c r="F84" s="18"/>
      <c r="G84" s="642">
        <f>COUNTIF($E$14:E87,E84)</f>
        <v>8</v>
      </c>
      <c r="H84" s="553" t="e">
        <f>$G84&amp;$C$79&amp;$E84&amp;H$10</f>
        <v>#N/A</v>
      </c>
      <c r="I84" s="627"/>
      <c r="J84" s="628"/>
      <c r="K84" s="68"/>
      <c r="L84" s="553" t="e">
        <f>$G84&amp;$C$79&amp;$E84&amp;L$10</f>
        <v>#N/A</v>
      </c>
      <c r="M84" s="627"/>
      <c r="N84" s="628"/>
      <c r="O84" s="70"/>
      <c r="P84" s="553" t="e">
        <f>$G84&amp;$C$79&amp;$E84&amp;P$10</f>
        <v>#N/A</v>
      </c>
      <c r="Q84" s="627"/>
      <c r="R84" s="628"/>
      <c r="S84" s="70"/>
      <c r="T84" s="553" t="e">
        <f>$G84&amp;$C$79&amp;$E84&amp;T$10</f>
        <v>#N/A</v>
      </c>
      <c r="U84" s="627"/>
      <c r="V84" s="628"/>
      <c r="W84" s="30"/>
      <c r="X84" s="634"/>
      <c r="Y84" s="77"/>
      <c r="Z84" s="635"/>
      <c r="AA84" s="30"/>
      <c r="AB84" s="635"/>
      <c r="AC84" s="30"/>
      <c r="AD84" s="24"/>
      <c r="AE84" s="30"/>
      <c r="AF84" s="553" t="e">
        <f>$G84&amp;$C$79&amp;$E84&amp;AF$10</f>
        <v>#N/A</v>
      </c>
      <c r="AG84" s="627"/>
      <c r="AH84" s="628"/>
      <c r="AI84" s="68"/>
      <c r="AJ84" s="553" t="e">
        <f>$G84&amp;$C$79&amp;$E84&amp;AJ$10</f>
        <v>#N/A</v>
      </c>
      <c r="AK84" s="627"/>
      <c r="AL84" s="628"/>
      <c r="AM84" s="70"/>
      <c r="AN84" s="553" t="e">
        <f>$G84&amp;$C$79&amp;$E84&amp;AN$10</f>
        <v>#N/A</v>
      </c>
      <c r="AO84" s="627"/>
      <c r="AP84" s="628"/>
      <c r="AQ84" s="12"/>
      <c r="AR84" s="634"/>
      <c r="AS84" s="73"/>
      <c r="AT84" s="635"/>
      <c r="AU84" s="30"/>
      <c r="AV84" s="635"/>
      <c r="AW84" s="30"/>
      <c r="AX84" s="24"/>
      <c r="AY84" s="44"/>
      <c r="AZ84" s="553" t="e">
        <f>$G84&amp;$C$79&amp;$E84&amp;AZ$10</f>
        <v>#N/A</v>
      </c>
      <c r="BA84" s="627"/>
      <c r="BB84" s="628"/>
      <c r="BC84" s="68"/>
      <c r="BD84" s="553" t="e">
        <f>$G84&amp;$C$79&amp;$E84&amp;BD$10</f>
        <v>#N/A</v>
      </c>
      <c r="BE84" s="627"/>
      <c r="BF84" s="628"/>
      <c r="BG84" s="70"/>
      <c r="BH84" s="553" t="e">
        <f>$G84&amp;$C$79&amp;$E84&amp;BH$10</f>
        <v>#N/A</v>
      </c>
      <c r="BI84" s="627"/>
      <c r="BJ84" s="628"/>
      <c r="BK84" s="30"/>
      <c r="BL84" s="634"/>
      <c r="BM84" s="30"/>
      <c r="BN84" s="635"/>
      <c r="BO84" s="30"/>
      <c r="BP84" s="635"/>
      <c r="BQ84" s="18"/>
      <c r="BR84" s="49"/>
    </row>
    <row r="85" spans="1:70" ht="60.45" customHeight="1" x14ac:dyDescent="1">
      <c r="A85" s="12"/>
      <c r="B85" s="14"/>
      <c r="C85" s="656"/>
      <c r="D85" s="63"/>
      <c r="E85" s="659"/>
      <c r="F85" s="18"/>
      <c r="G85" s="643"/>
      <c r="H85" s="629" t="s">
        <v>224</v>
      </c>
      <c r="I85" s="522"/>
      <c r="J85" s="630"/>
      <c r="K85" s="68"/>
      <c r="L85" s="629" t="s">
        <v>224</v>
      </c>
      <c r="M85" s="522"/>
      <c r="N85" s="630"/>
      <c r="O85" s="82"/>
      <c r="P85" s="629" t="s">
        <v>224</v>
      </c>
      <c r="Q85" s="522"/>
      <c r="R85" s="630"/>
      <c r="S85" s="70"/>
      <c r="T85" s="629" t="s">
        <v>224</v>
      </c>
      <c r="U85" s="522"/>
      <c r="V85" s="630"/>
      <c r="W85" s="30"/>
      <c r="X85" s="635"/>
      <c r="Y85" s="77"/>
      <c r="Z85" s="635"/>
      <c r="AA85" s="30"/>
      <c r="AB85" s="635"/>
      <c r="AC85" s="30"/>
      <c r="AD85" s="24"/>
      <c r="AE85" s="30"/>
      <c r="AF85" s="629" t="s">
        <v>224</v>
      </c>
      <c r="AG85" s="522"/>
      <c r="AH85" s="630"/>
      <c r="AI85" s="68"/>
      <c r="AJ85" s="629" t="s">
        <v>224</v>
      </c>
      <c r="AK85" s="522"/>
      <c r="AL85" s="630"/>
      <c r="AM85" s="82"/>
      <c r="AN85" s="629" t="s">
        <v>224</v>
      </c>
      <c r="AO85" s="522"/>
      <c r="AP85" s="630"/>
      <c r="AQ85" s="12"/>
      <c r="AR85" s="635"/>
      <c r="AS85" s="73"/>
      <c r="AT85" s="635"/>
      <c r="AU85" s="30"/>
      <c r="AV85" s="635"/>
      <c r="AW85" s="30"/>
      <c r="AX85" s="24"/>
      <c r="AY85" s="44"/>
      <c r="AZ85" s="629" t="s">
        <v>224</v>
      </c>
      <c r="BA85" s="522"/>
      <c r="BB85" s="630"/>
      <c r="BC85" s="68"/>
      <c r="BD85" s="629" t="s">
        <v>224</v>
      </c>
      <c r="BE85" s="522"/>
      <c r="BF85" s="630"/>
      <c r="BG85" s="82"/>
      <c r="BH85" s="629" t="s">
        <v>224</v>
      </c>
      <c r="BI85" s="522"/>
      <c r="BJ85" s="630"/>
      <c r="BK85" s="30"/>
      <c r="BL85" s="635"/>
      <c r="BM85" s="30"/>
      <c r="BN85" s="635"/>
      <c r="BO85" s="30"/>
      <c r="BP85" s="635"/>
      <c r="BQ85" s="18"/>
      <c r="BR85" s="49"/>
    </row>
    <row r="86" spans="1:70" ht="60.6" x14ac:dyDescent="1">
      <c r="A86" s="12"/>
      <c r="B86" s="14"/>
      <c r="C86" s="656"/>
      <c r="D86" s="63"/>
      <c r="E86" s="659"/>
      <c r="F86" s="18"/>
      <c r="G86" s="643"/>
      <c r="H86" s="631"/>
      <c r="I86" s="632"/>
      <c r="J86" s="633"/>
      <c r="K86" s="68"/>
      <c r="L86" s="631"/>
      <c r="M86" s="632"/>
      <c r="N86" s="633"/>
      <c r="O86" s="82"/>
      <c r="P86" s="631"/>
      <c r="Q86" s="632"/>
      <c r="R86" s="633"/>
      <c r="S86" s="70"/>
      <c r="T86" s="631"/>
      <c r="U86" s="632"/>
      <c r="V86" s="633"/>
      <c r="W86" s="30"/>
      <c r="X86" s="635"/>
      <c r="Y86" s="77"/>
      <c r="Z86" s="635"/>
      <c r="AA86" s="30"/>
      <c r="AB86" s="635"/>
      <c r="AC86" s="30"/>
      <c r="AD86" s="24"/>
      <c r="AE86" s="30"/>
      <c r="AF86" s="631"/>
      <c r="AG86" s="632"/>
      <c r="AH86" s="633"/>
      <c r="AI86" s="68"/>
      <c r="AJ86" s="631"/>
      <c r="AK86" s="632"/>
      <c r="AL86" s="633"/>
      <c r="AM86" s="82"/>
      <c r="AN86" s="631"/>
      <c r="AO86" s="632"/>
      <c r="AP86" s="633"/>
      <c r="AQ86" s="12"/>
      <c r="AR86" s="635"/>
      <c r="AS86" s="73"/>
      <c r="AT86" s="635"/>
      <c r="AU86" s="30"/>
      <c r="AV86" s="635"/>
      <c r="AW86" s="30"/>
      <c r="AX86" s="24"/>
      <c r="AY86" s="44"/>
      <c r="AZ86" s="631"/>
      <c r="BA86" s="632"/>
      <c r="BB86" s="633"/>
      <c r="BC86" s="68"/>
      <c r="BD86" s="631"/>
      <c r="BE86" s="632"/>
      <c r="BF86" s="633"/>
      <c r="BG86" s="82"/>
      <c r="BH86" s="631"/>
      <c r="BI86" s="632"/>
      <c r="BJ86" s="633"/>
      <c r="BK86" s="30"/>
      <c r="BL86" s="635"/>
      <c r="BM86" s="30"/>
      <c r="BN86" s="635"/>
      <c r="BO86" s="30"/>
      <c r="BP86" s="635"/>
      <c r="BQ86" s="18"/>
      <c r="BR86" s="49"/>
    </row>
    <row r="87" spans="1:70" ht="51.75" customHeight="1" x14ac:dyDescent="1">
      <c r="A87" s="12"/>
      <c r="B87" s="14"/>
      <c r="C87" s="656"/>
      <c r="D87" s="63"/>
      <c r="E87" s="659"/>
      <c r="F87" s="18"/>
      <c r="G87" s="644"/>
      <c r="H87" s="83"/>
      <c r="I87" s="84"/>
      <c r="J87" s="85"/>
      <c r="K87" s="68"/>
      <c r="L87" s="83"/>
      <c r="M87" s="84"/>
      <c r="N87" s="85"/>
      <c r="O87" s="68"/>
      <c r="P87" s="83"/>
      <c r="Q87" s="84"/>
      <c r="R87" s="85"/>
      <c r="S87" s="70"/>
      <c r="T87" s="83"/>
      <c r="U87" s="84"/>
      <c r="V87" s="85"/>
      <c r="W87" s="30"/>
      <c r="X87" s="635"/>
      <c r="Y87" s="77"/>
      <c r="Z87" s="635"/>
      <c r="AA87" s="30"/>
      <c r="AB87" s="635"/>
      <c r="AC87" s="30"/>
      <c r="AD87" s="24"/>
      <c r="AE87" s="30"/>
      <c r="AF87" s="83"/>
      <c r="AG87" s="84"/>
      <c r="AH87" s="85"/>
      <c r="AI87" s="68"/>
      <c r="AJ87" s="83"/>
      <c r="AK87" s="84"/>
      <c r="AL87" s="85"/>
      <c r="AM87" s="68"/>
      <c r="AN87" s="83"/>
      <c r="AO87" s="84"/>
      <c r="AP87" s="85"/>
      <c r="AQ87" s="12"/>
      <c r="AR87" s="635"/>
      <c r="AS87" s="73"/>
      <c r="AT87" s="635"/>
      <c r="AU87" s="30"/>
      <c r="AV87" s="635"/>
      <c r="AW87" s="30"/>
      <c r="AX87" s="24"/>
      <c r="AY87" s="44"/>
      <c r="AZ87" s="83"/>
      <c r="BA87" s="84"/>
      <c r="BB87" s="85"/>
      <c r="BC87" s="68"/>
      <c r="BD87" s="83"/>
      <c r="BE87" s="84"/>
      <c r="BF87" s="85"/>
      <c r="BG87" s="68"/>
      <c r="BH87" s="83"/>
      <c r="BI87" s="84"/>
      <c r="BJ87" s="85"/>
      <c r="BK87" s="30"/>
      <c r="BL87" s="635"/>
      <c r="BM87" s="30"/>
      <c r="BN87" s="635"/>
      <c r="BO87" s="30"/>
      <c r="BP87" s="635"/>
      <c r="BQ87" s="18"/>
      <c r="BR87" s="49"/>
    </row>
    <row r="88" spans="1:70" ht="60.6" x14ac:dyDescent="1">
      <c r="A88" s="12"/>
      <c r="B88" s="14"/>
      <c r="C88" s="656"/>
      <c r="D88" s="63"/>
      <c r="E88" s="145"/>
      <c r="F88" s="36"/>
      <c r="G88" s="30"/>
      <c r="H88" s="51"/>
      <c r="I88" s="51"/>
      <c r="J88" s="51"/>
      <c r="K88" s="82"/>
      <c r="L88" s="146"/>
      <c r="M88" s="88"/>
      <c r="N88" s="88"/>
      <c r="O88" s="68"/>
      <c r="P88" s="88"/>
      <c r="Q88" s="88"/>
      <c r="R88" s="88"/>
      <c r="S88" s="111"/>
      <c r="T88" s="69"/>
      <c r="U88" s="69"/>
      <c r="V88" s="69"/>
      <c r="W88" s="13"/>
      <c r="X88" s="25"/>
      <c r="Y88" s="147"/>
      <c r="Z88" s="635"/>
      <c r="AA88" s="30"/>
      <c r="AB88" s="635"/>
      <c r="AC88" s="30"/>
      <c r="AD88" s="24"/>
      <c r="AE88" s="13"/>
      <c r="AF88" s="51"/>
      <c r="AG88" s="51"/>
      <c r="AH88" s="51"/>
      <c r="AI88" s="82"/>
      <c r="AJ88" s="146"/>
      <c r="AK88" s="88"/>
      <c r="AL88" s="88"/>
      <c r="AM88" s="68"/>
      <c r="AN88" s="88"/>
      <c r="AO88" s="88"/>
      <c r="AP88" s="88"/>
      <c r="AQ88" s="13"/>
      <c r="AR88" s="25"/>
      <c r="AS88" s="43"/>
      <c r="AT88" s="635"/>
      <c r="AU88" s="30"/>
      <c r="AV88" s="635"/>
      <c r="AW88" s="30"/>
      <c r="AX88" s="24"/>
      <c r="AY88" s="44"/>
      <c r="AZ88" s="51"/>
      <c r="BA88" s="51"/>
      <c r="BB88" s="51"/>
      <c r="BC88" s="82"/>
      <c r="BD88" s="146"/>
      <c r="BE88" s="88"/>
      <c r="BF88" s="88"/>
      <c r="BG88" s="68"/>
      <c r="BH88" s="88"/>
      <c r="BI88" s="88"/>
      <c r="BJ88" s="88"/>
      <c r="BK88" s="13"/>
      <c r="BL88" s="25"/>
      <c r="BM88" s="12"/>
      <c r="BN88" s="635"/>
      <c r="BO88" s="30"/>
      <c r="BP88" s="635"/>
      <c r="BQ88" s="18"/>
      <c r="BR88" s="49"/>
    </row>
    <row r="89" spans="1:70" ht="98.25" customHeight="1" x14ac:dyDescent="1">
      <c r="A89" s="12"/>
      <c r="B89" s="14"/>
      <c r="C89" s="656"/>
      <c r="D89" s="63"/>
      <c r="E89" s="658" t="e" cm="1">
        <f t="array" ref="E89">_xlfn.IFS('ASIGNACIÓN ASIGNATURAS'!B3="PREGRADO",'ASIGNACIÓN ASIGNATURAS'!C28,'ASIGNACIÓN ASIGNATURAS'!B3="POSGRADO",'ASIGNACIÓN ASIGNATURAS'!C42)</f>
        <v>#N/A</v>
      </c>
      <c r="F89" s="36"/>
      <c r="G89" s="642">
        <f>COUNTIF($E$14:E92,E89)</f>
        <v>9</v>
      </c>
      <c r="H89" s="553" t="e">
        <f>$G89&amp;$C$79&amp;$E89&amp;H$10</f>
        <v>#N/A</v>
      </c>
      <c r="I89" s="627"/>
      <c r="J89" s="628"/>
      <c r="K89" s="68"/>
      <c r="L89" s="553" t="e">
        <f>$G89&amp;$C$79&amp;$E89&amp;L$10</f>
        <v>#N/A</v>
      </c>
      <c r="M89" s="627"/>
      <c r="N89" s="628"/>
      <c r="O89" s="70"/>
      <c r="P89" s="553" t="e">
        <f>$G89&amp;$C$79&amp;$E89&amp;P$10</f>
        <v>#N/A</v>
      </c>
      <c r="Q89" s="627"/>
      <c r="R89" s="628"/>
      <c r="S89" s="70"/>
      <c r="T89" s="553" t="e">
        <f>$G89&amp;$C$79&amp;$E89&amp;T$10</f>
        <v>#N/A</v>
      </c>
      <c r="U89" s="627"/>
      <c r="V89" s="628"/>
      <c r="W89" s="30"/>
      <c r="X89" s="634"/>
      <c r="Y89" s="77"/>
      <c r="Z89" s="635"/>
      <c r="AA89" s="30"/>
      <c r="AB89" s="635"/>
      <c r="AC89" s="30"/>
      <c r="AD89" s="24"/>
      <c r="AE89" s="108"/>
      <c r="AF89" s="553" t="e">
        <f>$G89&amp;$C$79&amp;$E89&amp;AF$10</f>
        <v>#N/A</v>
      </c>
      <c r="AG89" s="627"/>
      <c r="AH89" s="628"/>
      <c r="AI89" s="68"/>
      <c r="AJ89" s="553" t="e">
        <f>$G89&amp;$C$79&amp;$E89&amp;AJ$10</f>
        <v>#N/A</v>
      </c>
      <c r="AK89" s="627"/>
      <c r="AL89" s="628"/>
      <c r="AM89" s="70"/>
      <c r="AN89" s="553" t="e">
        <f>$G89&amp;$C$79&amp;$E89&amp;AN$10</f>
        <v>#N/A</v>
      </c>
      <c r="AO89" s="627"/>
      <c r="AP89" s="628"/>
      <c r="AQ89" s="12"/>
      <c r="AR89" s="634"/>
      <c r="AS89" s="73"/>
      <c r="AT89" s="635"/>
      <c r="AU89" s="30"/>
      <c r="AV89" s="635"/>
      <c r="AW89" s="30"/>
      <c r="AX89" s="24"/>
      <c r="AY89" s="44"/>
      <c r="AZ89" s="553" t="e">
        <f>$G89&amp;$C$79&amp;$E89&amp;AZ$10</f>
        <v>#N/A</v>
      </c>
      <c r="BA89" s="627"/>
      <c r="BB89" s="628"/>
      <c r="BC89" s="68"/>
      <c r="BD89" s="553" t="e">
        <f>$G89&amp;$C$79&amp;$E89&amp;BD$10</f>
        <v>#N/A</v>
      </c>
      <c r="BE89" s="627"/>
      <c r="BF89" s="628"/>
      <c r="BG89" s="70"/>
      <c r="BH89" s="553" t="e">
        <f>$G89&amp;$C$79&amp;$E89&amp;BH$10</f>
        <v>#N/A</v>
      </c>
      <c r="BI89" s="627"/>
      <c r="BJ89" s="628"/>
      <c r="BK89" s="30"/>
      <c r="BL89" s="634"/>
      <c r="BM89" s="30"/>
      <c r="BN89" s="635"/>
      <c r="BO89" s="30"/>
      <c r="BP89" s="635"/>
      <c r="BQ89" s="18"/>
      <c r="BR89" s="49"/>
    </row>
    <row r="90" spans="1:70" ht="60.45" customHeight="1" x14ac:dyDescent="1">
      <c r="A90" s="12"/>
      <c r="B90" s="14"/>
      <c r="C90" s="656"/>
      <c r="D90" s="63"/>
      <c r="E90" s="659"/>
      <c r="F90" s="36"/>
      <c r="G90" s="643"/>
      <c r="H90" s="629" t="s">
        <v>224</v>
      </c>
      <c r="I90" s="522"/>
      <c r="J90" s="630"/>
      <c r="K90" s="68"/>
      <c r="L90" s="629" t="s">
        <v>224</v>
      </c>
      <c r="M90" s="522"/>
      <c r="N90" s="630"/>
      <c r="O90" s="82"/>
      <c r="P90" s="629" t="s">
        <v>224</v>
      </c>
      <c r="Q90" s="522"/>
      <c r="R90" s="630"/>
      <c r="S90" s="70"/>
      <c r="T90" s="629" t="s">
        <v>224</v>
      </c>
      <c r="U90" s="522"/>
      <c r="V90" s="630"/>
      <c r="W90" s="30"/>
      <c r="X90" s="635"/>
      <c r="Y90" s="77"/>
      <c r="Z90" s="635"/>
      <c r="AA90" s="30"/>
      <c r="AB90" s="635"/>
      <c r="AC90" s="30"/>
      <c r="AD90" s="24"/>
      <c r="AE90" s="30"/>
      <c r="AF90" s="629" t="s">
        <v>224</v>
      </c>
      <c r="AG90" s="522"/>
      <c r="AH90" s="630"/>
      <c r="AI90" s="68"/>
      <c r="AJ90" s="629" t="s">
        <v>224</v>
      </c>
      <c r="AK90" s="522"/>
      <c r="AL90" s="630"/>
      <c r="AM90" s="82"/>
      <c r="AN90" s="629" t="s">
        <v>224</v>
      </c>
      <c r="AO90" s="522"/>
      <c r="AP90" s="630"/>
      <c r="AQ90" s="12"/>
      <c r="AR90" s="635"/>
      <c r="AS90" s="73"/>
      <c r="AT90" s="635"/>
      <c r="AU90" s="30"/>
      <c r="AV90" s="635"/>
      <c r="AW90" s="30"/>
      <c r="AX90" s="24"/>
      <c r="AY90" s="44"/>
      <c r="AZ90" s="629" t="s">
        <v>224</v>
      </c>
      <c r="BA90" s="522"/>
      <c r="BB90" s="630"/>
      <c r="BC90" s="68"/>
      <c r="BD90" s="629" t="s">
        <v>224</v>
      </c>
      <c r="BE90" s="522"/>
      <c r="BF90" s="630"/>
      <c r="BG90" s="82"/>
      <c r="BH90" s="629" t="s">
        <v>224</v>
      </c>
      <c r="BI90" s="522"/>
      <c r="BJ90" s="630"/>
      <c r="BK90" s="30"/>
      <c r="BL90" s="635"/>
      <c r="BM90" s="30"/>
      <c r="BN90" s="635"/>
      <c r="BO90" s="30"/>
      <c r="BP90" s="635"/>
      <c r="BQ90" s="18"/>
      <c r="BR90" s="49"/>
    </row>
    <row r="91" spans="1:70" ht="60.6" x14ac:dyDescent="1">
      <c r="A91" s="12"/>
      <c r="B91" s="14"/>
      <c r="C91" s="656"/>
      <c r="D91" s="63"/>
      <c r="E91" s="659"/>
      <c r="F91" s="36"/>
      <c r="G91" s="643"/>
      <c r="H91" s="631"/>
      <c r="I91" s="632"/>
      <c r="J91" s="633"/>
      <c r="K91" s="68"/>
      <c r="L91" s="631"/>
      <c r="M91" s="632"/>
      <c r="N91" s="633"/>
      <c r="O91" s="82"/>
      <c r="P91" s="631"/>
      <c r="Q91" s="632"/>
      <c r="R91" s="633"/>
      <c r="S91" s="70"/>
      <c r="T91" s="631"/>
      <c r="U91" s="632"/>
      <c r="V91" s="633"/>
      <c r="W91" s="30"/>
      <c r="X91" s="635"/>
      <c r="Y91" s="77"/>
      <c r="Z91" s="635"/>
      <c r="AA91" s="30"/>
      <c r="AB91" s="635"/>
      <c r="AC91" s="30"/>
      <c r="AD91" s="24"/>
      <c r="AE91" s="105"/>
      <c r="AF91" s="631"/>
      <c r="AG91" s="632"/>
      <c r="AH91" s="633"/>
      <c r="AI91" s="68"/>
      <c r="AJ91" s="631"/>
      <c r="AK91" s="632"/>
      <c r="AL91" s="633"/>
      <c r="AM91" s="82"/>
      <c r="AN91" s="631"/>
      <c r="AO91" s="632"/>
      <c r="AP91" s="633"/>
      <c r="AQ91" s="12"/>
      <c r="AR91" s="635"/>
      <c r="AS91" s="73"/>
      <c r="AT91" s="635"/>
      <c r="AU91" s="30"/>
      <c r="AV91" s="635"/>
      <c r="AW91" s="30"/>
      <c r="AX91" s="24"/>
      <c r="AY91" s="44"/>
      <c r="AZ91" s="631"/>
      <c r="BA91" s="632"/>
      <c r="BB91" s="633"/>
      <c r="BC91" s="68"/>
      <c r="BD91" s="631"/>
      <c r="BE91" s="632"/>
      <c r="BF91" s="633"/>
      <c r="BG91" s="82"/>
      <c r="BH91" s="631"/>
      <c r="BI91" s="632"/>
      <c r="BJ91" s="633"/>
      <c r="BK91" s="30"/>
      <c r="BL91" s="635"/>
      <c r="BM91" s="30"/>
      <c r="BN91" s="635"/>
      <c r="BO91" s="30"/>
      <c r="BP91" s="635"/>
      <c r="BQ91" s="18"/>
      <c r="BR91" s="49"/>
    </row>
    <row r="92" spans="1:70" ht="51.75" customHeight="1" x14ac:dyDescent="1">
      <c r="A92" s="12"/>
      <c r="B92" s="14"/>
      <c r="C92" s="656"/>
      <c r="D92" s="63"/>
      <c r="E92" s="663"/>
      <c r="F92" s="36"/>
      <c r="G92" s="644"/>
      <c r="H92" s="83"/>
      <c r="I92" s="84"/>
      <c r="J92" s="85"/>
      <c r="K92" s="68"/>
      <c r="L92" s="83"/>
      <c r="M92" s="84"/>
      <c r="N92" s="85"/>
      <c r="O92" s="68"/>
      <c r="P92" s="83"/>
      <c r="Q92" s="84"/>
      <c r="R92" s="85"/>
      <c r="S92" s="70"/>
      <c r="T92" s="83"/>
      <c r="U92" s="84"/>
      <c r="V92" s="85"/>
      <c r="W92" s="30"/>
      <c r="X92" s="641"/>
      <c r="Y92" s="77"/>
      <c r="Z92" s="635"/>
      <c r="AA92" s="30"/>
      <c r="AB92" s="635"/>
      <c r="AC92" s="30"/>
      <c r="AD92" s="24"/>
      <c r="AE92" s="108"/>
      <c r="AF92" s="83"/>
      <c r="AG92" s="84"/>
      <c r="AH92" s="85"/>
      <c r="AI92" s="68"/>
      <c r="AJ92" s="83"/>
      <c r="AK92" s="84"/>
      <c r="AL92" s="85"/>
      <c r="AM92" s="68"/>
      <c r="AN92" s="83"/>
      <c r="AO92" s="84"/>
      <c r="AP92" s="85"/>
      <c r="AQ92" s="12"/>
      <c r="AR92" s="641"/>
      <c r="AS92" s="73"/>
      <c r="AT92" s="635"/>
      <c r="AU92" s="30"/>
      <c r="AV92" s="635"/>
      <c r="AW92" s="30"/>
      <c r="AX92" s="24"/>
      <c r="AY92" s="44"/>
      <c r="AZ92" s="83"/>
      <c r="BA92" s="84"/>
      <c r="BB92" s="85"/>
      <c r="BC92" s="68"/>
      <c r="BD92" s="83"/>
      <c r="BE92" s="84"/>
      <c r="BF92" s="85"/>
      <c r="BG92" s="68"/>
      <c r="BH92" s="83"/>
      <c r="BI92" s="84"/>
      <c r="BJ92" s="85"/>
      <c r="BK92" s="30"/>
      <c r="BL92" s="641"/>
      <c r="BM92" s="30"/>
      <c r="BN92" s="635"/>
      <c r="BO92" s="30"/>
      <c r="BP92" s="635"/>
      <c r="BQ92" s="18"/>
      <c r="BR92" s="49"/>
    </row>
    <row r="93" spans="1:70" ht="60.6" x14ac:dyDescent="1">
      <c r="A93" s="12"/>
      <c r="B93" s="14"/>
      <c r="C93" s="656"/>
      <c r="D93" s="45"/>
      <c r="E93" s="148"/>
      <c r="F93" s="18"/>
      <c r="G93" s="13"/>
      <c r="H93" s="69"/>
      <c r="I93" s="69"/>
      <c r="J93" s="69"/>
      <c r="K93" s="68"/>
      <c r="L93" s="69"/>
      <c r="M93" s="69"/>
      <c r="N93" s="69"/>
      <c r="O93" s="68"/>
      <c r="P93" s="69"/>
      <c r="Q93" s="69"/>
      <c r="R93" s="69"/>
      <c r="S93" s="111"/>
      <c r="T93" s="69"/>
      <c r="U93" s="69"/>
      <c r="V93" s="69"/>
      <c r="W93" s="13"/>
      <c r="X93" s="20"/>
      <c r="Y93" s="77"/>
      <c r="Z93" s="635"/>
      <c r="AA93" s="30"/>
      <c r="AB93" s="635"/>
      <c r="AC93" s="30"/>
      <c r="AD93" s="24"/>
      <c r="AE93" s="13"/>
      <c r="AF93" s="69"/>
      <c r="AG93" s="69"/>
      <c r="AH93" s="69"/>
      <c r="AI93" s="68"/>
      <c r="AJ93" s="69"/>
      <c r="AK93" s="69"/>
      <c r="AL93" s="69"/>
      <c r="AM93" s="68"/>
      <c r="AN93" s="69"/>
      <c r="AO93" s="69"/>
      <c r="AP93" s="69"/>
      <c r="AQ93" s="13"/>
      <c r="AR93" s="20"/>
      <c r="AS93" s="73"/>
      <c r="AT93" s="635"/>
      <c r="AU93" s="30"/>
      <c r="AV93" s="635"/>
      <c r="AW93" s="30"/>
      <c r="AX93" s="24"/>
      <c r="AY93" s="44"/>
      <c r="AZ93" s="69"/>
      <c r="BA93" s="69"/>
      <c r="BB93" s="69"/>
      <c r="BC93" s="68"/>
      <c r="BD93" s="69"/>
      <c r="BE93" s="69"/>
      <c r="BF93" s="69"/>
      <c r="BG93" s="68"/>
      <c r="BH93" s="69"/>
      <c r="BI93" s="69"/>
      <c r="BJ93" s="69"/>
      <c r="BK93" s="13"/>
      <c r="BL93" s="20"/>
      <c r="BM93" s="30"/>
      <c r="BN93" s="635"/>
      <c r="BO93" s="30"/>
      <c r="BP93" s="635"/>
      <c r="BQ93" s="18"/>
      <c r="BR93" s="49"/>
    </row>
    <row r="94" spans="1:70" ht="111" customHeight="1" x14ac:dyDescent="1">
      <c r="A94" s="12"/>
      <c r="B94" s="14"/>
      <c r="C94" s="656"/>
      <c r="D94" s="63"/>
      <c r="E94" s="660" t="str">
        <f>'ASIGNACIÓN ASIGNATURAS'!C29</f>
        <v>Tecnología</v>
      </c>
      <c r="F94" s="36"/>
      <c r="G94" s="642">
        <f>COUNTIF($E$14:E97,E94)</f>
        <v>1</v>
      </c>
      <c r="H94" s="553" t="str">
        <f>$G94&amp;$C$79&amp;$E94&amp;H$10</f>
        <v>1TRANSVERSAL- INSTITUCIONALTecnologíaI SEMESTRE</v>
      </c>
      <c r="I94" s="627"/>
      <c r="J94" s="628"/>
      <c r="K94" s="68"/>
      <c r="L94" s="553" t="str">
        <f>$G94&amp;$C$79&amp;$E94&amp;L$10</f>
        <v>1TRANSVERSAL- INSTITUCIONALTecnologíaII SEMESTRE</v>
      </c>
      <c r="M94" s="627"/>
      <c r="N94" s="628"/>
      <c r="O94" s="70"/>
      <c r="P94" s="553" t="str">
        <f>$G94&amp;$C$79&amp;$E94&amp;P$10</f>
        <v>1TRANSVERSAL- INSTITUCIONALTecnologíaIII SEMESTRE</v>
      </c>
      <c r="Q94" s="627"/>
      <c r="R94" s="628"/>
      <c r="S94" s="70"/>
      <c r="T94" s="553" t="str">
        <f>$G94&amp;$C$79&amp;$E94&amp;T$10</f>
        <v>1TRANSVERSAL- INSTITUCIONALTecnologíaIV SEMESTRE</v>
      </c>
      <c r="U94" s="627"/>
      <c r="V94" s="628"/>
      <c r="W94" s="30"/>
      <c r="X94" s="634"/>
      <c r="Y94" s="77"/>
      <c r="Z94" s="635"/>
      <c r="AA94" s="30"/>
      <c r="AB94" s="635"/>
      <c r="AC94" s="30"/>
      <c r="AD94" s="24"/>
      <c r="AE94" s="13"/>
      <c r="AF94" s="553" t="str">
        <f>$G94&amp;$C$79&amp;$E94&amp;AF$10</f>
        <v>1TRANSVERSAL- INSTITUCIONALTecnologíaV SEMESTRE</v>
      </c>
      <c r="AG94" s="627"/>
      <c r="AH94" s="628"/>
      <c r="AI94" s="68"/>
      <c r="AJ94" s="553" t="str">
        <f>$G94&amp;$C$79&amp;$E94&amp;AJ$10</f>
        <v>1TRANSVERSAL- INSTITUCIONALTecnologíaVI SEMESTRE</v>
      </c>
      <c r="AK94" s="627"/>
      <c r="AL94" s="628"/>
      <c r="AM94" s="70"/>
      <c r="AN94" s="553" t="str">
        <f>$G94&amp;$C$79&amp;$E94&amp;AN$10</f>
        <v>1TRANSVERSAL- INSTITUCIONALTecnologíax SEMESTRE</v>
      </c>
      <c r="AO94" s="627"/>
      <c r="AP94" s="628"/>
      <c r="AQ94" s="12"/>
      <c r="AR94" s="634"/>
      <c r="AS94" s="73"/>
      <c r="AT94" s="635"/>
      <c r="AU94" s="30"/>
      <c r="AV94" s="635"/>
      <c r="AW94" s="30"/>
      <c r="AX94" s="24"/>
      <c r="AY94" s="44"/>
      <c r="AZ94" s="553" t="str">
        <f>$G94&amp;$C$79&amp;$E94&amp;AZ$10</f>
        <v>1TRANSVERSAL- INSTITUCIONALTecnologíaVII SEMESTRE</v>
      </c>
      <c r="BA94" s="627"/>
      <c r="BB94" s="628"/>
      <c r="BC94" s="68"/>
      <c r="BD94" s="553" t="str">
        <f>$G94&amp;$C$79&amp;$E94&amp;BD$10</f>
        <v>1TRANSVERSAL- INSTITUCIONALTecnologíaVIII SEMESTRE</v>
      </c>
      <c r="BE94" s="627"/>
      <c r="BF94" s="628"/>
      <c r="BG94" s="70"/>
      <c r="BH94" s="553" t="str">
        <f>$G94&amp;$C$79&amp;$E94&amp;BH$10</f>
        <v>1TRANSVERSAL- INSTITUCIONALTecnologíaIX SEMESTRE</v>
      </c>
      <c r="BI94" s="627"/>
      <c r="BJ94" s="628"/>
      <c r="BK94" s="30"/>
      <c r="BL94" s="634"/>
      <c r="BM94" s="30"/>
      <c r="BN94" s="635"/>
      <c r="BO94" s="30"/>
      <c r="BP94" s="635"/>
      <c r="BQ94" s="18"/>
      <c r="BR94" s="49"/>
    </row>
    <row r="95" spans="1:70" ht="60.45" customHeight="1" x14ac:dyDescent="1">
      <c r="A95" s="12"/>
      <c r="B95" s="14"/>
      <c r="C95" s="656"/>
      <c r="D95" s="63"/>
      <c r="E95" s="656"/>
      <c r="F95" s="36"/>
      <c r="G95" s="643"/>
      <c r="H95" s="629" t="s">
        <v>224</v>
      </c>
      <c r="I95" s="522"/>
      <c r="J95" s="630"/>
      <c r="K95" s="68"/>
      <c r="L95" s="629" t="s">
        <v>224</v>
      </c>
      <c r="M95" s="522"/>
      <c r="N95" s="630"/>
      <c r="O95" s="82"/>
      <c r="P95" s="629" t="s">
        <v>224</v>
      </c>
      <c r="Q95" s="522"/>
      <c r="R95" s="630"/>
      <c r="S95" s="70"/>
      <c r="T95" s="629" t="s">
        <v>224</v>
      </c>
      <c r="U95" s="522"/>
      <c r="V95" s="630"/>
      <c r="W95" s="30"/>
      <c r="X95" s="635"/>
      <c r="Y95" s="77"/>
      <c r="Z95" s="635"/>
      <c r="AA95" s="30"/>
      <c r="AB95" s="635"/>
      <c r="AC95" s="30"/>
      <c r="AD95" s="24"/>
      <c r="AE95" s="13"/>
      <c r="AF95" s="629" t="s">
        <v>224</v>
      </c>
      <c r="AG95" s="522"/>
      <c r="AH95" s="630"/>
      <c r="AI95" s="68"/>
      <c r="AJ95" s="629" t="s">
        <v>224</v>
      </c>
      <c r="AK95" s="522"/>
      <c r="AL95" s="630"/>
      <c r="AM95" s="82"/>
      <c r="AN95" s="629" t="s">
        <v>224</v>
      </c>
      <c r="AO95" s="522"/>
      <c r="AP95" s="630"/>
      <c r="AQ95" s="12"/>
      <c r="AR95" s="635"/>
      <c r="AS95" s="73"/>
      <c r="AT95" s="635"/>
      <c r="AU95" s="30"/>
      <c r="AV95" s="635"/>
      <c r="AW95" s="30"/>
      <c r="AX95" s="24"/>
      <c r="AY95" s="44"/>
      <c r="AZ95" s="629" t="s">
        <v>224</v>
      </c>
      <c r="BA95" s="522"/>
      <c r="BB95" s="630"/>
      <c r="BC95" s="68"/>
      <c r="BD95" s="629" t="s">
        <v>224</v>
      </c>
      <c r="BE95" s="522"/>
      <c r="BF95" s="630"/>
      <c r="BG95" s="82"/>
      <c r="BH95" s="629" t="s">
        <v>224</v>
      </c>
      <c r="BI95" s="522"/>
      <c r="BJ95" s="630"/>
      <c r="BK95" s="30"/>
      <c r="BL95" s="635"/>
      <c r="BM95" s="30"/>
      <c r="BN95" s="635"/>
      <c r="BO95" s="30"/>
      <c r="BP95" s="635"/>
      <c r="BQ95" s="18"/>
      <c r="BR95" s="49"/>
    </row>
    <row r="96" spans="1:70" ht="60.6" x14ac:dyDescent="1">
      <c r="A96" s="12"/>
      <c r="B96" s="14"/>
      <c r="C96" s="656"/>
      <c r="D96" s="63"/>
      <c r="E96" s="656"/>
      <c r="F96" s="36"/>
      <c r="G96" s="643"/>
      <c r="H96" s="631"/>
      <c r="I96" s="632"/>
      <c r="J96" s="633"/>
      <c r="K96" s="68"/>
      <c r="L96" s="631"/>
      <c r="M96" s="632"/>
      <c r="N96" s="633"/>
      <c r="O96" s="82"/>
      <c r="P96" s="631"/>
      <c r="Q96" s="632"/>
      <c r="R96" s="633"/>
      <c r="S96" s="70"/>
      <c r="T96" s="631"/>
      <c r="U96" s="632"/>
      <c r="V96" s="633"/>
      <c r="W96" s="30"/>
      <c r="X96" s="635"/>
      <c r="Y96" s="77"/>
      <c r="Z96" s="635"/>
      <c r="AA96" s="30"/>
      <c r="AB96" s="635"/>
      <c r="AC96" s="30"/>
      <c r="AD96" s="24"/>
      <c r="AE96" s="13"/>
      <c r="AF96" s="631"/>
      <c r="AG96" s="632"/>
      <c r="AH96" s="633"/>
      <c r="AI96" s="68"/>
      <c r="AJ96" s="631"/>
      <c r="AK96" s="632"/>
      <c r="AL96" s="633"/>
      <c r="AM96" s="82"/>
      <c r="AN96" s="631"/>
      <c r="AO96" s="632"/>
      <c r="AP96" s="633"/>
      <c r="AQ96" s="12"/>
      <c r="AR96" s="635"/>
      <c r="AS96" s="73"/>
      <c r="AT96" s="635"/>
      <c r="AU96" s="30"/>
      <c r="AV96" s="635"/>
      <c r="AW96" s="30"/>
      <c r="AX96" s="24"/>
      <c r="AY96" s="44"/>
      <c r="AZ96" s="631"/>
      <c r="BA96" s="632"/>
      <c r="BB96" s="633"/>
      <c r="BC96" s="68"/>
      <c r="BD96" s="631"/>
      <c r="BE96" s="632"/>
      <c r="BF96" s="633"/>
      <c r="BG96" s="82"/>
      <c r="BH96" s="631"/>
      <c r="BI96" s="632"/>
      <c r="BJ96" s="633"/>
      <c r="BK96" s="30"/>
      <c r="BL96" s="635"/>
      <c r="BM96" s="30"/>
      <c r="BN96" s="635"/>
      <c r="BO96" s="30"/>
      <c r="BP96" s="635"/>
      <c r="BQ96" s="18"/>
      <c r="BR96" s="49"/>
    </row>
    <row r="97" spans="1:70" ht="40.5" customHeight="1" x14ac:dyDescent="1">
      <c r="A97" s="12"/>
      <c r="B97" s="14"/>
      <c r="C97" s="656"/>
      <c r="D97" s="63"/>
      <c r="E97" s="657"/>
      <c r="F97" s="36"/>
      <c r="G97" s="644"/>
      <c r="H97" s="83"/>
      <c r="I97" s="84"/>
      <c r="J97" s="85"/>
      <c r="K97" s="68"/>
      <c r="L97" s="83"/>
      <c r="M97" s="84"/>
      <c r="N97" s="85"/>
      <c r="O97" s="68"/>
      <c r="P97" s="83"/>
      <c r="Q97" s="84"/>
      <c r="R97" s="85"/>
      <c r="S97" s="70"/>
      <c r="T97" s="83"/>
      <c r="U97" s="84"/>
      <c r="V97" s="85"/>
      <c r="W97" s="30"/>
      <c r="X97" s="641"/>
      <c r="Y97" s="77"/>
      <c r="Z97" s="635"/>
      <c r="AA97" s="30"/>
      <c r="AB97" s="635"/>
      <c r="AC97" s="30"/>
      <c r="AD97" s="24"/>
      <c r="AE97" s="96"/>
      <c r="AF97" s="83"/>
      <c r="AG97" s="84"/>
      <c r="AH97" s="85"/>
      <c r="AI97" s="68"/>
      <c r="AJ97" s="83"/>
      <c r="AK97" s="84"/>
      <c r="AL97" s="85"/>
      <c r="AM97" s="68"/>
      <c r="AN97" s="83"/>
      <c r="AO97" s="84"/>
      <c r="AP97" s="85"/>
      <c r="AQ97" s="12"/>
      <c r="AR97" s="641"/>
      <c r="AS97" s="73"/>
      <c r="AT97" s="635"/>
      <c r="AU97" s="30"/>
      <c r="AV97" s="635"/>
      <c r="AW97" s="30"/>
      <c r="AX97" s="97"/>
      <c r="AY97" s="44"/>
      <c r="AZ97" s="83"/>
      <c r="BA97" s="84"/>
      <c r="BB97" s="85"/>
      <c r="BC97" s="68"/>
      <c r="BD97" s="83"/>
      <c r="BE97" s="84"/>
      <c r="BF97" s="85"/>
      <c r="BG97" s="68"/>
      <c r="BH97" s="83"/>
      <c r="BI97" s="84"/>
      <c r="BJ97" s="85"/>
      <c r="BK97" s="30"/>
      <c r="BL97" s="641"/>
      <c r="BM97" s="30"/>
      <c r="BN97" s="635"/>
      <c r="BO97" s="30"/>
      <c r="BP97" s="635"/>
      <c r="BQ97" s="18"/>
      <c r="BR97" s="49"/>
    </row>
    <row r="98" spans="1:70" ht="60.6" x14ac:dyDescent="1">
      <c r="A98" s="12"/>
      <c r="B98" s="14"/>
      <c r="C98" s="656"/>
      <c r="D98" s="63"/>
      <c r="E98" s="149"/>
      <c r="F98" s="18"/>
      <c r="G98" s="30"/>
      <c r="H98" s="146"/>
      <c r="I98" s="88"/>
      <c r="J98" s="88"/>
      <c r="K98" s="150"/>
      <c r="L98" s="69"/>
      <c r="M98" s="69"/>
      <c r="N98" s="69"/>
      <c r="O98" s="150"/>
      <c r="P98" s="151"/>
      <c r="Q98" s="151"/>
      <c r="R98" s="151"/>
      <c r="S98" s="152"/>
      <c r="T98" s="151"/>
      <c r="U98" s="151"/>
      <c r="V98" s="151"/>
      <c r="W98" s="13"/>
      <c r="X98" s="20"/>
      <c r="Y98" s="77"/>
      <c r="Z98" s="635"/>
      <c r="AA98" s="30"/>
      <c r="AB98" s="635"/>
      <c r="AC98" s="30"/>
      <c r="AD98" s="24"/>
      <c r="AE98" s="96"/>
      <c r="AF98" s="146"/>
      <c r="AG98" s="88"/>
      <c r="AH98" s="88"/>
      <c r="AI98" s="150"/>
      <c r="AJ98" s="69"/>
      <c r="AK98" s="69"/>
      <c r="AL98" s="69"/>
      <c r="AM98" s="150"/>
      <c r="AN98" s="151"/>
      <c r="AO98" s="151"/>
      <c r="AP98" s="151"/>
      <c r="AQ98" s="13"/>
      <c r="AR98" s="20"/>
      <c r="AS98" s="73"/>
      <c r="AT98" s="635"/>
      <c r="AU98" s="30"/>
      <c r="AV98" s="635"/>
      <c r="AW98" s="30"/>
      <c r="AX98" s="97"/>
      <c r="AY98" s="44"/>
      <c r="AZ98" s="146"/>
      <c r="BA98" s="88"/>
      <c r="BB98" s="88"/>
      <c r="BC98" s="150"/>
      <c r="BD98" s="69"/>
      <c r="BE98" s="69"/>
      <c r="BF98" s="69"/>
      <c r="BG98" s="150"/>
      <c r="BH98" s="151"/>
      <c r="BI98" s="151"/>
      <c r="BJ98" s="151"/>
      <c r="BK98" s="13"/>
      <c r="BL98" s="20"/>
      <c r="BM98" s="30"/>
      <c r="BN98" s="635"/>
      <c r="BO98" s="30"/>
      <c r="BP98" s="635"/>
      <c r="BQ98" s="18"/>
      <c r="BR98" s="49"/>
    </row>
    <row r="99" spans="1:70" ht="103.5" customHeight="1" x14ac:dyDescent="1">
      <c r="A99" s="12"/>
      <c r="B99" s="14"/>
      <c r="C99" s="656"/>
      <c r="D99" s="63"/>
      <c r="E99" s="660" t="str">
        <f>'ASIGNACIÓN ASIGNATURAS'!C30</f>
        <v>Investigación</v>
      </c>
      <c r="F99" s="18"/>
      <c r="G99" s="642">
        <f>COUNTIF($E$14:E102,E99)</f>
        <v>1</v>
      </c>
      <c r="H99" s="553" t="str">
        <f>$G99&amp;$C$79&amp;$E99&amp;H$10</f>
        <v>1TRANSVERSAL- INSTITUCIONALInvestigaciónI SEMESTRE</v>
      </c>
      <c r="I99" s="627"/>
      <c r="J99" s="628"/>
      <c r="K99" s="68"/>
      <c r="L99" s="553" t="str">
        <f>$G99&amp;$C$79&amp;$E99&amp;L$10</f>
        <v>1TRANSVERSAL- INSTITUCIONALInvestigaciónII SEMESTRE</v>
      </c>
      <c r="M99" s="627"/>
      <c r="N99" s="628"/>
      <c r="O99" s="70"/>
      <c r="P99" s="553" t="str">
        <f>$G99&amp;$C$79&amp;$E99&amp;P$10</f>
        <v>1TRANSVERSAL- INSTITUCIONALInvestigaciónIII SEMESTRE</v>
      </c>
      <c r="Q99" s="627"/>
      <c r="R99" s="628"/>
      <c r="S99" s="70"/>
      <c r="T99" s="553" t="str">
        <f>$G99&amp;$C$79&amp;$E99&amp;T$10</f>
        <v>1TRANSVERSAL- INSTITUCIONALInvestigaciónIV SEMESTRE</v>
      </c>
      <c r="U99" s="627"/>
      <c r="V99" s="628"/>
      <c r="W99" s="30"/>
      <c r="X99" s="634"/>
      <c r="Y99" s="77"/>
      <c r="Z99" s="635"/>
      <c r="AA99" s="30"/>
      <c r="AB99" s="635"/>
      <c r="AC99" s="30"/>
      <c r="AD99" s="24"/>
      <c r="AE99" s="108"/>
      <c r="AF99" s="553" t="str">
        <f>$G99&amp;$C$79&amp;$E99&amp;AF$10</f>
        <v>1TRANSVERSAL- INSTITUCIONALInvestigaciónV SEMESTRE</v>
      </c>
      <c r="AG99" s="627"/>
      <c r="AH99" s="628"/>
      <c r="AI99" s="68"/>
      <c r="AJ99" s="553" t="str">
        <f>$G99&amp;$C$79&amp;$E99&amp;AJ$10</f>
        <v>1TRANSVERSAL- INSTITUCIONALInvestigaciónVI SEMESTRE</v>
      </c>
      <c r="AK99" s="627"/>
      <c r="AL99" s="628"/>
      <c r="AM99" s="70"/>
      <c r="AN99" s="553" t="str">
        <f>$G99&amp;$C$79&amp;$E99&amp;AN$10</f>
        <v>1TRANSVERSAL- INSTITUCIONALInvestigaciónx SEMESTRE</v>
      </c>
      <c r="AO99" s="627"/>
      <c r="AP99" s="628"/>
      <c r="AQ99" s="12"/>
      <c r="AR99" s="634"/>
      <c r="AS99" s="73"/>
      <c r="AT99" s="635"/>
      <c r="AU99" s="30"/>
      <c r="AV99" s="635"/>
      <c r="AW99" s="30"/>
      <c r="AX99" s="97"/>
      <c r="AY99" s="92"/>
      <c r="AZ99" s="553" t="str">
        <f>$G99&amp;$C$79&amp;$E99&amp;AZ$10</f>
        <v>1TRANSVERSAL- INSTITUCIONALInvestigaciónVII SEMESTRE</v>
      </c>
      <c r="BA99" s="627"/>
      <c r="BB99" s="628"/>
      <c r="BC99" s="68"/>
      <c r="BD99" s="553" t="str">
        <f>$G99&amp;$C$79&amp;$E99&amp;BD$10</f>
        <v>1TRANSVERSAL- INSTITUCIONALInvestigaciónVIII SEMESTRE</v>
      </c>
      <c r="BE99" s="627"/>
      <c r="BF99" s="628"/>
      <c r="BG99" s="70"/>
      <c r="BH99" s="553" t="str">
        <f>$G99&amp;$C$79&amp;$E99&amp;BH$10</f>
        <v>1TRANSVERSAL- INSTITUCIONALInvestigaciónIX SEMESTRE</v>
      </c>
      <c r="BI99" s="627"/>
      <c r="BJ99" s="628"/>
      <c r="BK99" s="30"/>
      <c r="BL99" s="634"/>
      <c r="BM99" s="30"/>
      <c r="BN99" s="635"/>
      <c r="BO99" s="30"/>
      <c r="BP99" s="635"/>
      <c r="BQ99" s="18"/>
      <c r="BR99" s="49"/>
    </row>
    <row r="100" spans="1:70" ht="60.45" customHeight="1" x14ac:dyDescent="1">
      <c r="A100" s="12"/>
      <c r="B100" s="14"/>
      <c r="C100" s="656"/>
      <c r="D100" s="63"/>
      <c r="E100" s="656"/>
      <c r="F100" s="18"/>
      <c r="G100" s="643"/>
      <c r="H100" s="629" t="s">
        <v>224</v>
      </c>
      <c r="I100" s="522"/>
      <c r="J100" s="630"/>
      <c r="K100" s="68"/>
      <c r="L100" s="629" t="s">
        <v>224</v>
      </c>
      <c r="M100" s="522"/>
      <c r="N100" s="630"/>
      <c r="O100" s="82"/>
      <c r="P100" s="629" t="s">
        <v>224</v>
      </c>
      <c r="Q100" s="522"/>
      <c r="R100" s="630"/>
      <c r="S100" s="70"/>
      <c r="T100" s="629" t="s">
        <v>224</v>
      </c>
      <c r="U100" s="522"/>
      <c r="V100" s="630"/>
      <c r="W100" s="30"/>
      <c r="X100" s="635"/>
      <c r="Y100" s="77"/>
      <c r="Z100" s="635"/>
      <c r="AA100" s="30"/>
      <c r="AB100" s="635"/>
      <c r="AC100" s="30"/>
      <c r="AD100" s="24"/>
      <c r="AE100" s="108"/>
      <c r="AF100" s="629" t="s">
        <v>224</v>
      </c>
      <c r="AG100" s="522"/>
      <c r="AH100" s="630"/>
      <c r="AI100" s="68"/>
      <c r="AJ100" s="629" t="s">
        <v>224</v>
      </c>
      <c r="AK100" s="522"/>
      <c r="AL100" s="630"/>
      <c r="AM100" s="82"/>
      <c r="AN100" s="629" t="s">
        <v>224</v>
      </c>
      <c r="AO100" s="522"/>
      <c r="AP100" s="630"/>
      <c r="AQ100" s="12"/>
      <c r="AR100" s="635"/>
      <c r="AS100" s="73"/>
      <c r="AT100" s="635"/>
      <c r="AU100" s="30"/>
      <c r="AV100" s="635"/>
      <c r="AW100" s="30"/>
      <c r="AX100" s="97"/>
      <c r="AY100" s="92"/>
      <c r="AZ100" s="629" t="s">
        <v>224</v>
      </c>
      <c r="BA100" s="522"/>
      <c r="BB100" s="630"/>
      <c r="BC100" s="68"/>
      <c r="BD100" s="629" t="s">
        <v>224</v>
      </c>
      <c r="BE100" s="522"/>
      <c r="BF100" s="630"/>
      <c r="BG100" s="82"/>
      <c r="BH100" s="629" t="s">
        <v>224</v>
      </c>
      <c r="BI100" s="522"/>
      <c r="BJ100" s="630"/>
      <c r="BK100" s="30"/>
      <c r="BL100" s="635"/>
      <c r="BM100" s="30"/>
      <c r="BN100" s="635"/>
      <c r="BO100" s="30"/>
      <c r="BP100" s="635"/>
      <c r="BQ100" s="18"/>
      <c r="BR100" s="49"/>
    </row>
    <row r="101" spans="1:70" ht="60.6" x14ac:dyDescent="1">
      <c r="A101" s="12"/>
      <c r="B101" s="14"/>
      <c r="C101" s="656"/>
      <c r="D101" s="63"/>
      <c r="E101" s="656"/>
      <c r="F101" s="18"/>
      <c r="G101" s="643"/>
      <c r="H101" s="631"/>
      <c r="I101" s="632"/>
      <c r="J101" s="633"/>
      <c r="K101" s="68"/>
      <c r="L101" s="631"/>
      <c r="M101" s="632"/>
      <c r="N101" s="633"/>
      <c r="O101" s="82"/>
      <c r="P101" s="631"/>
      <c r="Q101" s="632"/>
      <c r="R101" s="633"/>
      <c r="S101" s="70"/>
      <c r="T101" s="631"/>
      <c r="U101" s="632"/>
      <c r="V101" s="633"/>
      <c r="W101" s="30"/>
      <c r="X101" s="635"/>
      <c r="Y101" s="77"/>
      <c r="Z101" s="635"/>
      <c r="AA101" s="30"/>
      <c r="AB101" s="635"/>
      <c r="AC101" s="30"/>
      <c r="AD101" s="24"/>
      <c r="AE101" s="108"/>
      <c r="AF101" s="631"/>
      <c r="AG101" s="632"/>
      <c r="AH101" s="633"/>
      <c r="AI101" s="68"/>
      <c r="AJ101" s="631"/>
      <c r="AK101" s="632"/>
      <c r="AL101" s="633"/>
      <c r="AM101" s="82"/>
      <c r="AN101" s="631"/>
      <c r="AO101" s="632"/>
      <c r="AP101" s="633"/>
      <c r="AQ101" s="12"/>
      <c r="AR101" s="635"/>
      <c r="AS101" s="73"/>
      <c r="AT101" s="635"/>
      <c r="AU101" s="30"/>
      <c r="AV101" s="635"/>
      <c r="AW101" s="30"/>
      <c r="AX101" s="97"/>
      <c r="AY101" s="92"/>
      <c r="AZ101" s="631"/>
      <c r="BA101" s="632"/>
      <c r="BB101" s="633"/>
      <c r="BC101" s="68"/>
      <c r="BD101" s="631"/>
      <c r="BE101" s="632"/>
      <c r="BF101" s="633"/>
      <c r="BG101" s="82"/>
      <c r="BH101" s="631"/>
      <c r="BI101" s="632"/>
      <c r="BJ101" s="633"/>
      <c r="BK101" s="30"/>
      <c r="BL101" s="635"/>
      <c r="BM101" s="30"/>
      <c r="BN101" s="635"/>
      <c r="BO101" s="30"/>
      <c r="BP101" s="635"/>
      <c r="BQ101" s="18"/>
      <c r="BR101" s="49"/>
    </row>
    <row r="102" spans="1:70" ht="44.25" customHeight="1" x14ac:dyDescent="1">
      <c r="A102" s="12"/>
      <c r="B102" s="14"/>
      <c r="C102" s="657"/>
      <c r="D102" s="63"/>
      <c r="E102" s="657"/>
      <c r="F102" s="18"/>
      <c r="G102" s="644"/>
      <c r="H102" s="83"/>
      <c r="I102" s="84"/>
      <c r="J102" s="85"/>
      <c r="K102" s="68"/>
      <c r="L102" s="83"/>
      <c r="M102" s="84"/>
      <c r="N102" s="85"/>
      <c r="O102" s="68"/>
      <c r="P102" s="83"/>
      <c r="Q102" s="84"/>
      <c r="R102" s="85"/>
      <c r="S102" s="70"/>
      <c r="T102" s="83"/>
      <c r="U102" s="84"/>
      <c r="V102" s="85"/>
      <c r="W102" s="12"/>
      <c r="X102" s="641"/>
      <c r="Y102" s="77"/>
      <c r="Z102" s="641"/>
      <c r="AA102" s="30"/>
      <c r="AB102" s="641"/>
      <c r="AC102" s="30"/>
      <c r="AD102" s="24"/>
      <c r="AE102" s="108"/>
      <c r="AF102" s="83"/>
      <c r="AG102" s="84"/>
      <c r="AH102" s="85"/>
      <c r="AI102" s="68"/>
      <c r="AJ102" s="83"/>
      <c r="AK102" s="84"/>
      <c r="AL102" s="85"/>
      <c r="AM102" s="68"/>
      <c r="AN102" s="83"/>
      <c r="AO102" s="84"/>
      <c r="AP102" s="85"/>
      <c r="AQ102" s="12"/>
      <c r="AR102" s="641"/>
      <c r="AS102" s="73"/>
      <c r="AT102" s="641"/>
      <c r="AU102" s="30"/>
      <c r="AV102" s="641"/>
      <c r="AW102" s="30"/>
      <c r="AX102" s="97"/>
      <c r="AY102" s="92"/>
      <c r="AZ102" s="83"/>
      <c r="BA102" s="84"/>
      <c r="BB102" s="85"/>
      <c r="BC102" s="68"/>
      <c r="BD102" s="83"/>
      <c r="BE102" s="84"/>
      <c r="BF102" s="85"/>
      <c r="BG102" s="68"/>
      <c r="BH102" s="83"/>
      <c r="BI102" s="84"/>
      <c r="BJ102" s="85"/>
      <c r="BK102" s="30"/>
      <c r="BL102" s="641"/>
      <c r="BM102" s="30"/>
      <c r="BN102" s="641"/>
      <c r="BO102" s="30"/>
      <c r="BP102" s="641"/>
      <c r="BQ102" s="18"/>
      <c r="BR102" s="49"/>
    </row>
    <row r="103" spans="1:70" ht="60" x14ac:dyDescent="0.95">
      <c r="A103" s="12"/>
      <c r="B103" s="153"/>
      <c r="C103" s="154"/>
      <c r="D103" s="154"/>
      <c r="E103" s="155"/>
      <c r="F103" s="156"/>
      <c r="G103" s="157"/>
      <c r="H103" s="157"/>
      <c r="I103" s="157"/>
      <c r="J103" s="157"/>
      <c r="K103" s="157"/>
      <c r="L103" s="157"/>
      <c r="M103" s="157"/>
      <c r="N103" s="157"/>
      <c r="O103" s="157"/>
      <c r="P103" s="158"/>
      <c r="Q103" s="158"/>
      <c r="R103" s="158"/>
      <c r="S103" s="159"/>
      <c r="T103" s="157"/>
      <c r="U103" s="157"/>
      <c r="V103" s="157"/>
      <c r="W103" s="157"/>
      <c r="X103" s="155"/>
      <c r="Y103" s="160"/>
      <c r="Z103" s="160"/>
      <c r="AA103" s="160"/>
      <c r="AB103" s="160"/>
      <c r="AC103" s="161"/>
      <c r="AD103" s="162"/>
      <c r="AE103" s="157"/>
      <c r="AF103" s="157"/>
      <c r="AG103" s="157"/>
      <c r="AH103" s="157"/>
      <c r="AI103" s="157"/>
      <c r="AJ103" s="158"/>
      <c r="AK103" s="158"/>
      <c r="AL103" s="158"/>
      <c r="AM103" s="157"/>
      <c r="AN103" s="157"/>
      <c r="AO103" s="157"/>
      <c r="AP103" s="157"/>
      <c r="AQ103" s="157"/>
      <c r="AR103" s="155"/>
      <c r="AS103" s="157"/>
      <c r="AT103" s="163"/>
      <c r="AU103" s="157"/>
      <c r="AV103" s="157"/>
      <c r="AW103" s="161"/>
      <c r="AX103" s="162"/>
      <c r="AY103" s="157"/>
      <c r="AZ103" s="157"/>
      <c r="BA103" s="157"/>
      <c r="BB103" s="157"/>
      <c r="BC103" s="157"/>
      <c r="BD103" s="157"/>
      <c r="BE103" s="157"/>
      <c r="BF103" s="157"/>
      <c r="BG103" s="157"/>
      <c r="BH103" s="157"/>
      <c r="BI103" s="157"/>
      <c r="BJ103" s="157"/>
      <c r="BK103" s="157"/>
      <c r="BL103" s="155"/>
      <c r="BM103" s="157"/>
      <c r="BN103" s="160"/>
      <c r="BO103" s="157"/>
      <c r="BP103" s="157"/>
      <c r="BQ103" s="156"/>
      <c r="BR103" s="49"/>
    </row>
    <row r="104" spans="1:70" ht="60" x14ac:dyDescent="0.95">
      <c r="A104" s="12"/>
      <c r="B104" s="153"/>
      <c r="C104" s="154"/>
      <c r="D104" s="154"/>
      <c r="E104" s="155"/>
      <c r="F104" s="161"/>
      <c r="G104" s="153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9"/>
      <c r="T104" s="157"/>
      <c r="U104" s="157"/>
      <c r="V104" s="157"/>
      <c r="W104" s="157"/>
      <c r="X104" s="155"/>
      <c r="Y104" s="160"/>
      <c r="Z104" s="160"/>
      <c r="AA104" s="160"/>
      <c r="AB104" s="160"/>
      <c r="AC104" s="164"/>
      <c r="AD104" s="164"/>
      <c r="AE104" s="160"/>
      <c r="AF104" s="160"/>
      <c r="AG104" s="160"/>
      <c r="AH104" s="160"/>
      <c r="AI104" s="157"/>
      <c r="AJ104" s="157"/>
      <c r="AK104" s="157"/>
      <c r="AL104" s="157"/>
      <c r="AM104" s="157"/>
      <c r="AN104" s="157"/>
      <c r="AO104" s="157"/>
      <c r="AP104" s="157"/>
      <c r="AQ104" s="157"/>
      <c r="AR104" s="165"/>
      <c r="AS104" s="166"/>
      <c r="AT104" s="167"/>
      <c r="AU104" s="166"/>
      <c r="AV104" s="166"/>
      <c r="AW104" s="168"/>
      <c r="AX104" s="162"/>
      <c r="AY104" s="169"/>
      <c r="AZ104" s="169"/>
      <c r="BA104" s="169"/>
      <c r="BB104" s="157"/>
      <c r="BC104" s="169"/>
      <c r="BD104" s="169"/>
      <c r="BE104" s="169"/>
      <c r="BF104" s="157"/>
      <c r="BG104" s="161"/>
      <c r="BH104" s="168"/>
      <c r="BI104" s="168"/>
      <c r="BJ104" s="168"/>
      <c r="BK104" s="168"/>
      <c r="BL104" s="170"/>
      <c r="BM104" s="168"/>
      <c r="BN104" s="166"/>
      <c r="BO104" s="168"/>
      <c r="BP104" s="168"/>
      <c r="BQ104" s="171"/>
      <c r="BR104" s="49"/>
    </row>
    <row r="105" spans="1:70" ht="60" x14ac:dyDescent="0.95">
      <c r="A105" s="12"/>
      <c r="B105" s="37"/>
      <c r="C105" s="172"/>
      <c r="D105" s="172"/>
      <c r="E105" s="20"/>
      <c r="F105" s="30"/>
      <c r="G105" s="37"/>
      <c r="H105" s="16"/>
      <c r="I105" s="16"/>
      <c r="J105" s="16"/>
      <c r="K105" s="13"/>
      <c r="L105" s="16"/>
      <c r="M105" s="16"/>
      <c r="N105" s="16"/>
      <c r="O105" s="13"/>
      <c r="P105" s="16"/>
      <c r="Q105" s="16"/>
      <c r="R105" s="16"/>
      <c r="S105" s="39"/>
      <c r="T105" s="16"/>
      <c r="U105" s="16"/>
      <c r="V105" s="16"/>
      <c r="W105" s="13"/>
      <c r="X105" s="20"/>
      <c r="Y105" s="21"/>
      <c r="Z105" s="21"/>
      <c r="AA105" s="22"/>
      <c r="AB105" s="15"/>
      <c r="AC105" s="18"/>
      <c r="AD105" s="18"/>
      <c r="AE105" s="13"/>
      <c r="AF105" s="16"/>
      <c r="AG105" s="16"/>
      <c r="AH105" s="16"/>
      <c r="AI105" s="13"/>
      <c r="AJ105" s="16"/>
      <c r="AK105" s="16"/>
      <c r="AL105" s="16"/>
      <c r="AM105" s="16"/>
      <c r="AN105" s="16"/>
      <c r="AO105" s="16"/>
      <c r="AP105" s="16"/>
      <c r="AQ105" s="13"/>
      <c r="AR105" s="20"/>
      <c r="AS105" s="16"/>
      <c r="AT105" s="17"/>
      <c r="AU105" s="27"/>
      <c r="AV105" s="15"/>
      <c r="AW105" s="30"/>
      <c r="AX105" s="24"/>
      <c r="AY105" s="13"/>
      <c r="AZ105" s="16"/>
      <c r="BA105" s="16"/>
      <c r="BB105" s="16"/>
      <c r="BC105" s="13"/>
      <c r="BD105" s="16"/>
      <c r="BE105" s="16"/>
      <c r="BF105" s="16"/>
      <c r="BG105" s="13"/>
      <c r="BH105" s="16"/>
      <c r="BI105" s="16"/>
      <c r="BJ105" s="16"/>
      <c r="BK105" s="13"/>
      <c r="BL105" s="20"/>
      <c r="BM105" s="16"/>
      <c r="BN105" s="21"/>
      <c r="BO105" s="16"/>
      <c r="BP105" s="16"/>
      <c r="BQ105" s="173"/>
      <c r="BR105" s="49"/>
    </row>
    <row r="106" spans="1:70" ht="82.5" customHeight="1" x14ac:dyDescent="0.5">
      <c r="A106" s="12"/>
      <c r="B106" s="14"/>
      <c r="C106" s="543" t="s">
        <v>86</v>
      </c>
      <c r="D106" s="544"/>
      <c r="E106" s="545"/>
      <c r="F106" s="30"/>
      <c r="G106" s="14"/>
      <c r="H106" s="174" t="s">
        <v>87</v>
      </c>
      <c r="I106" s="175" t="s">
        <v>88</v>
      </c>
      <c r="J106" s="176" t="s">
        <v>89</v>
      </c>
      <c r="K106" s="177"/>
      <c r="L106" s="174" t="s">
        <v>87</v>
      </c>
      <c r="M106" s="175" t="s">
        <v>88</v>
      </c>
      <c r="N106" s="176" t="s">
        <v>89</v>
      </c>
      <c r="O106" s="177"/>
      <c r="P106" s="174" t="s">
        <v>87</v>
      </c>
      <c r="Q106" s="175" t="s">
        <v>88</v>
      </c>
      <c r="R106" s="176" t="s">
        <v>89</v>
      </c>
      <c r="S106" s="178"/>
      <c r="T106" s="174" t="s">
        <v>87</v>
      </c>
      <c r="U106" s="175" t="s">
        <v>88</v>
      </c>
      <c r="V106" s="176" t="s">
        <v>89</v>
      </c>
      <c r="W106" s="179"/>
      <c r="X106" s="650" t="s">
        <v>90</v>
      </c>
      <c r="Y106" s="601"/>
      <c r="Z106" s="601"/>
      <c r="AA106" s="601"/>
      <c r="AB106" s="602"/>
      <c r="AC106" s="180"/>
      <c r="AD106" s="18"/>
      <c r="AE106" s="108"/>
      <c r="AF106" s="181"/>
      <c r="AG106" s="182"/>
      <c r="AH106" s="183"/>
      <c r="AI106" s="108"/>
      <c r="AJ106" s="181"/>
      <c r="AK106" s="182"/>
      <c r="AL106" s="183"/>
      <c r="AM106" s="178"/>
      <c r="AN106" s="181"/>
      <c r="AO106" s="182"/>
      <c r="AP106" s="183"/>
      <c r="AQ106" s="108"/>
      <c r="AR106" s="651"/>
      <c r="AS106" s="601"/>
      <c r="AT106" s="601"/>
      <c r="AU106" s="601"/>
      <c r="AV106" s="602"/>
      <c r="AW106" s="30"/>
      <c r="AX106" s="24"/>
      <c r="AY106" s="103"/>
      <c r="AZ106" s="181"/>
      <c r="BA106" s="182"/>
      <c r="BB106" s="183"/>
      <c r="BC106" s="108"/>
      <c r="BD106" s="181"/>
      <c r="BE106" s="182"/>
      <c r="BF106" s="183"/>
      <c r="BG106" s="98"/>
      <c r="BH106" s="184"/>
      <c r="BI106" s="182"/>
      <c r="BJ106" s="183"/>
      <c r="BK106" s="30"/>
      <c r="BL106" s="662"/>
      <c r="BM106" s="522"/>
      <c r="BN106" s="522"/>
      <c r="BO106" s="522"/>
      <c r="BP106" s="547"/>
      <c r="BQ106" s="185"/>
      <c r="BR106" s="49"/>
    </row>
    <row r="107" spans="1:70" ht="60" x14ac:dyDescent="0.95">
      <c r="A107" s="12"/>
      <c r="B107" s="14"/>
      <c r="C107" s="546"/>
      <c r="D107" s="522"/>
      <c r="E107" s="547"/>
      <c r="F107" s="30"/>
      <c r="G107" s="186"/>
      <c r="H107" s="654"/>
      <c r="I107" s="522"/>
      <c r="J107" s="522"/>
      <c r="K107" s="41"/>
      <c r="L107" s="654"/>
      <c r="M107" s="522"/>
      <c r="N107" s="522"/>
      <c r="O107" s="41"/>
      <c r="P107" s="654"/>
      <c r="Q107" s="522"/>
      <c r="R107" s="522"/>
      <c r="S107" s="2"/>
      <c r="T107" s="654"/>
      <c r="U107" s="522"/>
      <c r="V107" s="522"/>
      <c r="W107" s="39"/>
      <c r="X107" s="133"/>
      <c r="Y107" s="134"/>
      <c r="Z107" s="134"/>
      <c r="AA107" s="11"/>
      <c r="AB107" s="187"/>
      <c r="AC107" s="188"/>
      <c r="AD107" s="18"/>
      <c r="AE107" s="41"/>
      <c r="AF107" s="654"/>
      <c r="AG107" s="522"/>
      <c r="AH107" s="522"/>
      <c r="AI107" s="41"/>
      <c r="AJ107" s="654"/>
      <c r="AK107" s="522"/>
      <c r="AL107" s="522"/>
      <c r="AM107" s="56"/>
      <c r="AN107" s="654"/>
      <c r="AO107" s="522"/>
      <c r="AP107" s="522"/>
      <c r="AQ107" s="39"/>
      <c r="AR107" s="133"/>
      <c r="AS107" s="134"/>
      <c r="AT107" s="134"/>
      <c r="AU107" s="11"/>
      <c r="AV107" s="187"/>
      <c r="AW107" s="12"/>
      <c r="AX107" s="24"/>
      <c r="AY107" s="44"/>
      <c r="AZ107" s="654"/>
      <c r="BA107" s="522"/>
      <c r="BB107" s="522"/>
      <c r="BC107" s="41"/>
      <c r="BD107" s="654"/>
      <c r="BE107" s="522"/>
      <c r="BF107" s="522"/>
      <c r="BG107" s="41"/>
      <c r="BH107" s="189"/>
      <c r="BI107" s="2"/>
      <c r="BJ107" s="2"/>
      <c r="BK107" s="189"/>
      <c r="BL107" s="2"/>
      <c r="BM107" s="119"/>
      <c r="BN107" s="189"/>
      <c r="BO107" s="2"/>
      <c r="BP107" s="2"/>
      <c r="BQ107" s="18"/>
      <c r="BR107" s="49"/>
    </row>
    <row r="108" spans="1:70" ht="44.4" x14ac:dyDescent="0.7">
      <c r="A108" s="190"/>
      <c r="B108" s="14"/>
      <c r="C108" s="546"/>
      <c r="D108" s="522"/>
      <c r="E108" s="547"/>
      <c r="F108" s="191"/>
      <c r="G108" s="192"/>
      <c r="H108" s="649"/>
      <c r="I108" s="646"/>
      <c r="J108" s="647"/>
      <c r="K108" s="191"/>
      <c r="L108" s="649"/>
      <c r="M108" s="646"/>
      <c r="N108" s="647"/>
      <c r="O108" s="191"/>
      <c r="P108" s="649"/>
      <c r="Q108" s="646"/>
      <c r="R108" s="647"/>
      <c r="S108" s="193"/>
      <c r="T108" s="649"/>
      <c r="U108" s="646"/>
      <c r="V108" s="647"/>
      <c r="W108" s="191"/>
      <c r="X108" s="648"/>
      <c r="Y108" s="601"/>
      <c r="Z108" s="601"/>
      <c r="AA108" s="601"/>
      <c r="AB108" s="602"/>
      <c r="AC108" s="194"/>
      <c r="AD108" s="18"/>
      <c r="AE108" s="191"/>
      <c r="AF108" s="649"/>
      <c r="AG108" s="646"/>
      <c r="AH108" s="647"/>
      <c r="AI108" s="191"/>
      <c r="AJ108" s="649"/>
      <c r="AK108" s="646"/>
      <c r="AL108" s="647"/>
      <c r="AM108" s="193"/>
      <c r="AN108" s="649"/>
      <c r="AO108" s="646"/>
      <c r="AP108" s="647"/>
      <c r="AQ108" s="191"/>
      <c r="AR108" s="648"/>
      <c r="AS108" s="601"/>
      <c r="AT108" s="601"/>
      <c r="AU108" s="601"/>
      <c r="AV108" s="602"/>
      <c r="AW108" s="191"/>
      <c r="AX108" s="195"/>
      <c r="AY108" s="196"/>
      <c r="AZ108" s="649"/>
      <c r="BA108" s="646"/>
      <c r="BB108" s="647"/>
      <c r="BC108" s="191"/>
      <c r="BD108" s="649"/>
      <c r="BE108" s="646"/>
      <c r="BF108" s="647"/>
      <c r="BG108" s="191"/>
      <c r="BH108" s="649"/>
      <c r="BI108" s="646"/>
      <c r="BJ108" s="647"/>
      <c r="BK108" s="191"/>
      <c r="BL108" s="661"/>
      <c r="BM108" s="522"/>
      <c r="BN108" s="522"/>
      <c r="BO108" s="522"/>
      <c r="BP108" s="547"/>
      <c r="BQ108" s="194"/>
      <c r="BR108" s="49"/>
    </row>
    <row r="109" spans="1:70" ht="60" x14ac:dyDescent="0.95">
      <c r="A109" s="190"/>
      <c r="B109" s="14"/>
      <c r="C109" s="546"/>
      <c r="D109" s="522"/>
      <c r="E109" s="547"/>
      <c r="F109" s="197"/>
      <c r="G109" s="198"/>
      <c r="H109" s="635"/>
      <c r="I109" s="635"/>
      <c r="J109" s="635"/>
      <c r="K109" s="197"/>
      <c r="L109" s="635"/>
      <c r="M109" s="635"/>
      <c r="N109" s="635"/>
      <c r="O109" s="197"/>
      <c r="P109" s="635"/>
      <c r="Q109" s="635"/>
      <c r="R109" s="635"/>
      <c r="S109" s="2"/>
      <c r="T109" s="635"/>
      <c r="U109" s="635"/>
      <c r="V109" s="635"/>
      <c r="W109" s="13"/>
      <c r="X109" s="20"/>
      <c r="Y109" s="16"/>
      <c r="Z109" s="21"/>
      <c r="AA109" s="21"/>
      <c r="AB109" s="21"/>
      <c r="AC109" s="194"/>
      <c r="AD109" s="18"/>
      <c r="AE109" s="197"/>
      <c r="AF109" s="635"/>
      <c r="AG109" s="635"/>
      <c r="AH109" s="635"/>
      <c r="AI109" s="30"/>
      <c r="AJ109" s="635"/>
      <c r="AK109" s="635"/>
      <c r="AL109" s="635"/>
      <c r="AM109" s="56"/>
      <c r="AN109" s="635"/>
      <c r="AO109" s="635"/>
      <c r="AP109" s="635"/>
      <c r="AQ109" s="13"/>
      <c r="AR109" s="20"/>
      <c r="AS109" s="16"/>
      <c r="AT109" s="21"/>
      <c r="AU109" s="21"/>
      <c r="AV109" s="21"/>
      <c r="AW109" s="197"/>
      <c r="AX109" s="199"/>
      <c r="AY109" s="200"/>
      <c r="AZ109" s="635"/>
      <c r="BA109" s="635"/>
      <c r="BB109" s="635"/>
      <c r="BC109" s="30"/>
      <c r="BD109" s="635"/>
      <c r="BE109" s="635"/>
      <c r="BF109" s="635"/>
      <c r="BG109" s="30"/>
      <c r="BH109" s="635"/>
      <c r="BI109" s="635"/>
      <c r="BJ109" s="635"/>
      <c r="BK109" s="30"/>
      <c r="BL109" s="546"/>
      <c r="BM109" s="522"/>
      <c r="BN109" s="522"/>
      <c r="BO109" s="522"/>
      <c r="BP109" s="547"/>
      <c r="BQ109" s="201"/>
      <c r="BR109" s="49"/>
    </row>
    <row r="110" spans="1:70" ht="34.799999999999997" x14ac:dyDescent="0.55000000000000004">
      <c r="A110" s="190"/>
      <c r="B110" s="14"/>
      <c r="C110" s="546"/>
      <c r="D110" s="522"/>
      <c r="E110" s="547"/>
      <c r="F110" s="202"/>
      <c r="G110" s="203"/>
      <c r="H110" s="635"/>
      <c r="I110" s="635"/>
      <c r="J110" s="635"/>
      <c r="K110" s="202"/>
      <c r="L110" s="635"/>
      <c r="M110" s="635"/>
      <c r="N110" s="635"/>
      <c r="O110" s="202"/>
      <c r="P110" s="635"/>
      <c r="Q110" s="635"/>
      <c r="R110" s="635"/>
      <c r="S110" s="2"/>
      <c r="T110" s="635"/>
      <c r="U110" s="635"/>
      <c r="V110" s="635"/>
      <c r="W110" s="30"/>
      <c r="X110" s="651"/>
      <c r="Y110" s="601"/>
      <c r="Z110" s="601"/>
      <c r="AA110" s="601"/>
      <c r="AB110" s="602"/>
      <c r="AC110" s="194"/>
      <c r="AD110" s="18"/>
      <c r="AE110" s="202"/>
      <c r="AF110" s="635"/>
      <c r="AG110" s="635"/>
      <c r="AH110" s="635"/>
      <c r="AI110" s="30"/>
      <c r="AJ110" s="635"/>
      <c r="AK110" s="635"/>
      <c r="AL110" s="635"/>
      <c r="AM110" s="56"/>
      <c r="AN110" s="635"/>
      <c r="AO110" s="635"/>
      <c r="AP110" s="635"/>
      <c r="AQ110" s="30"/>
      <c r="AR110" s="651"/>
      <c r="AS110" s="601"/>
      <c r="AT110" s="601"/>
      <c r="AU110" s="601"/>
      <c r="AV110" s="602"/>
      <c r="AW110" s="204"/>
      <c r="AX110" s="205"/>
      <c r="AY110" s="204"/>
      <c r="AZ110" s="635"/>
      <c r="BA110" s="635"/>
      <c r="BB110" s="635"/>
      <c r="BC110" s="30"/>
      <c r="BD110" s="635"/>
      <c r="BE110" s="635"/>
      <c r="BF110" s="635"/>
      <c r="BG110" s="30"/>
      <c r="BH110" s="635"/>
      <c r="BI110" s="635"/>
      <c r="BJ110" s="635"/>
      <c r="BK110" s="30"/>
      <c r="BL110" s="546"/>
      <c r="BM110" s="522"/>
      <c r="BN110" s="522"/>
      <c r="BO110" s="522"/>
      <c r="BP110" s="547"/>
      <c r="BQ110" s="185"/>
      <c r="BR110" s="49"/>
    </row>
    <row r="111" spans="1:70" ht="60" x14ac:dyDescent="0.95">
      <c r="A111" s="190"/>
      <c r="B111" s="14"/>
      <c r="C111" s="546"/>
      <c r="D111" s="522"/>
      <c r="E111" s="547"/>
      <c r="F111" s="202"/>
      <c r="G111" s="203"/>
      <c r="H111" s="635"/>
      <c r="I111" s="635"/>
      <c r="J111" s="635"/>
      <c r="K111" s="202"/>
      <c r="L111" s="635"/>
      <c r="M111" s="635"/>
      <c r="N111" s="635"/>
      <c r="O111" s="202"/>
      <c r="P111" s="635"/>
      <c r="Q111" s="635"/>
      <c r="R111" s="635"/>
      <c r="S111" s="2"/>
      <c r="T111" s="635"/>
      <c r="U111" s="635"/>
      <c r="V111" s="635"/>
      <c r="W111" s="13"/>
      <c r="X111" s="20"/>
      <c r="Y111" s="16"/>
      <c r="Z111" s="21"/>
      <c r="AA111" s="21"/>
      <c r="AB111" s="21"/>
      <c r="AC111" s="194"/>
      <c r="AD111" s="18"/>
      <c r="AE111" s="202"/>
      <c r="AF111" s="635"/>
      <c r="AG111" s="635"/>
      <c r="AH111" s="635"/>
      <c r="AI111" s="30"/>
      <c r="AJ111" s="635"/>
      <c r="AK111" s="635"/>
      <c r="AL111" s="635"/>
      <c r="AM111" s="56"/>
      <c r="AN111" s="635"/>
      <c r="AO111" s="635"/>
      <c r="AP111" s="635"/>
      <c r="AQ111" s="13"/>
      <c r="AR111" s="20"/>
      <c r="AS111" s="16"/>
      <c r="AT111" s="21"/>
      <c r="AU111" s="21"/>
      <c r="AV111" s="21"/>
      <c r="AW111" s="30"/>
      <c r="AX111" s="24"/>
      <c r="AY111" s="30"/>
      <c r="AZ111" s="635"/>
      <c r="BA111" s="635"/>
      <c r="BB111" s="635"/>
      <c r="BC111" s="30"/>
      <c r="BD111" s="635"/>
      <c r="BE111" s="635"/>
      <c r="BF111" s="635"/>
      <c r="BG111" s="30"/>
      <c r="BH111" s="635"/>
      <c r="BI111" s="635"/>
      <c r="BJ111" s="635"/>
      <c r="BK111" s="30"/>
      <c r="BL111" s="546"/>
      <c r="BM111" s="522"/>
      <c r="BN111" s="522"/>
      <c r="BO111" s="522"/>
      <c r="BP111" s="547"/>
      <c r="BQ111" s="18"/>
      <c r="BR111" s="49"/>
    </row>
    <row r="112" spans="1:70" ht="116.25" customHeight="1" x14ac:dyDescent="0.7">
      <c r="A112" s="190"/>
      <c r="B112" s="14"/>
      <c r="C112" s="548"/>
      <c r="D112" s="549"/>
      <c r="E112" s="550"/>
      <c r="F112" s="202"/>
      <c r="G112" s="203"/>
      <c r="H112" s="641"/>
      <c r="I112" s="641"/>
      <c r="J112" s="641"/>
      <c r="K112" s="202"/>
      <c r="L112" s="641"/>
      <c r="M112" s="641"/>
      <c r="N112" s="641"/>
      <c r="O112" s="202"/>
      <c r="P112" s="641"/>
      <c r="Q112" s="641"/>
      <c r="R112" s="641"/>
      <c r="S112" s="2"/>
      <c r="T112" s="641"/>
      <c r="U112" s="641"/>
      <c r="V112" s="641"/>
      <c r="W112" s="30"/>
      <c r="X112" s="648"/>
      <c r="Y112" s="601"/>
      <c r="Z112" s="601"/>
      <c r="AA112" s="601"/>
      <c r="AB112" s="602"/>
      <c r="AC112" s="194"/>
      <c r="AD112" s="18"/>
      <c r="AE112" s="202"/>
      <c r="AF112" s="641"/>
      <c r="AG112" s="641"/>
      <c r="AH112" s="641"/>
      <c r="AI112" s="30"/>
      <c r="AJ112" s="641"/>
      <c r="AK112" s="641"/>
      <c r="AL112" s="641"/>
      <c r="AM112" s="56"/>
      <c r="AN112" s="641"/>
      <c r="AO112" s="641"/>
      <c r="AP112" s="641"/>
      <c r="AQ112" s="30"/>
      <c r="AR112" s="648"/>
      <c r="AS112" s="601"/>
      <c r="AT112" s="601"/>
      <c r="AU112" s="601"/>
      <c r="AV112" s="602"/>
      <c r="AW112" s="30"/>
      <c r="AX112" s="24"/>
      <c r="AY112" s="30"/>
      <c r="AZ112" s="641"/>
      <c r="BA112" s="641"/>
      <c r="BB112" s="641"/>
      <c r="BC112" s="30"/>
      <c r="BD112" s="641"/>
      <c r="BE112" s="641"/>
      <c r="BF112" s="641"/>
      <c r="BG112" s="30"/>
      <c r="BH112" s="641"/>
      <c r="BI112" s="641"/>
      <c r="BJ112" s="641"/>
      <c r="BK112" s="30"/>
      <c r="BL112" s="546"/>
      <c r="BM112" s="522"/>
      <c r="BN112" s="522"/>
      <c r="BO112" s="522"/>
      <c r="BP112" s="547"/>
      <c r="BQ112" s="18"/>
      <c r="BR112" s="49"/>
    </row>
    <row r="113" spans="1:70" ht="60" x14ac:dyDescent="0.95">
      <c r="A113" s="89"/>
      <c r="B113" s="153"/>
      <c r="C113" s="154"/>
      <c r="D113" s="154"/>
      <c r="E113" s="155"/>
      <c r="F113" s="206"/>
      <c r="G113" s="207"/>
      <c r="H113" s="157"/>
      <c r="I113" s="157"/>
      <c r="J113" s="157"/>
      <c r="K113" s="158"/>
      <c r="L113" s="157"/>
      <c r="M113" s="157"/>
      <c r="N113" s="157"/>
      <c r="O113" s="158"/>
      <c r="P113" s="157"/>
      <c r="Q113" s="157"/>
      <c r="R113" s="157"/>
      <c r="S113" s="159"/>
      <c r="T113" s="157"/>
      <c r="U113" s="157"/>
      <c r="V113" s="157"/>
      <c r="W113" s="157"/>
      <c r="X113" s="155"/>
      <c r="Y113" s="160"/>
      <c r="Z113" s="160"/>
      <c r="AA113" s="208"/>
      <c r="AB113" s="209"/>
      <c r="AC113" s="210"/>
      <c r="AD113" s="156"/>
      <c r="AE113" s="158"/>
      <c r="AF113" s="169"/>
      <c r="AG113" s="169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65"/>
      <c r="AS113" s="166"/>
      <c r="AT113" s="167"/>
      <c r="AU113" s="211"/>
      <c r="AV113" s="209"/>
      <c r="AW113" s="161"/>
      <c r="AX113" s="162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  <c r="BL113" s="155"/>
      <c r="BM113" s="157"/>
      <c r="BN113" s="160"/>
      <c r="BO113" s="157"/>
      <c r="BP113" s="157"/>
      <c r="BQ113" s="156"/>
      <c r="BR113" s="49"/>
    </row>
    <row r="114" spans="1:70" ht="60" x14ac:dyDescent="0.95">
      <c r="A114" s="2"/>
      <c r="B114" s="71"/>
      <c r="C114" s="172"/>
      <c r="D114" s="172"/>
      <c r="E114" s="20"/>
      <c r="F114" s="202"/>
      <c r="G114" s="71"/>
      <c r="H114" s="16"/>
      <c r="I114" s="16"/>
      <c r="J114" s="16"/>
      <c r="K114" s="71"/>
      <c r="L114" s="16"/>
      <c r="M114" s="16"/>
      <c r="N114" s="16"/>
      <c r="O114" s="71"/>
      <c r="P114" s="16"/>
      <c r="Q114" s="16"/>
      <c r="R114" s="16"/>
      <c r="S114" s="19"/>
      <c r="T114" s="16"/>
      <c r="U114" s="16"/>
      <c r="V114" s="16"/>
      <c r="W114" s="16"/>
      <c r="X114" s="20"/>
      <c r="Y114" s="21"/>
      <c r="Z114" s="21"/>
      <c r="AA114" s="11"/>
      <c r="AB114" s="15"/>
      <c r="AC114" s="197"/>
      <c r="AD114" s="27"/>
      <c r="AE114" s="71"/>
      <c r="AF114" s="212"/>
      <c r="AG114" s="212"/>
      <c r="AH114" s="16"/>
      <c r="AI114" s="71"/>
      <c r="AJ114" s="16"/>
      <c r="AK114" s="16"/>
      <c r="AL114" s="16"/>
      <c r="AM114" s="16"/>
      <c r="AN114" s="16"/>
      <c r="AO114" s="16"/>
      <c r="AP114" s="16"/>
      <c r="AQ114" s="16"/>
      <c r="AR114" s="25"/>
      <c r="AS114" s="23"/>
      <c r="AT114" s="26"/>
      <c r="AU114" s="187"/>
      <c r="AV114" s="15"/>
      <c r="AW114" s="27"/>
      <c r="AX114" s="27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20"/>
      <c r="BM114" s="16"/>
      <c r="BN114" s="21"/>
      <c r="BO114" s="16"/>
      <c r="BP114" s="16"/>
      <c r="BQ114" s="27"/>
      <c r="BR114" s="213"/>
    </row>
    <row r="115" spans="1:70" ht="118.95" customHeight="1" x14ac:dyDescent="0.95">
      <c r="A115" s="214"/>
      <c r="B115" s="215"/>
      <c r="C115" s="652" t="s">
        <v>63</v>
      </c>
      <c r="D115" s="216"/>
      <c r="E115" s="653">
        <f>'ASIGNACIÓN ASIGNATURAS'!$C$31</f>
        <v>0</v>
      </c>
      <c r="F115" s="18"/>
      <c r="G115" s="107">
        <v>1</v>
      </c>
      <c r="H115" s="553" t="str">
        <f>$G$115&amp;$C$115&amp;$E$115&amp;H10</f>
        <v>1PROPEDÉUTICO0I SEMESTRE</v>
      </c>
      <c r="I115" s="627"/>
      <c r="J115" s="628"/>
      <c r="K115" s="130"/>
      <c r="L115" s="553" t="str">
        <f>$G$115&amp;$C$115&amp;$E$115&amp;L10</f>
        <v>1PROPEDÉUTICO0II SEMESTRE</v>
      </c>
      <c r="M115" s="627"/>
      <c r="N115" s="628"/>
      <c r="O115" s="130"/>
      <c r="P115" s="553" t="str">
        <f>$G$115&amp;$C$115&amp;$E$115&amp;P10</f>
        <v>1PROPEDÉUTICO0III SEMESTRE</v>
      </c>
      <c r="Q115" s="627"/>
      <c r="R115" s="628"/>
      <c r="S115" s="2"/>
      <c r="T115" s="553" t="str">
        <f>$G$115&amp;$C$115&amp;$E$115&amp;T$10</f>
        <v>1PROPEDÉUTICO0IV SEMESTRE</v>
      </c>
      <c r="U115" s="627"/>
      <c r="V115" s="628"/>
      <c r="W115" s="30"/>
      <c r="X115" s="634"/>
      <c r="Y115" s="136"/>
      <c r="Z115" s="645"/>
      <c r="AA115" s="102"/>
      <c r="AB115" s="645"/>
      <c r="AC115" s="30"/>
      <c r="AD115" s="24"/>
      <c r="AE115" s="107"/>
      <c r="AF115" s="553" t="str">
        <f>$G$115&amp;$C$115&amp;$E$115&amp;AF10</f>
        <v>1PROPEDÉUTICO0V SEMESTRE</v>
      </c>
      <c r="AG115" s="627"/>
      <c r="AH115" s="628"/>
      <c r="AI115" s="130"/>
      <c r="AJ115" s="553" t="str">
        <f>$G$115&amp;$C$115&amp;$E$115&amp;AJ10</f>
        <v>1PROPEDÉUTICO0VI SEMESTRE</v>
      </c>
      <c r="AK115" s="627"/>
      <c r="AL115" s="628"/>
      <c r="AM115" s="130"/>
      <c r="AN115" s="553" t="str">
        <f>$G$115&amp;$C$115&amp;$E$115&amp;AN10</f>
        <v>1PROPEDÉUTICO0x SEMESTRE</v>
      </c>
      <c r="AO115" s="627"/>
      <c r="AP115" s="628"/>
      <c r="AQ115" s="30"/>
      <c r="AR115" s="634"/>
      <c r="AS115" s="136"/>
      <c r="AT115" s="645"/>
      <c r="AU115" s="102"/>
      <c r="AV115" s="645"/>
      <c r="AW115" s="30"/>
      <c r="AX115" s="205"/>
      <c r="AY115" s="217"/>
      <c r="AZ115" s="553" t="str">
        <f>$G$115&amp;$C$115&amp;$E$115&amp;AZ10</f>
        <v>1PROPEDÉUTICO0VII SEMESTRE</v>
      </c>
      <c r="BA115" s="627"/>
      <c r="BB115" s="628"/>
      <c r="BC115" s="130"/>
      <c r="BD115" s="553" t="str">
        <f>$G$115&amp;$C$115&amp;$E$115&amp;BD10</f>
        <v>1PROPEDÉUTICO0VIII SEMESTRE</v>
      </c>
      <c r="BE115" s="627"/>
      <c r="BF115" s="628"/>
      <c r="BG115" s="130"/>
      <c r="BH115" s="553" t="str">
        <f>$G$115&amp;$C$115&amp;$E$115&amp;BH10</f>
        <v>1PROPEDÉUTICO0IX SEMESTRE</v>
      </c>
      <c r="BI115" s="627"/>
      <c r="BJ115" s="628"/>
      <c r="BK115" s="204"/>
      <c r="BL115" s="634"/>
      <c r="BM115" s="136"/>
      <c r="BN115" s="645"/>
      <c r="BO115" s="102"/>
      <c r="BP115" s="645"/>
      <c r="BQ115" s="185"/>
      <c r="BR115" s="218"/>
    </row>
    <row r="116" spans="1:70" ht="60" customHeight="1" x14ac:dyDescent="0.95">
      <c r="A116" s="12"/>
      <c r="B116" s="14"/>
      <c r="C116" s="522"/>
      <c r="D116" s="63"/>
      <c r="E116" s="522"/>
      <c r="F116" s="18"/>
      <c r="G116" s="13"/>
      <c r="H116" s="629" t="s">
        <v>224</v>
      </c>
      <c r="I116" s="522"/>
      <c r="J116" s="630"/>
      <c r="L116" s="629" t="s">
        <v>224</v>
      </c>
      <c r="M116" s="522"/>
      <c r="N116" s="630"/>
      <c r="P116" s="629" t="s">
        <v>224</v>
      </c>
      <c r="Q116" s="522"/>
      <c r="R116" s="630"/>
      <c r="S116" s="2"/>
      <c r="T116" s="629" t="s">
        <v>224</v>
      </c>
      <c r="U116" s="522"/>
      <c r="V116" s="630"/>
      <c r="W116" s="30"/>
      <c r="X116" s="635"/>
      <c r="Y116" s="137"/>
      <c r="Z116" s="635"/>
      <c r="AA116" s="41"/>
      <c r="AB116" s="635"/>
      <c r="AC116" s="30"/>
      <c r="AD116" s="24"/>
      <c r="AE116" s="13"/>
      <c r="AF116" s="629" t="s">
        <v>224</v>
      </c>
      <c r="AG116" s="522"/>
      <c r="AH116" s="630"/>
      <c r="AJ116" s="629" t="s">
        <v>224</v>
      </c>
      <c r="AK116" s="522"/>
      <c r="AL116" s="630"/>
      <c r="AN116" s="629" t="s">
        <v>224</v>
      </c>
      <c r="AO116" s="522"/>
      <c r="AP116" s="630"/>
      <c r="AQ116" s="30"/>
      <c r="AR116" s="635"/>
      <c r="AS116" s="137"/>
      <c r="AT116" s="635"/>
      <c r="AU116" s="41"/>
      <c r="AV116" s="635"/>
      <c r="AW116" s="30"/>
      <c r="AX116" s="24"/>
      <c r="AY116" s="44"/>
      <c r="AZ116" s="629" t="s">
        <v>224</v>
      </c>
      <c r="BA116" s="522"/>
      <c r="BB116" s="630"/>
      <c r="BD116" s="629" t="s">
        <v>224</v>
      </c>
      <c r="BE116" s="522"/>
      <c r="BF116" s="630"/>
      <c r="BH116" s="629" t="s">
        <v>224</v>
      </c>
      <c r="BI116" s="522"/>
      <c r="BJ116" s="630"/>
      <c r="BK116" s="30"/>
      <c r="BL116" s="635"/>
      <c r="BM116" s="137"/>
      <c r="BN116" s="635"/>
      <c r="BO116" s="41"/>
      <c r="BP116" s="635"/>
      <c r="BQ116" s="18"/>
      <c r="BR116" s="49"/>
    </row>
    <row r="117" spans="1:70" ht="10.95" customHeight="1" x14ac:dyDescent="0.95">
      <c r="A117" s="12"/>
      <c r="B117" s="14"/>
      <c r="C117" s="522"/>
      <c r="D117" s="63"/>
      <c r="E117" s="522"/>
      <c r="F117" s="18"/>
      <c r="G117" s="13"/>
      <c r="H117" s="631"/>
      <c r="I117" s="632"/>
      <c r="J117" s="633"/>
      <c r="L117" s="631"/>
      <c r="M117" s="632"/>
      <c r="N117" s="633"/>
      <c r="P117" s="631"/>
      <c r="Q117" s="632"/>
      <c r="R117" s="633"/>
      <c r="S117" s="2"/>
      <c r="T117" s="631"/>
      <c r="U117" s="632"/>
      <c r="V117" s="633"/>
      <c r="W117" s="30"/>
      <c r="X117" s="635"/>
      <c r="Y117" s="137"/>
      <c r="Z117" s="635"/>
      <c r="AA117" s="41"/>
      <c r="AB117" s="635"/>
      <c r="AC117" s="30"/>
      <c r="AD117" s="24"/>
      <c r="AE117" s="13"/>
      <c r="AF117" s="631"/>
      <c r="AG117" s="632"/>
      <c r="AH117" s="633"/>
      <c r="AJ117" s="631"/>
      <c r="AK117" s="632"/>
      <c r="AL117" s="633"/>
      <c r="AN117" s="631"/>
      <c r="AO117" s="632"/>
      <c r="AP117" s="633"/>
      <c r="AQ117" s="30"/>
      <c r="AR117" s="635"/>
      <c r="AS117" s="137"/>
      <c r="AT117" s="635"/>
      <c r="AU117" s="41"/>
      <c r="AV117" s="635"/>
      <c r="AW117" s="30"/>
      <c r="AX117" s="24"/>
      <c r="AY117" s="44"/>
      <c r="AZ117" s="631"/>
      <c r="BA117" s="632"/>
      <c r="BB117" s="633"/>
      <c r="BD117" s="631"/>
      <c r="BE117" s="632"/>
      <c r="BF117" s="633"/>
      <c r="BH117" s="631"/>
      <c r="BI117" s="632"/>
      <c r="BJ117" s="633"/>
      <c r="BK117" s="30"/>
      <c r="BL117" s="635"/>
      <c r="BM117" s="137"/>
      <c r="BN117" s="635"/>
      <c r="BO117" s="41"/>
      <c r="BP117" s="635"/>
      <c r="BQ117" s="18"/>
      <c r="BR117" s="49"/>
    </row>
    <row r="118" spans="1:70" ht="60" x14ac:dyDescent="0.95">
      <c r="A118" s="12"/>
      <c r="B118" s="14"/>
      <c r="C118" s="522"/>
      <c r="D118" s="63"/>
      <c r="E118" s="522"/>
      <c r="F118" s="18"/>
      <c r="G118" s="13"/>
      <c r="H118" s="83"/>
      <c r="I118" s="84"/>
      <c r="J118" s="86" t="str">
        <f>IF(H118=""," ",(H118+I118)/48)</f>
        <v xml:space="preserve"> </v>
      </c>
      <c r="L118" s="83"/>
      <c r="M118" s="84"/>
      <c r="N118" s="86" t="str">
        <f>IF(L118=""," ",(L118+M118)/48)</f>
        <v xml:space="preserve"> </v>
      </c>
      <c r="P118" s="83"/>
      <c r="Q118" s="84"/>
      <c r="R118" s="86" t="str">
        <f>IF(P118=""," ",(P118+Q118)/48)</f>
        <v xml:space="preserve"> </v>
      </c>
      <c r="S118" s="128"/>
      <c r="T118" s="83"/>
      <c r="U118" s="84"/>
      <c r="V118" s="86" t="str">
        <f>IF(T118=""," ",(T118+U118)/48)</f>
        <v xml:space="preserve"> </v>
      </c>
      <c r="W118" s="30"/>
      <c r="X118" s="635"/>
      <c r="Y118" s="137"/>
      <c r="Z118" s="635"/>
      <c r="AA118" s="41"/>
      <c r="AB118" s="635"/>
      <c r="AC118" s="30"/>
      <c r="AD118" s="24"/>
      <c r="AE118" s="13"/>
      <c r="AF118" s="83"/>
      <c r="AG118" s="84"/>
      <c r="AH118" s="86" t="str">
        <f>IF(AF118=""," ",(AF118+AG118)/48)</f>
        <v xml:space="preserve"> </v>
      </c>
      <c r="AJ118" s="83"/>
      <c r="AK118" s="84"/>
      <c r="AL118" s="86" t="str">
        <f>IF(AJ118=""," ",(AJ118+AK118)/48)</f>
        <v xml:space="preserve"> </v>
      </c>
      <c r="AN118" s="83"/>
      <c r="AO118" s="84"/>
      <c r="AP118" s="86" t="str">
        <f>IF(AN118=""," ",(AN118+AO118)/48)</f>
        <v xml:space="preserve"> </v>
      </c>
      <c r="AQ118" s="30"/>
      <c r="AR118" s="635"/>
      <c r="AS118" s="137"/>
      <c r="AT118" s="635"/>
      <c r="AU118" s="41"/>
      <c r="AV118" s="635"/>
      <c r="AW118" s="30"/>
      <c r="AX118" s="97"/>
      <c r="AY118" s="44"/>
      <c r="AZ118" s="83"/>
      <c r="BA118" s="84"/>
      <c r="BB118" s="86" t="str">
        <f>IF(AZ118=""," ",(AZ118+BA118)/48)</f>
        <v xml:space="preserve"> </v>
      </c>
      <c r="BD118" s="83"/>
      <c r="BE118" s="84"/>
      <c r="BF118" s="86" t="str">
        <f>IF(BD118=""," ",(BD118+BE118)/48)</f>
        <v xml:space="preserve"> </v>
      </c>
      <c r="BH118" s="83"/>
      <c r="BI118" s="84"/>
      <c r="BJ118" s="86" t="str">
        <f>IF(BH118=""," ",(BH118+BI118)/48)</f>
        <v xml:space="preserve"> </v>
      </c>
      <c r="BK118" s="30"/>
      <c r="BL118" s="635"/>
      <c r="BM118" s="137"/>
      <c r="BN118" s="635"/>
      <c r="BO118" s="41"/>
      <c r="BP118" s="635"/>
      <c r="BQ118" s="18"/>
      <c r="BR118" s="49"/>
    </row>
    <row r="119" spans="1:70" ht="45" x14ac:dyDescent="0.75">
      <c r="A119" s="12"/>
      <c r="B119" s="14"/>
      <c r="C119" s="522"/>
      <c r="D119" s="65"/>
      <c r="E119" s="522"/>
      <c r="F119" s="36"/>
      <c r="G119" s="13"/>
      <c r="H119" s="219"/>
      <c r="R119" s="220"/>
      <c r="S119" s="122"/>
      <c r="T119" s="107"/>
      <c r="U119" s="107"/>
      <c r="V119" s="107"/>
      <c r="W119" s="30"/>
      <c r="X119" s="635"/>
      <c r="Y119" s="30"/>
      <c r="Z119" s="635"/>
      <c r="AA119" s="30"/>
      <c r="AB119" s="635"/>
      <c r="AC119" s="30"/>
      <c r="AD119" s="24"/>
      <c r="AE119" s="13"/>
      <c r="AF119" s="219"/>
      <c r="AP119" s="220"/>
      <c r="AQ119" s="12"/>
      <c r="AR119" s="635"/>
      <c r="AS119" s="30"/>
      <c r="AT119" s="635"/>
      <c r="AU119" s="30"/>
      <c r="AV119" s="635"/>
      <c r="AW119" s="30"/>
      <c r="AX119" s="97"/>
      <c r="AY119" s="44"/>
      <c r="AZ119" s="219"/>
      <c r="BJ119" s="220"/>
      <c r="BK119" s="30"/>
      <c r="BL119" s="635"/>
      <c r="BM119" s="30"/>
      <c r="BN119" s="635"/>
      <c r="BO119" s="30"/>
      <c r="BP119" s="635"/>
      <c r="BQ119" s="18"/>
      <c r="BR119" s="49"/>
    </row>
    <row r="120" spans="1:70" ht="84" customHeight="1" x14ac:dyDescent="0.95">
      <c r="A120" s="12"/>
      <c r="B120" s="14"/>
      <c r="C120" s="522"/>
      <c r="D120" s="63"/>
      <c r="E120" s="522"/>
      <c r="F120" s="18"/>
      <c r="G120" s="13">
        <v>2</v>
      </c>
      <c r="H120" s="553" t="str">
        <f>$G$120&amp;$C$115&amp;$E$115&amp;H10</f>
        <v>2PROPEDÉUTICO0I SEMESTRE</v>
      </c>
      <c r="I120" s="627"/>
      <c r="J120" s="628"/>
      <c r="L120" s="553" t="str">
        <f>$G$120&amp;$C$115&amp;$E$115&amp;L10</f>
        <v>2PROPEDÉUTICO0II SEMESTRE</v>
      </c>
      <c r="M120" s="627"/>
      <c r="N120" s="628"/>
      <c r="P120" s="553" t="str">
        <f>$G$120&amp;$C$115&amp;$E$115&amp;P10</f>
        <v>2PROPEDÉUTICO0III SEMESTRE</v>
      </c>
      <c r="Q120" s="627"/>
      <c r="R120" s="628"/>
      <c r="S120" s="2"/>
      <c r="T120" s="553" t="str">
        <f>$G$120&amp;$C$115&amp;$E$115&amp;T$10</f>
        <v>2PROPEDÉUTICO0IV SEMESTRE</v>
      </c>
      <c r="U120" s="627"/>
      <c r="V120" s="628"/>
      <c r="W120" s="30"/>
      <c r="X120" s="635"/>
      <c r="Y120" s="137"/>
      <c r="Z120" s="635"/>
      <c r="AA120" s="41"/>
      <c r="AB120" s="635"/>
      <c r="AC120" s="30"/>
      <c r="AD120" s="24"/>
      <c r="AE120" s="13"/>
      <c r="AF120" s="553" t="str">
        <f>$G$120&amp;$C$115&amp;$E$115&amp;AF10</f>
        <v>2PROPEDÉUTICO0V SEMESTRE</v>
      </c>
      <c r="AG120" s="627"/>
      <c r="AH120" s="628"/>
      <c r="AJ120" s="553" t="str">
        <f>$G$120&amp;$C$115&amp;$E$115&amp;AJ10</f>
        <v>2PROPEDÉUTICO0VI SEMESTRE</v>
      </c>
      <c r="AK120" s="627"/>
      <c r="AL120" s="628"/>
      <c r="AN120" s="553" t="str">
        <f>$G$120&amp;$C$115&amp;$E$115&amp;AN10</f>
        <v>2PROPEDÉUTICO0x SEMESTRE</v>
      </c>
      <c r="AO120" s="627"/>
      <c r="AP120" s="628"/>
      <c r="AQ120" s="30"/>
      <c r="AR120" s="635"/>
      <c r="AS120" s="137"/>
      <c r="AT120" s="635"/>
      <c r="AU120" s="41"/>
      <c r="AV120" s="635"/>
      <c r="AW120" s="30"/>
      <c r="AX120" s="24"/>
      <c r="AY120" s="44"/>
      <c r="AZ120" s="553" t="str">
        <f>$G$120&amp;$C$115&amp;$E$115&amp;AZ10</f>
        <v>2PROPEDÉUTICO0VII SEMESTRE</v>
      </c>
      <c r="BA120" s="627"/>
      <c r="BB120" s="628"/>
      <c r="BD120" s="553" t="str">
        <f>$G$120&amp;$C$115&amp;$E$115&amp;BD10</f>
        <v>2PROPEDÉUTICO0VIII SEMESTRE</v>
      </c>
      <c r="BE120" s="627"/>
      <c r="BF120" s="628"/>
      <c r="BH120" s="553" t="str">
        <f>$G$120&amp;$C$115&amp;$E$115&amp;BH10</f>
        <v>2PROPEDÉUTICO0IX SEMESTRE</v>
      </c>
      <c r="BI120" s="627"/>
      <c r="BJ120" s="628"/>
      <c r="BK120" s="30"/>
      <c r="BL120" s="635"/>
      <c r="BM120" s="137"/>
      <c r="BN120" s="635"/>
      <c r="BO120" s="41"/>
      <c r="BP120" s="635"/>
      <c r="BQ120" s="18"/>
      <c r="BR120" s="49"/>
    </row>
    <row r="121" spans="1:70" ht="37.5" customHeight="1" x14ac:dyDescent="0.95">
      <c r="A121" s="12"/>
      <c r="B121" s="14"/>
      <c r="C121" s="522"/>
      <c r="D121" s="63"/>
      <c r="E121" s="522"/>
      <c r="F121" s="18"/>
      <c r="G121" s="13"/>
      <c r="H121" s="629" t="s">
        <v>224</v>
      </c>
      <c r="I121" s="522"/>
      <c r="J121" s="630"/>
      <c r="L121" s="629" t="s">
        <v>224</v>
      </c>
      <c r="M121" s="522"/>
      <c r="N121" s="630"/>
      <c r="P121" s="629" t="s">
        <v>224</v>
      </c>
      <c r="Q121" s="522"/>
      <c r="R121" s="630"/>
      <c r="S121" s="2"/>
      <c r="T121" s="629" t="s">
        <v>224</v>
      </c>
      <c r="U121" s="522"/>
      <c r="V121" s="630"/>
      <c r="W121" s="30"/>
      <c r="X121" s="635"/>
      <c r="Y121" s="137"/>
      <c r="Z121" s="635"/>
      <c r="AA121" s="41"/>
      <c r="AB121" s="635"/>
      <c r="AC121" s="30"/>
      <c r="AD121" s="24"/>
      <c r="AE121" s="13"/>
      <c r="AF121" s="629" t="s">
        <v>224</v>
      </c>
      <c r="AG121" s="522"/>
      <c r="AH121" s="630"/>
      <c r="AJ121" s="629" t="s">
        <v>224</v>
      </c>
      <c r="AK121" s="522"/>
      <c r="AL121" s="630"/>
      <c r="AN121" s="629" t="s">
        <v>224</v>
      </c>
      <c r="AO121" s="522"/>
      <c r="AP121" s="630"/>
      <c r="AQ121" s="30"/>
      <c r="AR121" s="635"/>
      <c r="AS121" s="137"/>
      <c r="AT121" s="635"/>
      <c r="AU121" s="41"/>
      <c r="AV121" s="635"/>
      <c r="AW121" s="30"/>
      <c r="AX121" s="24"/>
      <c r="AY121" s="44"/>
      <c r="AZ121" s="629" t="s">
        <v>224</v>
      </c>
      <c r="BA121" s="522"/>
      <c r="BB121" s="630"/>
      <c r="BD121" s="629" t="s">
        <v>224</v>
      </c>
      <c r="BE121" s="522"/>
      <c r="BF121" s="630"/>
      <c r="BH121" s="629" t="s">
        <v>224</v>
      </c>
      <c r="BI121" s="522"/>
      <c r="BJ121" s="630"/>
      <c r="BK121" s="30"/>
      <c r="BL121" s="635"/>
      <c r="BM121" s="137"/>
      <c r="BN121" s="635"/>
      <c r="BO121" s="41"/>
      <c r="BP121" s="635"/>
      <c r="BQ121" s="18"/>
      <c r="BR121" s="49"/>
    </row>
    <row r="122" spans="1:70" ht="42.45" customHeight="1" x14ac:dyDescent="0.95">
      <c r="A122" s="12"/>
      <c r="B122" s="14"/>
      <c r="C122" s="522"/>
      <c r="D122" s="63"/>
      <c r="E122" s="522"/>
      <c r="F122" s="18"/>
      <c r="G122" s="13"/>
      <c r="H122" s="631"/>
      <c r="I122" s="632"/>
      <c r="J122" s="633"/>
      <c r="L122" s="631"/>
      <c r="M122" s="632"/>
      <c r="N122" s="633"/>
      <c r="P122" s="631"/>
      <c r="Q122" s="632"/>
      <c r="R122" s="633"/>
      <c r="S122" s="2"/>
      <c r="T122" s="631"/>
      <c r="U122" s="632"/>
      <c r="V122" s="633"/>
      <c r="W122" s="30"/>
      <c r="X122" s="635"/>
      <c r="Y122" s="137"/>
      <c r="Z122" s="635"/>
      <c r="AA122" s="41"/>
      <c r="AB122" s="635"/>
      <c r="AC122" s="30"/>
      <c r="AD122" s="24"/>
      <c r="AE122" s="13"/>
      <c r="AF122" s="631"/>
      <c r="AG122" s="632"/>
      <c r="AH122" s="633"/>
      <c r="AJ122" s="631"/>
      <c r="AK122" s="632"/>
      <c r="AL122" s="633"/>
      <c r="AN122" s="631"/>
      <c r="AO122" s="632"/>
      <c r="AP122" s="633"/>
      <c r="AQ122" s="30"/>
      <c r="AR122" s="635"/>
      <c r="AS122" s="137"/>
      <c r="AT122" s="635"/>
      <c r="AU122" s="41"/>
      <c r="AV122" s="635"/>
      <c r="AW122" s="30"/>
      <c r="AX122" s="24"/>
      <c r="AY122" s="44"/>
      <c r="AZ122" s="631"/>
      <c r="BA122" s="632"/>
      <c r="BB122" s="633"/>
      <c r="BD122" s="631"/>
      <c r="BE122" s="632"/>
      <c r="BF122" s="633"/>
      <c r="BH122" s="631"/>
      <c r="BI122" s="632"/>
      <c r="BJ122" s="633"/>
      <c r="BK122" s="30"/>
      <c r="BL122" s="635"/>
      <c r="BM122" s="137"/>
      <c r="BN122" s="635"/>
      <c r="BO122" s="41"/>
      <c r="BP122" s="635"/>
      <c r="BQ122" s="18"/>
      <c r="BR122" s="49"/>
    </row>
    <row r="123" spans="1:70" ht="75" customHeight="1" x14ac:dyDescent="0.95">
      <c r="A123" s="12"/>
      <c r="B123" s="14"/>
      <c r="C123" s="632"/>
      <c r="D123" s="63"/>
      <c r="E123" s="632"/>
      <c r="F123" s="18"/>
      <c r="G123" s="13"/>
      <c r="H123" s="83"/>
      <c r="I123" s="84"/>
      <c r="J123" s="86" t="str">
        <f>IF(H123=""," ",(H123+I123)/48)</f>
        <v xml:space="preserve"> </v>
      </c>
      <c r="K123" s="221"/>
      <c r="L123" s="83"/>
      <c r="M123" s="84"/>
      <c r="N123" s="86" t="str">
        <f>IF(L123=""," ",(L123+M123)/48)</f>
        <v xml:space="preserve"> </v>
      </c>
      <c r="O123" s="221"/>
      <c r="P123" s="83"/>
      <c r="Q123" s="84"/>
      <c r="R123" s="86" t="str">
        <f>IF(P123=""," ",(P123+Q123)/48)</f>
        <v xml:space="preserve"> </v>
      </c>
      <c r="S123" s="128"/>
      <c r="T123" s="83"/>
      <c r="U123" s="84"/>
      <c r="V123" s="86" t="str">
        <f>IF(T123=""," ",(T123+U123)/48)</f>
        <v xml:space="preserve"> </v>
      </c>
      <c r="W123" s="30"/>
      <c r="X123" s="641"/>
      <c r="Y123" s="137"/>
      <c r="Z123" s="641"/>
      <c r="AA123" s="41"/>
      <c r="AB123" s="641"/>
      <c r="AC123" s="30"/>
      <c r="AD123" s="24"/>
      <c r="AE123" s="13"/>
      <c r="AF123" s="83"/>
      <c r="AG123" s="84"/>
      <c r="AH123" s="86" t="str">
        <f>IF(AF123=""," ",(AF123+AG123)/48)</f>
        <v xml:space="preserve"> </v>
      </c>
      <c r="AI123" s="221"/>
      <c r="AJ123" s="83"/>
      <c r="AK123" s="84"/>
      <c r="AL123" s="86" t="str">
        <f>IF(AJ123=""," ",(AJ123+AK123)/48)</f>
        <v xml:space="preserve"> </v>
      </c>
      <c r="AM123" s="221"/>
      <c r="AN123" s="83"/>
      <c r="AO123" s="84"/>
      <c r="AP123" s="86" t="str">
        <f>IF(AN123=""," ",(AN123+AO123)/48)</f>
        <v xml:space="preserve"> </v>
      </c>
      <c r="AQ123" s="30"/>
      <c r="AR123" s="641"/>
      <c r="AS123" s="137"/>
      <c r="AT123" s="641"/>
      <c r="AU123" s="41"/>
      <c r="AV123" s="641"/>
      <c r="AW123" s="30"/>
      <c r="AX123" s="97"/>
      <c r="AY123" s="44"/>
      <c r="AZ123" s="83"/>
      <c r="BA123" s="84"/>
      <c r="BB123" s="86" t="str">
        <f>IF(AZ123=""," ",(AZ123+BA123)/48)</f>
        <v xml:space="preserve"> </v>
      </c>
      <c r="BC123" s="221"/>
      <c r="BD123" s="83"/>
      <c r="BE123" s="84"/>
      <c r="BF123" s="86" t="str">
        <f>IF(BD123=""," ",(BD123+BE123)/48)</f>
        <v xml:space="preserve"> </v>
      </c>
      <c r="BG123" s="221"/>
      <c r="BH123" s="83"/>
      <c r="BI123" s="84"/>
      <c r="BJ123" s="86" t="str">
        <f>IF(BH123=""," ",(BH123+BI123)/48)</f>
        <v xml:space="preserve"> </v>
      </c>
      <c r="BK123" s="30"/>
      <c r="BL123" s="641"/>
      <c r="BM123" s="137"/>
      <c r="BN123" s="641"/>
      <c r="BO123" s="41"/>
      <c r="BP123" s="641"/>
      <c r="BQ123" s="18"/>
      <c r="BR123" s="49"/>
    </row>
    <row r="124" spans="1:70" ht="60" x14ac:dyDescent="0.95">
      <c r="A124" s="2"/>
      <c r="B124" s="159"/>
      <c r="C124" s="154"/>
      <c r="D124" s="154"/>
      <c r="E124" s="155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  <c r="S124" s="159"/>
      <c r="T124" s="157"/>
      <c r="U124" s="157"/>
      <c r="V124" s="157"/>
      <c r="W124" s="157"/>
      <c r="X124" s="155"/>
      <c r="Y124" s="157"/>
      <c r="Z124" s="160"/>
      <c r="AA124" s="157"/>
      <c r="AB124" s="157"/>
      <c r="AC124" s="157"/>
      <c r="AD124" s="157"/>
      <c r="AE124" s="157"/>
      <c r="AF124" s="157"/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57"/>
      <c r="AR124" s="155"/>
      <c r="AS124" s="157"/>
      <c r="AT124" s="163"/>
      <c r="AU124" s="157"/>
      <c r="AV124" s="157"/>
      <c r="AW124" s="157"/>
      <c r="AX124" s="157"/>
      <c r="AY124" s="157"/>
      <c r="AZ124" s="157"/>
      <c r="BA124" s="157"/>
      <c r="BB124" s="157"/>
      <c r="BC124" s="157"/>
      <c r="BD124" s="157"/>
      <c r="BE124" s="163"/>
      <c r="BF124" s="157"/>
      <c r="BG124" s="157"/>
      <c r="BH124" s="157"/>
      <c r="BI124" s="157"/>
      <c r="BJ124" s="157"/>
      <c r="BK124" s="157"/>
      <c r="BL124" s="155"/>
      <c r="BM124" s="157"/>
      <c r="BN124" s="160"/>
      <c r="BO124" s="157"/>
      <c r="BP124" s="159"/>
      <c r="BQ124" s="222"/>
      <c r="BR124" s="223"/>
    </row>
  </sheetData>
  <sheetProtection algorithmName="SHA-512" hashValue="16TFmPM9YFGkg/IwaRthAuwArwvq02z5r0CLyXiniibz33CHLeoMiKn9T1CyF5pxnATonY9ql746D7ru8u0VHw==" saltValue="ZO8GLWFjOdokCrq/qPBAvA==" spinCount="100000" sheet="1" selectLockedCells="1" selectUnlockedCells="1"/>
  <mergeCells count="625">
    <mergeCell ref="BN14:BN67"/>
    <mergeCell ref="BP14:BP67"/>
    <mergeCell ref="E59:E62"/>
    <mergeCell ref="E64:E67"/>
    <mergeCell ref="C14:C67"/>
    <mergeCell ref="G64:G67"/>
    <mergeCell ref="H64:J64"/>
    <mergeCell ref="L64:N64"/>
    <mergeCell ref="P64:R64"/>
    <mergeCell ref="T64:V64"/>
    <mergeCell ref="H65:J66"/>
    <mergeCell ref="L65:N66"/>
    <mergeCell ref="P65:R66"/>
    <mergeCell ref="T65:V66"/>
    <mergeCell ref="E39:E42"/>
    <mergeCell ref="E24:E27"/>
    <mergeCell ref="E19:E22"/>
    <mergeCell ref="E14:E17"/>
    <mergeCell ref="E54:E57"/>
    <mergeCell ref="E49:E52"/>
    <mergeCell ref="E44:E47"/>
    <mergeCell ref="L14:N14"/>
    <mergeCell ref="L24:N24"/>
    <mergeCell ref="P24:R24"/>
    <mergeCell ref="H115:J115"/>
    <mergeCell ref="H116:J117"/>
    <mergeCell ref="H50:J51"/>
    <mergeCell ref="H59:J59"/>
    <mergeCell ref="E89:E92"/>
    <mergeCell ref="E84:E87"/>
    <mergeCell ref="H94:J94"/>
    <mergeCell ref="C106:E112"/>
    <mergeCell ref="G14:G17"/>
    <mergeCell ref="G19:G22"/>
    <mergeCell ref="G24:G27"/>
    <mergeCell ref="G29:G32"/>
    <mergeCell ref="G34:G37"/>
    <mergeCell ref="G94:G97"/>
    <mergeCell ref="G99:G102"/>
    <mergeCell ref="H14:J14"/>
    <mergeCell ref="J108:J112"/>
    <mergeCell ref="G39:G42"/>
    <mergeCell ref="G44:G47"/>
    <mergeCell ref="G84:G87"/>
    <mergeCell ref="H24:J24"/>
    <mergeCell ref="E29:E32"/>
    <mergeCell ref="E34:E37"/>
    <mergeCell ref="C69:C77"/>
    <mergeCell ref="B2:E4"/>
    <mergeCell ref="F2:BI4"/>
    <mergeCell ref="B6:BQ6"/>
    <mergeCell ref="H7:R7"/>
    <mergeCell ref="C8:E8"/>
    <mergeCell ref="H8:V8"/>
    <mergeCell ref="X8:AB8"/>
    <mergeCell ref="AF8:AP8"/>
    <mergeCell ref="AR8:AV8"/>
    <mergeCell ref="AZ8:BJ8"/>
    <mergeCell ref="BL8:BP8"/>
    <mergeCell ref="C10:C12"/>
    <mergeCell ref="E10:E12"/>
    <mergeCell ref="H10:J12"/>
    <mergeCell ref="L10:N12"/>
    <mergeCell ref="P10:R12"/>
    <mergeCell ref="T10:V12"/>
    <mergeCell ref="X10:X12"/>
    <mergeCell ref="Z10:Z12"/>
    <mergeCell ref="AB10:AB12"/>
    <mergeCell ref="BD10:BF12"/>
    <mergeCell ref="BH10:BJ12"/>
    <mergeCell ref="BL10:BL12"/>
    <mergeCell ref="BN10:BN12"/>
    <mergeCell ref="BP10:BP12"/>
    <mergeCell ref="AF10:AH12"/>
    <mergeCell ref="AJ10:AL12"/>
    <mergeCell ref="AN10:AP12"/>
    <mergeCell ref="AR10:AR12"/>
    <mergeCell ref="AT10:AT12"/>
    <mergeCell ref="AV10:AV12"/>
    <mergeCell ref="AZ10:BB12"/>
    <mergeCell ref="H15:J16"/>
    <mergeCell ref="L15:N16"/>
    <mergeCell ref="P15:R16"/>
    <mergeCell ref="T15:V16"/>
    <mergeCell ref="AF15:AH16"/>
    <mergeCell ref="AJ15:AL16"/>
    <mergeCell ref="AN15:AP16"/>
    <mergeCell ref="AJ24:AL24"/>
    <mergeCell ref="AN24:AP24"/>
    <mergeCell ref="Z14:Z67"/>
    <mergeCell ref="AB14:AB67"/>
    <mergeCell ref="AF64:AH64"/>
    <mergeCell ref="AJ64:AL64"/>
    <mergeCell ref="AN64:AP64"/>
    <mergeCell ref="AF65:AH66"/>
    <mergeCell ref="AJ65:AL66"/>
    <mergeCell ref="AN65:AP66"/>
    <mergeCell ref="H29:J29"/>
    <mergeCell ref="H19:J19"/>
    <mergeCell ref="L19:N19"/>
    <mergeCell ref="P19:R19"/>
    <mergeCell ref="T19:V19"/>
    <mergeCell ref="AN29:AP29"/>
    <mergeCell ref="L30:N31"/>
    <mergeCell ref="T24:V24"/>
    <mergeCell ref="T20:V21"/>
    <mergeCell ref="H20:J21"/>
    <mergeCell ref="L20:N21"/>
    <mergeCell ref="P20:R21"/>
    <mergeCell ref="H25:J26"/>
    <mergeCell ref="L25:N26"/>
    <mergeCell ref="P25:R26"/>
    <mergeCell ref="T25:V26"/>
    <mergeCell ref="BH15:BJ16"/>
    <mergeCell ref="AF14:AH14"/>
    <mergeCell ref="AJ14:AL14"/>
    <mergeCell ref="AF20:AH21"/>
    <mergeCell ref="AJ20:AL21"/>
    <mergeCell ref="AN20:AP21"/>
    <mergeCell ref="AZ20:BB21"/>
    <mergeCell ref="AF19:AH19"/>
    <mergeCell ref="AJ19:AL19"/>
    <mergeCell ref="AN19:AP19"/>
    <mergeCell ref="AR14:AR17"/>
    <mergeCell ref="AR19:AR22"/>
    <mergeCell ref="AZ19:BB19"/>
    <mergeCell ref="AN14:AP14"/>
    <mergeCell ref="AT14:AT67"/>
    <mergeCell ref="AV14:AV67"/>
    <mergeCell ref="AZ64:BB64"/>
    <mergeCell ref="AZ65:BB66"/>
    <mergeCell ref="AF24:AH24"/>
    <mergeCell ref="AZ24:BB24"/>
    <mergeCell ref="AF30:AH31"/>
    <mergeCell ref="AF25:AH26"/>
    <mergeCell ref="AZ49:BB49"/>
    <mergeCell ref="BH50:BJ51"/>
    <mergeCell ref="L29:N29"/>
    <mergeCell ref="L40:N41"/>
    <mergeCell ref="L38:N38"/>
    <mergeCell ref="AZ15:BB16"/>
    <mergeCell ref="P14:R14"/>
    <mergeCell ref="AZ29:BB29"/>
    <mergeCell ref="X29:X32"/>
    <mergeCell ref="X34:X37"/>
    <mergeCell ref="AR29:AR32"/>
    <mergeCell ref="AR34:AR37"/>
    <mergeCell ref="AJ29:AL29"/>
    <mergeCell ref="P29:R29"/>
    <mergeCell ref="T29:V29"/>
    <mergeCell ref="AF29:AH29"/>
    <mergeCell ref="T39:V39"/>
    <mergeCell ref="AZ14:BB14"/>
    <mergeCell ref="T14:V14"/>
    <mergeCell ref="AZ25:BB26"/>
    <mergeCell ref="X14:X17"/>
    <mergeCell ref="AR24:AR27"/>
    <mergeCell ref="AJ25:AL26"/>
    <mergeCell ref="AN25:AP26"/>
    <mergeCell ref="X19:X22"/>
    <mergeCell ref="X24:X27"/>
    <mergeCell ref="H35:J36"/>
    <mergeCell ref="L35:N36"/>
    <mergeCell ref="P35:R36"/>
    <mergeCell ref="T35:V36"/>
    <mergeCell ref="AZ30:BB31"/>
    <mergeCell ref="AN34:AP34"/>
    <mergeCell ref="AZ34:BB34"/>
    <mergeCell ref="H30:J31"/>
    <mergeCell ref="AN35:AP36"/>
    <mergeCell ref="H34:J34"/>
    <mergeCell ref="L34:N34"/>
    <mergeCell ref="P34:R34"/>
    <mergeCell ref="T34:V34"/>
    <mergeCell ref="AJ34:AL34"/>
    <mergeCell ref="AF34:AH34"/>
    <mergeCell ref="AZ35:BB36"/>
    <mergeCell ref="AF35:AH36"/>
    <mergeCell ref="AJ30:AL31"/>
    <mergeCell ref="AN30:AP31"/>
    <mergeCell ref="AJ35:AL36"/>
    <mergeCell ref="P30:R31"/>
    <mergeCell ref="T30:V31"/>
    <mergeCell ref="BD38:BF38"/>
    <mergeCell ref="BD49:BF49"/>
    <mergeCell ref="AR39:AR42"/>
    <mergeCell ref="AR44:AR47"/>
    <mergeCell ref="AZ50:BB51"/>
    <mergeCell ref="BL39:BL42"/>
    <mergeCell ref="BL44:BL47"/>
    <mergeCell ref="BL49:BL52"/>
    <mergeCell ref="AJ38:AL38"/>
    <mergeCell ref="BD50:BF51"/>
    <mergeCell ref="AN45:AP46"/>
    <mergeCell ref="BD40:BF41"/>
    <mergeCell ref="AZ39:BB39"/>
    <mergeCell ref="BD39:BF39"/>
    <mergeCell ref="AR49:AR52"/>
    <mergeCell ref="AZ40:BB41"/>
    <mergeCell ref="AN39:AP39"/>
    <mergeCell ref="AZ45:BB46"/>
    <mergeCell ref="BH39:BJ39"/>
    <mergeCell ref="AJ39:AL39"/>
    <mergeCell ref="AN40:AP41"/>
    <mergeCell ref="BH44:BJ44"/>
    <mergeCell ref="AJ44:AL44"/>
    <mergeCell ref="AN44:AP44"/>
    <mergeCell ref="AZ44:BB44"/>
    <mergeCell ref="BD44:BF44"/>
    <mergeCell ref="BD45:BF46"/>
    <mergeCell ref="BH55:BJ56"/>
    <mergeCell ref="AZ60:BB61"/>
    <mergeCell ref="BD60:BF61"/>
    <mergeCell ref="BH40:BJ41"/>
    <mergeCell ref="AZ55:BB56"/>
    <mergeCell ref="BD55:BF56"/>
    <mergeCell ref="BH45:BJ46"/>
    <mergeCell ref="BH49:BJ49"/>
    <mergeCell ref="BD54:BF54"/>
    <mergeCell ref="BH54:BJ54"/>
    <mergeCell ref="BL69:BL72"/>
    <mergeCell ref="BH68:BJ68"/>
    <mergeCell ref="AF54:AH54"/>
    <mergeCell ref="AJ54:AL54"/>
    <mergeCell ref="AN54:AP54"/>
    <mergeCell ref="AZ54:BB54"/>
    <mergeCell ref="AR54:AR57"/>
    <mergeCell ref="BL59:BL62"/>
    <mergeCell ref="BL64:BL67"/>
    <mergeCell ref="AF55:AH56"/>
    <mergeCell ref="AR59:AR62"/>
    <mergeCell ref="AR64:AR67"/>
    <mergeCell ref="BL54:BL57"/>
    <mergeCell ref="BD68:BF68"/>
    <mergeCell ref="AZ68:BB68"/>
    <mergeCell ref="AJ69:AL69"/>
    <mergeCell ref="AN69:AP69"/>
    <mergeCell ref="AJ55:AL56"/>
    <mergeCell ref="AN55:AP56"/>
    <mergeCell ref="AN60:AP61"/>
    <mergeCell ref="E69:E72"/>
    <mergeCell ref="H69:J69"/>
    <mergeCell ref="L69:N69"/>
    <mergeCell ref="P69:R69"/>
    <mergeCell ref="T69:V69"/>
    <mergeCell ref="H73:J73"/>
    <mergeCell ref="L73:N73"/>
    <mergeCell ref="P73:R73"/>
    <mergeCell ref="E74:E77"/>
    <mergeCell ref="G69:G72"/>
    <mergeCell ref="H75:J76"/>
    <mergeCell ref="L75:N76"/>
    <mergeCell ref="P75:R76"/>
    <mergeCell ref="T75:V76"/>
    <mergeCell ref="G74:G77"/>
    <mergeCell ref="H74:J74"/>
    <mergeCell ref="L74:N74"/>
    <mergeCell ref="P74:R74"/>
    <mergeCell ref="T74:V74"/>
    <mergeCell ref="BN69:BN77"/>
    <mergeCell ref="BP69:BP77"/>
    <mergeCell ref="H70:J71"/>
    <mergeCell ref="L70:N71"/>
    <mergeCell ref="P70:R71"/>
    <mergeCell ref="T70:V71"/>
    <mergeCell ref="AF70:AH71"/>
    <mergeCell ref="AJ70:AL71"/>
    <mergeCell ref="AN70:AP71"/>
    <mergeCell ref="AR69:AR72"/>
    <mergeCell ref="AT69:AT77"/>
    <mergeCell ref="AV69:AV77"/>
    <mergeCell ref="AZ69:BB69"/>
    <mergeCell ref="BD69:BF69"/>
    <mergeCell ref="BH69:BJ69"/>
    <mergeCell ref="AZ70:BB71"/>
    <mergeCell ref="BD70:BF71"/>
    <mergeCell ref="BH70:BJ71"/>
    <mergeCell ref="AR74:AR77"/>
    <mergeCell ref="X69:X72"/>
    <mergeCell ref="Z69:Z77"/>
    <mergeCell ref="AB69:AB77"/>
    <mergeCell ref="AF69:AH69"/>
    <mergeCell ref="BL74:BL77"/>
    <mergeCell ref="BH84:BJ84"/>
    <mergeCell ref="AZ85:BB86"/>
    <mergeCell ref="BD89:BF89"/>
    <mergeCell ref="AR89:AR92"/>
    <mergeCell ref="AZ89:BB89"/>
    <mergeCell ref="BH89:BJ89"/>
    <mergeCell ref="AR94:AR97"/>
    <mergeCell ref="AN89:AP89"/>
    <mergeCell ref="AF75:AH76"/>
    <mergeCell ref="AJ75:AL76"/>
    <mergeCell ref="AJ90:AL91"/>
    <mergeCell ref="AF90:AH91"/>
    <mergeCell ref="BH75:BJ76"/>
    <mergeCell ref="AZ75:BB76"/>
    <mergeCell ref="AR79:AR82"/>
    <mergeCell ref="AF84:AH84"/>
    <mergeCell ref="AJ84:AL84"/>
    <mergeCell ref="AN84:AP84"/>
    <mergeCell ref="AR84:AR87"/>
    <mergeCell ref="BD75:BF76"/>
    <mergeCell ref="BN79:BN102"/>
    <mergeCell ref="AN80:AP81"/>
    <mergeCell ref="AZ80:BB81"/>
    <mergeCell ref="AT79:AT102"/>
    <mergeCell ref="AV79:AV102"/>
    <mergeCell ref="AZ79:BB79"/>
    <mergeCell ref="BD79:BF79"/>
    <mergeCell ref="BH79:BJ79"/>
    <mergeCell ref="BL79:BL82"/>
    <mergeCell ref="BD80:BF81"/>
    <mergeCell ref="BH80:BJ81"/>
    <mergeCell ref="AZ84:BB84"/>
    <mergeCell ref="BD84:BF84"/>
    <mergeCell ref="AZ90:BB91"/>
    <mergeCell ref="BD90:BF91"/>
    <mergeCell ref="BH90:BJ91"/>
    <mergeCell ref="BD85:BF86"/>
    <mergeCell ref="BH85:BJ86"/>
    <mergeCell ref="BL84:BL87"/>
    <mergeCell ref="BD95:BF96"/>
    <mergeCell ref="AZ95:BB96"/>
    <mergeCell ref="AZ94:BB94"/>
    <mergeCell ref="BD94:BF94"/>
    <mergeCell ref="BL99:BL102"/>
    <mergeCell ref="AF100:AH101"/>
    <mergeCell ref="BH95:BJ96"/>
    <mergeCell ref="L94:N94"/>
    <mergeCell ref="P94:R94"/>
    <mergeCell ref="T94:V94"/>
    <mergeCell ref="X94:X97"/>
    <mergeCell ref="H95:J96"/>
    <mergeCell ref="L95:N96"/>
    <mergeCell ref="P95:R96"/>
    <mergeCell ref="T95:V96"/>
    <mergeCell ref="AF95:AH96"/>
    <mergeCell ref="AZ100:BB101"/>
    <mergeCell ref="BD100:BF101"/>
    <mergeCell ref="AF94:AH94"/>
    <mergeCell ref="BL89:BL92"/>
    <mergeCell ref="AN90:AP91"/>
    <mergeCell ref="AJ89:AL89"/>
    <mergeCell ref="AJ100:AL101"/>
    <mergeCell ref="AN100:AP101"/>
    <mergeCell ref="AB79:AB102"/>
    <mergeCell ref="AF79:AH79"/>
    <mergeCell ref="BL108:BP112"/>
    <mergeCell ref="AR110:AV110"/>
    <mergeCell ref="AR112:AV112"/>
    <mergeCell ref="BJ108:BJ112"/>
    <mergeCell ref="AG108:AG112"/>
    <mergeCell ref="AH108:AH112"/>
    <mergeCell ref="BH108:BH112"/>
    <mergeCell ref="BP79:BP102"/>
    <mergeCell ref="AJ80:AL81"/>
    <mergeCell ref="BL106:BP106"/>
    <mergeCell ref="BH100:BJ101"/>
    <mergeCell ref="BH94:BJ94"/>
    <mergeCell ref="BL94:BL97"/>
    <mergeCell ref="AR99:AR102"/>
    <mergeCell ref="AZ99:BB99"/>
    <mergeCell ref="BD99:BF99"/>
    <mergeCell ref="BH99:BJ99"/>
    <mergeCell ref="X108:AB108"/>
    <mergeCell ref="X110:AB110"/>
    <mergeCell ref="X112:AB112"/>
    <mergeCell ref="E94:E97"/>
    <mergeCell ref="H108:H112"/>
    <mergeCell ref="I108:I112"/>
    <mergeCell ref="E99:E102"/>
    <mergeCell ref="H99:J99"/>
    <mergeCell ref="L99:N99"/>
    <mergeCell ref="P99:R99"/>
    <mergeCell ref="T99:V99"/>
    <mergeCell ref="X99:X102"/>
    <mergeCell ref="Z79:Z102"/>
    <mergeCell ref="H89:J89"/>
    <mergeCell ref="L89:N89"/>
    <mergeCell ref="P89:R89"/>
    <mergeCell ref="H84:J84"/>
    <mergeCell ref="L84:N84"/>
    <mergeCell ref="T89:V89"/>
    <mergeCell ref="X89:X92"/>
    <mergeCell ref="H80:J81"/>
    <mergeCell ref="L80:N81"/>
    <mergeCell ref="H100:J101"/>
    <mergeCell ref="L100:N101"/>
    <mergeCell ref="L108:L112"/>
    <mergeCell ref="M108:M112"/>
    <mergeCell ref="N108:N112"/>
    <mergeCell ref="P108:P112"/>
    <mergeCell ref="Q108:Q112"/>
    <mergeCell ref="G89:G92"/>
    <mergeCell ref="R108:R112"/>
    <mergeCell ref="T108:T112"/>
    <mergeCell ref="H90:J91"/>
    <mergeCell ref="L90:N91"/>
    <mergeCell ref="P90:R91"/>
    <mergeCell ref="T90:V91"/>
    <mergeCell ref="T107:V107"/>
    <mergeCell ref="U108:U112"/>
    <mergeCell ref="V108:V112"/>
    <mergeCell ref="P100:R101"/>
    <mergeCell ref="T100:V101"/>
    <mergeCell ref="AF107:AH107"/>
    <mergeCell ref="AJ107:AL107"/>
    <mergeCell ref="AN107:AP107"/>
    <mergeCell ref="AZ107:BB107"/>
    <mergeCell ref="BD107:BF107"/>
    <mergeCell ref="C79:C102"/>
    <mergeCell ref="E79:E82"/>
    <mergeCell ref="H79:J79"/>
    <mergeCell ref="L79:N79"/>
    <mergeCell ref="P79:R79"/>
    <mergeCell ref="T79:V79"/>
    <mergeCell ref="X79:X82"/>
    <mergeCell ref="AF99:AH99"/>
    <mergeCell ref="AJ99:AL99"/>
    <mergeCell ref="AN99:AP99"/>
    <mergeCell ref="AN79:AP79"/>
    <mergeCell ref="AJ94:AL94"/>
    <mergeCell ref="AN94:AP94"/>
    <mergeCell ref="AJ95:AL96"/>
    <mergeCell ref="AN95:AP96"/>
    <mergeCell ref="AN85:AP86"/>
    <mergeCell ref="AF89:AH89"/>
    <mergeCell ref="P80:R81"/>
    <mergeCell ref="G79:G82"/>
    <mergeCell ref="AF108:AF112"/>
    <mergeCell ref="X106:AB106"/>
    <mergeCell ref="AR106:AV106"/>
    <mergeCell ref="C115:C123"/>
    <mergeCell ref="E115:E123"/>
    <mergeCell ref="T115:V115"/>
    <mergeCell ref="X115:X123"/>
    <mergeCell ref="H120:J120"/>
    <mergeCell ref="H121:J122"/>
    <mergeCell ref="L115:N115"/>
    <mergeCell ref="L116:N117"/>
    <mergeCell ref="L120:N120"/>
    <mergeCell ref="L121:N122"/>
    <mergeCell ref="P115:R115"/>
    <mergeCell ref="P116:R117"/>
    <mergeCell ref="P120:R120"/>
    <mergeCell ref="P121:R122"/>
    <mergeCell ref="AL108:AL112"/>
    <mergeCell ref="AN108:AN112"/>
    <mergeCell ref="AJ108:AJ112"/>
    <mergeCell ref="AK108:AK112"/>
    <mergeCell ref="H107:J107"/>
    <mergeCell ref="L107:N107"/>
    <mergeCell ref="P107:R107"/>
    <mergeCell ref="BI108:BI112"/>
    <mergeCell ref="AO108:AO112"/>
    <mergeCell ref="AP108:AP112"/>
    <mergeCell ref="AR108:AV108"/>
    <mergeCell ref="AZ108:AZ112"/>
    <mergeCell ref="BH115:BJ115"/>
    <mergeCell ref="BH116:BJ117"/>
    <mergeCell ref="BH120:BJ120"/>
    <mergeCell ref="BH121:BJ122"/>
    <mergeCell ref="AZ115:BB115"/>
    <mergeCell ref="BA108:BA112"/>
    <mergeCell ref="BB108:BB112"/>
    <mergeCell ref="AV115:AV123"/>
    <mergeCell ref="AZ116:BB117"/>
    <mergeCell ref="AZ120:BB120"/>
    <mergeCell ref="AZ121:BB122"/>
    <mergeCell ref="BD115:BF115"/>
    <mergeCell ref="BD116:BF117"/>
    <mergeCell ref="BD120:BF120"/>
    <mergeCell ref="BD121:BF122"/>
    <mergeCell ref="BD108:BD112"/>
    <mergeCell ref="BE108:BE112"/>
    <mergeCell ref="BF108:BF112"/>
    <mergeCell ref="BP115:BP123"/>
    <mergeCell ref="T120:V120"/>
    <mergeCell ref="AJ120:AL120"/>
    <mergeCell ref="Z115:Z123"/>
    <mergeCell ref="AB115:AB123"/>
    <mergeCell ref="AJ115:AL115"/>
    <mergeCell ref="AR115:AR123"/>
    <mergeCell ref="AT115:AT123"/>
    <mergeCell ref="AN120:AP120"/>
    <mergeCell ref="T116:V117"/>
    <mergeCell ref="T121:V122"/>
    <mergeCell ref="AJ121:AL122"/>
    <mergeCell ref="AN121:AP122"/>
    <mergeCell ref="AJ116:AL117"/>
    <mergeCell ref="AN115:AP115"/>
    <mergeCell ref="AN116:AP117"/>
    <mergeCell ref="AF115:AH115"/>
    <mergeCell ref="AF116:AH117"/>
    <mergeCell ref="BL115:BL123"/>
    <mergeCell ref="BN115:BN123"/>
    <mergeCell ref="AF121:AH122"/>
    <mergeCell ref="AF120:AH120"/>
    <mergeCell ref="H39:J39"/>
    <mergeCell ref="H45:J46"/>
    <mergeCell ref="L45:N46"/>
    <mergeCell ref="P45:R46"/>
    <mergeCell ref="H40:J41"/>
    <mergeCell ref="G49:G52"/>
    <mergeCell ref="G54:G57"/>
    <mergeCell ref="H49:J49"/>
    <mergeCell ref="L49:N49"/>
    <mergeCell ref="P49:R49"/>
    <mergeCell ref="P40:R41"/>
    <mergeCell ref="P44:R44"/>
    <mergeCell ref="L54:N54"/>
    <mergeCell ref="L50:N51"/>
    <mergeCell ref="L39:N39"/>
    <mergeCell ref="P39:R39"/>
    <mergeCell ref="H44:J44"/>
    <mergeCell ref="L44:N44"/>
    <mergeCell ref="P54:R54"/>
    <mergeCell ref="P50:R51"/>
    <mergeCell ref="G59:G62"/>
    <mergeCell ref="H60:J61"/>
    <mergeCell ref="L60:N61"/>
    <mergeCell ref="P60:R61"/>
    <mergeCell ref="T60:V61"/>
    <mergeCell ref="H55:J56"/>
    <mergeCell ref="L55:N56"/>
    <mergeCell ref="P55:R56"/>
    <mergeCell ref="T55:V56"/>
    <mergeCell ref="T45:V46"/>
    <mergeCell ref="T49:V49"/>
    <mergeCell ref="AF45:AH46"/>
    <mergeCell ref="X39:X42"/>
    <mergeCell ref="X44:X47"/>
    <mergeCell ref="AF49:AH49"/>
    <mergeCell ref="AF39:AH39"/>
    <mergeCell ref="AN74:AP74"/>
    <mergeCell ref="AN75:AP76"/>
    <mergeCell ref="AF44:AH44"/>
    <mergeCell ref="T44:V44"/>
    <mergeCell ref="T40:V41"/>
    <mergeCell ref="AF40:AH41"/>
    <mergeCell ref="AJ40:AL41"/>
    <mergeCell ref="T59:V59"/>
    <mergeCell ref="AF60:AH61"/>
    <mergeCell ref="X64:X67"/>
    <mergeCell ref="X74:X77"/>
    <mergeCell ref="AF74:AH74"/>
    <mergeCell ref="AJ74:AL74"/>
    <mergeCell ref="AJ45:AL46"/>
    <mergeCell ref="X49:X52"/>
    <mergeCell ref="X54:X57"/>
    <mergeCell ref="H68:J68"/>
    <mergeCell ref="L68:N68"/>
    <mergeCell ref="L59:N59"/>
    <mergeCell ref="AF73:AH73"/>
    <mergeCell ref="AJ73:AL73"/>
    <mergeCell ref="AN73:AP73"/>
    <mergeCell ref="T54:V54"/>
    <mergeCell ref="AJ49:AL49"/>
    <mergeCell ref="H54:J54"/>
    <mergeCell ref="AJ50:AL51"/>
    <mergeCell ref="AN50:AP51"/>
    <mergeCell ref="AF59:AH59"/>
    <mergeCell ref="AJ59:AL59"/>
    <mergeCell ref="AN59:AP59"/>
    <mergeCell ref="P68:R68"/>
    <mergeCell ref="T50:V51"/>
    <mergeCell ref="AF50:AH51"/>
    <mergeCell ref="AN49:AP49"/>
    <mergeCell ref="P59:R59"/>
    <mergeCell ref="AF68:AH68"/>
    <mergeCell ref="AJ68:AL68"/>
    <mergeCell ref="AN68:AP68"/>
    <mergeCell ref="X59:X62"/>
    <mergeCell ref="AJ60:AL61"/>
    <mergeCell ref="AZ74:BB74"/>
    <mergeCell ref="BD74:BF74"/>
    <mergeCell ref="BH74:BJ74"/>
    <mergeCell ref="AZ59:BB59"/>
    <mergeCell ref="BD59:BF59"/>
    <mergeCell ref="BH59:BJ59"/>
    <mergeCell ref="AZ73:BB73"/>
    <mergeCell ref="BD73:BF73"/>
    <mergeCell ref="BH73:BJ73"/>
    <mergeCell ref="BD64:BF64"/>
    <mergeCell ref="BH64:BJ64"/>
    <mergeCell ref="BD65:BF66"/>
    <mergeCell ref="BH65:BJ66"/>
    <mergeCell ref="BH60:BJ61"/>
    <mergeCell ref="P84:R84"/>
    <mergeCell ref="T84:V84"/>
    <mergeCell ref="X84:X87"/>
    <mergeCell ref="AJ79:AL79"/>
    <mergeCell ref="H85:J86"/>
    <mergeCell ref="L85:N86"/>
    <mergeCell ref="P85:R86"/>
    <mergeCell ref="T85:V86"/>
    <mergeCell ref="AF85:AH86"/>
    <mergeCell ref="AJ85:AL86"/>
    <mergeCell ref="T80:V81"/>
    <mergeCell ref="AF80:AH81"/>
    <mergeCell ref="BL14:BL17"/>
    <mergeCell ref="BL19:BL22"/>
    <mergeCell ref="BL24:BL27"/>
    <mergeCell ref="BL29:BL32"/>
    <mergeCell ref="BL34:BL37"/>
    <mergeCell ref="BH29:BJ29"/>
    <mergeCell ref="BH35:BJ36"/>
    <mergeCell ref="BH34:BJ34"/>
    <mergeCell ref="BD29:BF29"/>
    <mergeCell ref="BD20:BF21"/>
    <mergeCell ref="BH20:BJ21"/>
    <mergeCell ref="BD30:BF31"/>
    <mergeCell ref="BD34:BF34"/>
    <mergeCell ref="BD25:BF26"/>
    <mergeCell ref="BD35:BF36"/>
    <mergeCell ref="BD19:BF19"/>
    <mergeCell ref="BH19:BJ19"/>
    <mergeCell ref="BH25:BJ26"/>
    <mergeCell ref="BH30:BJ31"/>
    <mergeCell ref="BD24:BF24"/>
    <mergeCell ref="BH24:BJ24"/>
    <mergeCell ref="BD14:BF14"/>
    <mergeCell ref="BH14:BJ14"/>
    <mergeCell ref="BD15:BF1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877F8-5B90-4175-AA94-130D0A54BC80}">
  <sheetPr codeName="Hoja5">
    <tabColor theme="1" tint="0.14999847407452621"/>
  </sheetPr>
  <dimension ref="C1:V1012"/>
  <sheetViews>
    <sheetView topLeftCell="A36" zoomScale="70" zoomScaleNormal="70" workbookViewId="0">
      <selection activeCell="G39" sqref="G39:I39"/>
    </sheetView>
  </sheetViews>
  <sheetFormatPr baseColWidth="10" defaultColWidth="11.44140625" defaultRowHeight="14.4" x14ac:dyDescent="0.3"/>
  <cols>
    <col min="3" max="3" width="10" customWidth="1"/>
    <col min="4" max="4" width="21.44140625" customWidth="1"/>
    <col min="5" max="5" width="27.88671875" customWidth="1"/>
    <col min="6" max="6" width="3.6640625" customWidth="1"/>
    <col min="7" max="9" width="12.6640625" customWidth="1"/>
    <col min="10" max="10" width="3.6640625" customWidth="1"/>
    <col min="11" max="13" width="12.6640625" customWidth="1"/>
    <col min="14" max="15" width="3.6640625" customWidth="1"/>
    <col min="16" max="16" width="13.6640625" bestFit="1" customWidth="1"/>
    <col min="17" max="17" width="4.6640625" customWidth="1"/>
    <col min="18" max="18" width="15.6640625" customWidth="1"/>
    <col min="19" max="19" width="4.6640625" customWidth="1"/>
    <col min="20" max="20" width="15.6640625" customWidth="1"/>
  </cols>
  <sheetData>
    <row r="1" spans="3:22" x14ac:dyDescent="0.3"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  <c r="V1" s="5"/>
    </row>
    <row r="2" spans="3:22" ht="22.95" customHeight="1" x14ac:dyDescent="0.3">
      <c r="C2" s="2"/>
      <c r="D2" s="708"/>
      <c r="E2" s="709"/>
      <c r="F2" s="714" t="s">
        <v>66</v>
      </c>
      <c r="G2" s="715"/>
      <c r="H2" s="715"/>
      <c r="I2" s="715"/>
      <c r="J2" s="715"/>
      <c r="K2" s="715"/>
      <c r="L2" s="715"/>
      <c r="M2" s="715"/>
      <c r="N2" s="715"/>
      <c r="O2" s="716"/>
      <c r="P2" s="723" t="s">
        <v>67</v>
      </c>
      <c r="Q2" s="723"/>
      <c r="R2" s="723"/>
      <c r="S2" s="723"/>
      <c r="T2" s="723"/>
      <c r="U2" s="5"/>
      <c r="V2" s="5"/>
    </row>
    <row r="3" spans="3:22" ht="22.95" customHeight="1" x14ac:dyDescent="0.3">
      <c r="C3" s="2"/>
      <c r="D3" s="710"/>
      <c r="E3" s="711"/>
      <c r="F3" s="717"/>
      <c r="G3" s="718"/>
      <c r="H3" s="718"/>
      <c r="I3" s="718"/>
      <c r="J3" s="718"/>
      <c r="K3" s="718"/>
      <c r="L3" s="718"/>
      <c r="M3" s="718"/>
      <c r="N3" s="718"/>
      <c r="O3" s="719"/>
      <c r="P3" s="723" t="s">
        <v>68</v>
      </c>
      <c r="Q3" s="723"/>
      <c r="R3" s="723"/>
      <c r="S3" s="723"/>
      <c r="T3" s="723"/>
      <c r="U3" s="5"/>
      <c r="V3" s="5"/>
    </row>
    <row r="4" spans="3:22" ht="22.95" customHeight="1" x14ac:dyDescent="0.3">
      <c r="C4" s="2"/>
      <c r="D4" s="712"/>
      <c r="E4" s="713"/>
      <c r="F4" s="720"/>
      <c r="G4" s="721"/>
      <c r="H4" s="721"/>
      <c r="I4" s="721"/>
      <c r="J4" s="721"/>
      <c r="K4" s="721"/>
      <c r="L4" s="721"/>
      <c r="M4" s="721"/>
      <c r="N4" s="721"/>
      <c r="O4" s="722"/>
      <c r="P4" s="723" t="s">
        <v>69</v>
      </c>
      <c r="Q4" s="723"/>
      <c r="R4" s="723"/>
      <c r="S4" s="723"/>
      <c r="T4" s="723"/>
      <c r="U4" s="5"/>
      <c r="V4" s="5"/>
    </row>
    <row r="5" spans="3:22" ht="18" thickBot="1" x14ac:dyDescent="0.35">
      <c r="C5" s="374"/>
      <c r="D5" s="376"/>
      <c r="E5" s="376"/>
      <c r="F5" s="376"/>
      <c r="G5" s="376"/>
      <c r="H5" s="376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</row>
    <row r="6" spans="3:22" ht="18" customHeight="1" thickBot="1" x14ac:dyDescent="0.35">
      <c r="C6" s="374"/>
      <c r="D6" s="700" t="s">
        <v>70</v>
      </c>
      <c r="E6" s="701"/>
      <c r="F6" s="375"/>
      <c r="G6" s="702">
        <f>'MAPEO MALLA'!B6</f>
        <v>0</v>
      </c>
      <c r="H6" s="703"/>
      <c r="I6" s="703"/>
      <c r="J6" s="703"/>
      <c r="K6" s="703"/>
      <c r="L6" s="703"/>
      <c r="M6" s="703"/>
      <c r="N6" s="704"/>
      <c r="O6" s="376"/>
      <c r="P6" s="702" t="s">
        <v>71</v>
      </c>
      <c r="Q6" s="703"/>
      <c r="R6" s="703"/>
      <c r="S6" s="703"/>
      <c r="T6" s="704"/>
    </row>
    <row r="7" spans="3:22" ht="14.7" customHeight="1" thickBot="1" x14ac:dyDescent="0.35">
      <c r="C7" s="374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</row>
    <row r="8" spans="3:22" ht="42" thickBot="1" x14ac:dyDescent="0.35">
      <c r="C8" s="374"/>
      <c r="D8" s="466" t="s">
        <v>72</v>
      </c>
      <c r="E8" s="467" t="s">
        <v>73</v>
      </c>
      <c r="F8" s="377"/>
      <c r="G8" s="705" t="s">
        <v>74</v>
      </c>
      <c r="H8" s="706"/>
      <c r="I8" s="707"/>
      <c r="J8" s="377"/>
      <c r="K8" s="705" t="s">
        <v>75</v>
      </c>
      <c r="L8" s="706"/>
      <c r="M8" s="707"/>
      <c r="N8" s="377"/>
      <c r="O8" s="376"/>
      <c r="P8" s="468" t="s">
        <v>78</v>
      </c>
      <c r="Q8" s="378"/>
      <c r="R8" s="469" t="s">
        <v>79</v>
      </c>
      <c r="S8" s="379"/>
      <c r="T8" s="470" t="s">
        <v>80</v>
      </c>
    </row>
    <row r="9" spans="3:22" ht="18" thickBot="1" x14ac:dyDescent="0.35">
      <c r="C9" s="376"/>
      <c r="D9" s="375"/>
      <c r="E9" s="376"/>
      <c r="F9" s="376"/>
      <c r="G9" s="376"/>
      <c r="H9" s="376"/>
      <c r="I9" s="376"/>
      <c r="J9" s="376"/>
      <c r="K9" s="376"/>
      <c r="L9" s="376"/>
      <c r="M9" s="376"/>
      <c r="N9" s="376"/>
      <c r="O9" s="376"/>
      <c r="P9" s="376"/>
      <c r="Q9" s="376"/>
      <c r="R9" s="376"/>
      <c r="S9" s="376"/>
      <c r="T9" s="376"/>
    </row>
    <row r="10" spans="3:22" ht="17.399999999999999" x14ac:dyDescent="0.3">
      <c r="C10" s="376"/>
      <c r="D10" s="724" t="s">
        <v>52</v>
      </c>
      <c r="E10" s="729" t="e">
        <f>'MAPEO MALLA'!E14</f>
        <v>#N/A</v>
      </c>
      <c r="F10" s="376"/>
      <c r="G10" s="727" t="e">
        <f>_xlfn.XLOOKUP('MAPEO MALLA'!H14,'ASIGNACIÓN ASIGNATURAS'!$AD:$AD,'ASIGNACIÓN ASIGNATURAS'!$O:$O,"",0)</f>
        <v>#N/A</v>
      </c>
      <c r="H10" s="727"/>
      <c r="I10" s="727"/>
      <c r="J10" s="376"/>
      <c r="K10" s="727" t="e">
        <f>_xlfn.XLOOKUP('MAPEO MALLA'!L14,'ASIGNACIÓN ASIGNATURAS'!$AD:$AD,'ASIGNACIÓN ASIGNATURAS'!$O:$O,"",0)</f>
        <v>#N/A</v>
      </c>
      <c r="L10" s="727"/>
      <c r="M10" s="727"/>
      <c r="N10" s="376"/>
      <c r="O10" s="376"/>
      <c r="P10" s="699" t="e">
        <f>SUMIF('MAPEO MALLA'!$E$14:$E$37,'PLANTILLA MALLA POSGRADO'!E10,'MAPEO MALLA'!$X$14:$X$37)</f>
        <v>#N/A</v>
      </c>
      <c r="Q10" s="381"/>
      <c r="R10" s="762" t="e">
        <f>+P10+P18</f>
        <v>#N/A</v>
      </c>
      <c r="S10" s="381"/>
      <c r="T10" s="763" t="e">
        <f>+R10/P51</f>
        <v>#N/A</v>
      </c>
    </row>
    <row r="11" spans="3:22" ht="18" customHeight="1" x14ac:dyDescent="0.3">
      <c r="C11" s="376"/>
      <c r="D11" s="725"/>
      <c r="E11" s="729"/>
      <c r="F11" s="376"/>
      <c r="G11" s="728" t="e">
        <f>_xlfn.XLOOKUP('MAPEO MALLA'!H14,'ASIGNACIÓN ASIGNATURAS'!$AD:$AD,'ASIGNACIÓN ASIGNATURAS'!$AG:$AG,"",0)</f>
        <v>#N/A</v>
      </c>
      <c r="H11" s="728"/>
      <c r="I11" s="728"/>
      <c r="J11" s="376"/>
      <c r="K11" s="728" t="e">
        <f>_xlfn.XLOOKUP('MAPEO MALLA'!L14,'ASIGNACIÓN ASIGNATURAS'!$AD:$AD,'ASIGNACIÓN ASIGNATURAS'!$AG:$AG,"",0)</f>
        <v>#N/A</v>
      </c>
      <c r="L11" s="728"/>
      <c r="M11" s="728"/>
      <c r="N11" s="376"/>
      <c r="O11" s="376"/>
      <c r="P11" s="699"/>
      <c r="Q11" s="381"/>
      <c r="R11" s="725"/>
      <c r="S11" s="381"/>
      <c r="T11" s="725"/>
    </row>
    <row r="12" spans="3:22" ht="18" customHeight="1" x14ac:dyDescent="0.3">
      <c r="C12" s="376"/>
      <c r="D12" s="725"/>
      <c r="E12" s="729"/>
      <c r="F12" s="376"/>
      <c r="G12" s="471" t="e">
        <f>_xlfn.XLOOKUP('MAPEO MALLA'!H14,'ASIGNACIÓN ASIGNATURAS'!$AD:$AD,'ASIGNACIÓN ASIGNATURAS'!$T:$T,"",0)</f>
        <v>#N/A</v>
      </c>
      <c r="H12" s="472" t="e">
        <f>_xlfn.XLOOKUP('MAPEO MALLA'!H14,'ASIGNACIÓN ASIGNATURAS'!$AD:$AD,'ASIGNACIÓN ASIGNATURAS'!$U:$U,"",0)</f>
        <v>#N/A</v>
      </c>
      <c r="I12" s="473" t="e">
        <f>IF(G12="",,(G12+H12)/48)</f>
        <v>#N/A</v>
      </c>
      <c r="J12" s="376"/>
      <c r="K12" s="471" t="e">
        <f>_xlfn.XLOOKUP('MAPEO MALLA'!L14,'ASIGNACIÓN ASIGNATURAS'!$AD:$AD,'ASIGNACIÓN ASIGNATURAS'!$T:$T,"",0)</f>
        <v>#N/A</v>
      </c>
      <c r="L12" s="472" t="e">
        <f>_xlfn.XLOOKUP('MAPEO MALLA'!L14,'ASIGNACIÓN ASIGNATURAS'!$AD:$AD,'ASIGNACIÓN ASIGNATURAS'!$U:$U,"",0)</f>
        <v>#N/A</v>
      </c>
      <c r="M12" s="473" t="e">
        <f>IF(K12="",,(K12+L12)/48)</f>
        <v>#N/A</v>
      </c>
      <c r="N12" s="376"/>
      <c r="O12" s="376"/>
      <c r="P12" s="699"/>
      <c r="Q12" s="381"/>
      <c r="R12" s="725"/>
      <c r="S12" s="381"/>
      <c r="T12" s="725"/>
    </row>
    <row r="13" spans="3:22" ht="17.399999999999999" x14ac:dyDescent="0.3">
      <c r="C13" s="376"/>
      <c r="D13" s="725"/>
      <c r="E13" s="445"/>
      <c r="F13" s="376"/>
      <c r="G13" s="376"/>
      <c r="H13" s="376"/>
      <c r="I13" s="376"/>
      <c r="J13" s="376"/>
      <c r="K13" s="376"/>
      <c r="L13" s="376"/>
      <c r="M13" s="376"/>
      <c r="N13" s="376"/>
      <c r="O13" s="376"/>
      <c r="P13" s="445"/>
      <c r="Q13" s="381"/>
      <c r="R13" s="725"/>
      <c r="S13" s="381"/>
      <c r="T13" s="725"/>
    </row>
    <row r="14" spans="3:22" ht="17.399999999999999" x14ac:dyDescent="0.3">
      <c r="C14" s="376"/>
      <c r="D14" s="725"/>
      <c r="E14" s="729" t="e">
        <f>'MAPEO MALLA'!E19</f>
        <v>#N/A</v>
      </c>
      <c r="F14" s="376"/>
      <c r="G14" s="727" t="e">
        <f>_xlfn.XLOOKUP('MAPEO MALLA'!H19,'ASIGNACIÓN ASIGNATURAS'!$AD:$AD,'ASIGNACIÓN ASIGNATURAS'!$O:$O,"",0)</f>
        <v>#N/A</v>
      </c>
      <c r="H14" s="727"/>
      <c r="I14" s="727"/>
      <c r="J14" s="376"/>
      <c r="K14" s="727" t="e">
        <f>_xlfn.XLOOKUP('MAPEO MALLA'!L19,'ASIGNACIÓN ASIGNATURAS'!$AD:$AD,'ASIGNACIÓN ASIGNATURAS'!$O:$O,"",0)</f>
        <v>#N/A</v>
      </c>
      <c r="L14" s="727"/>
      <c r="M14" s="727"/>
      <c r="N14" s="376"/>
      <c r="O14" s="376"/>
      <c r="P14" s="699" t="e">
        <f>SUMIF('MAPEO MALLA'!$E$14:$E$37,'PLANTILLA MALLA POSGRADO'!E14,'MAPEO MALLA'!$X$14:$X$37)</f>
        <v>#N/A</v>
      </c>
      <c r="Q14" s="381"/>
      <c r="R14" s="725"/>
      <c r="S14" s="381"/>
      <c r="T14" s="725"/>
    </row>
    <row r="15" spans="3:22" ht="17.399999999999999" x14ac:dyDescent="0.3">
      <c r="C15" s="376"/>
      <c r="D15" s="725"/>
      <c r="E15" s="729"/>
      <c r="F15" s="376"/>
      <c r="G15" s="728" t="e">
        <f>_xlfn.XLOOKUP('MAPEO MALLA'!H19,'ASIGNACIÓN ASIGNATURAS'!$AD:$AD,'ASIGNACIÓN ASIGNATURAS'!$AG:$AG,"",0)</f>
        <v>#N/A</v>
      </c>
      <c r="H15" s="728"/>
      <c r="I15" s="728"/>
      <c r="J15" s="376"/>
      <c r="K15" s="728" t="e">
        <f>_xlfn.XLOOKUP('MAPEO MALLA'!L19,'ASIGNACIÓN ASIGNATURAS'!$AD:$AD,'ASIGNACIÓN ASIGNATURAS'!$AG:$AG,"",0)</f>
        <v>#N/A</v>
      </c>
      <c r="L15" s="728"/>
      <c r="M15" s="728"/>
      <c r="N15" s="376"/>
      <c r="O15" s="376"/>
      <c r="P15" s="699"/>
      <c r="Q15" s="381"/>
      <c r="R15" s="725"/>
      <c r="S15" s="381"/>
      <c r="T15" s="725"/>
    </row>
    <row r="16" spans="3:22" ht="17.399999999999999" x14ac:dyDescent="0.3">
      <c r="C16" s="376"/>
      <c r="D16" s="725"/>
      <c r="E16" s="729"/>
      <c r="F16" s="376"/>
      <c r="G16" s="471" t="e">
        <f>_xlfn.XLOOKUP('MAPEO MALLA'!H19,'ASIGNACIÓN ASIGNATURAS'!$AD:$AD,'ASIGNACIÓN ASIGNATURAS'!$T:$T,"",0)</f>
        <v>#N/A</v>
      </c>
      <c r="H16" s="472" t="e">
        <f>_xlfn.XLOOKUP('MAPEO MALLA'!H19,'ASIGNACIÓN ASIGNATURAS'!$AD:$AD,'ASIGNACIÓN ASIGNATURAS'!$U:$U,"",0)</f>
        <v>#N/A</v>
      </c>
      <c r="I16" s="473" t="e">
        <f>IF(G16="",,(G16+H16)/48)</f>
        <v>#N/A</v>
      </c>
      <c r="J16" s="376"/>
      <c r="K16" s="471" t="e">
        <f>_xlfn.XLOOKUP('MAPEO MALLA'!L19,'ASIGNACIÓN ASIGNATURAS'!$AD:$AD,'ASIGNACIÓN ASIGNATURAS'!$T:$T,"",0)</f>
        <v>#N/A</v>
      </c>
      <c r="L16" s="472" t="e">
        <f>_xlfn.XLOOKUP('MAPEO MALLA'!L19,'ASIGNACIÓN ASIGNATURAS'!$AD:$AD,'ASIGNACIÓN ASIGNATURAS'!$U:$U,"",0)</f>
        <v>#N/A</v>
      </c>
      <c r="M16" s="473" t="e">
        <f>IF(K16="",,(K16+L16)/48)</f>
        <v>#N/A</v>
      </c>
      <c r="N16" s="376"/>
      <c r="O16" s="376"/>
      <c r="P16" s="699"/>
      <c r="Q16" s="381"/>
      <c r="R16" s="725"/>
      <c r="S16" s="381"/>
      <c r="T16" s="725"/>
    </row>
    <row r="17" spans="3:20" ht="18" x14ac:dyDescent="0.35">
      <c r="C17" s="376"/>
      <c r="D17" s="725"/>
      <c r="E17" s="382"/>
      <c r="F17" s="376"/>
      <c r="G17" s="376"/>
      <c r="H17" s="376"/>
      <c r="I17" s="376"/>
      <c r="J17" s="376"/>
      <c r="K17" s="376"/>
      <c r="L17" s="376"/>
      <c r="M17" s="376"/>
      <c r="N17" s="376"/>
      <c r="O17" s="376"/>
      <c r="P17" s="382"/>
      <c r="Q17" s="381"/>
      <c r="R17" s="725"/>
      <c r="S17" s="381"/>
      <c r="T17" s="725"/>
    </row>
    <row r="18" spans="3:20" ht="17.399999999999999" x14ac:dyDescent="0.3">
      <c r="C18" s="376"/>
      <c r="D18" s="725"/>
      <c r="E18" s="729" t="e">
        <f>'MAPEO MALLA'!E24</f>
        <v>#N/A</v>
      </c>
      <c r="F18" s="376"/>
      <c r="G18" s="727" t="e">
        <f>_xlfn.XLOOKUP('MAPEO MALLA'!H24,'ASIGNACIÓN ASIGNATURAS'!$AD:$AD,'ASIGNACIÓN ASIGNATURAS'!$O:$O,"",0)</f>
        <v>#N/A</v>
      </c>
      <c r="H18" s="727"/>
      <c r="I18" s="727"/>
      <c r="J18" s="376"/>
      <c r="K18" s="727" t="e">
        <f>_xlfn.XLOOKUP('MAPEO MALLA'!L24,'ASIGNACIÓN ASIGNATURAS'!$AD:$AD,'ASIGNACIÓN ASIGNATURAS'!$O:$O,"",0)</f>
        <v>#N/A</v>
      </c>
      <c r="L18" s="727"/>
      <c r="M18" s="727"/>
      <c r="N18" s="376"/>
      <c r="O18" s="376"/>
      <c r="P18" s="699" t="e">
        <f>SUMIF('MAPEO MALLA'!$E$14:$E$37,'PLANTILLA MALLA POSGRADO'!E18,'MAPEO MALLA'!$X$14:$X$37)</f>
        <v>#N/A</v>
      </c>
      <c r="Q18" s="381"/>
      <c r="R18" s="725"/>
      <c r="S18" s="381"/>
      <c r="T18" s="725"/>
    </row>
    <row r="19" spans="3:20" ht="17.399999999999999" customHeight="1" x14ac:dyDescent="0.3">
      <c r="C19" s="376"/>
      <c r="D19" s="725"/>
      <c r="E19" s="729"/>
      <c r="F19" s="376"/>
      <c r="G19" s="728" t="e">
        <f>_xlfn.XLOOKUP('MAPEO MALLA'!H24,'ASIGNACIÓN ASIGNATURAS'!$AD:$AD,'ASIGNACIÓN ASIGNATURAS'!$AG:$AG,"",0)</f>
        <v>#N/A</v>
      </c>
      <c r="H19" s="728"/>
      <c r="I19" s="728"/>
      <c r="J19" s="376"/>
      <c r="K19" s="728" t="e">
        <f>_xlfn.XLOOKUP('MAPEO MALLA'!L24,'ASIGNACIÓN ASIGNATURAS'!$AD:$AD,'ASIGNACIÓN ASIGNATURAS'!$AG:$AG,"",0)</f>
        <v>#N/A</v>
      </c>
      <c r="L19" s="728"/>
      <c r="M19" s="728"/>
      <c r="N19" s="376"/>
      <c r="O19" s="376"/>
      <c r="P19" s="699"/>
      <c r="Q19" s="381"/>
      <c r="R19" s="725"/>
      <c r="S19" s="381"/>
      <c r="T19" s="725"/>
    </row>
    <row r="20" spans="3:20" ht="20.399999999999999" customHeight="1" x14ac:dyDescent="0.3">
      <c r="C20" s="376"/>
      <c r="D20" s="725"/>
      <c r="E20" s="729"/>
      <c r="F20" s="376"/>
      <c r="G20" s="471" t="e">
        <f>_xlfn.XLOOKUP('MAPEO MALLA'!H24,'ASIGNACIÓN ASIGNATURAS'!$AD:$AD,'ASIGNACIÓN ASIGNATURAS'!$T:$T,"",0)</f>
        <v>#N/A</v>
      </c>
      <c r="H20" s="472" t="e">
        <f>_xlfn.XLOOKUP('MAPEO MALLA'!H24,'ASIGNACIÓN ASIGNATURAS'!$AD:$AD,'ASIGNACIÓN ASIGNATURAS'!$U:$U,"",0)</f>
        <v>#N/A</v>
      </c>
      <c r="I20" s="473" t="e">
        <f>IF(G20="",,(G20+H20)/48)</f>
        <v>#N/A</v>
      </c>
      <c r="J20" s="376"/>
      <c r="K20" s="471" t="e">
        <f>_xlfn.XLOOKUP('MAPEO MALLA'!L24,'ASIGNACIÓN ASIGNATURAS'!$AD:$AD,'ASIGNACIÓN ASIGNATURAS'!$T:$T,"",0)</f>
        <v>#N/A</v>
      </c>
      <c r="L20" s="472" t="e">
        <f>_xlfn.XLOOKUP('MAPEO MALLA'!L24,'ASIGNACIÓN ASIGNATURAS'!$AD:$AD,'ASIGNACIÓN ASIGNATURAS'!$U:$U,"",0)</f>
        <v>#N/A</v>
      </c>
      <c r="M20" s="473" t="e">
        <f>IF(K20="",,(K20+L20)/48)</f>
        <v>#N/A</v>
      </c>
      <c r="N20" s="376"/>
      <c r="O20" s="376"/>
      <c r="P20" s="699"/>
      <c r="Q20" s="381"/>
      <c r="R20" s="725"/>
      <c r="S20" s="381"/>
      <c r="T20" s="725"/>
    </row>
    <row r="21" spans="3:20" ht="18" x14ac:dyDescent="0.35">
      <c r="C21" s="376"/>
      <c r="D21" s="725"/>
      <c r="E21" s="445"/>
      <c r="F21" s="376"/>
      <c r="G21" s="376"/>
      <c r="H21" s="376"/>
      <c r="I21" s="376"/>
      <c r="J21" s="376"/>
      <c r="K21" s="376"/>
      <c r="L21" s="376"/>
      <c r="M21" s="376"/>
      <c r="N21" s="376"/>
      <c r="O21" s="376"/>
      <c r="P21" s="382"/>
      <c r="Q21" s="381"/>
      <c r="R21" s="725"/>
      <c r="S21" s="381"/>
      <c r="T21" s="725"/>
    </row>
    <row r="22" spans="3:20" ht="17.399999999999999" x14ac:dyDescent="0.3">
      <c r="C22" s="376"/>
      <c r="D22" s="725"/>
      <c r="E22" s="729" t="e">
        <f>'MAPEO MALLA'!E29</f>
        <v>#N/A</v>
      </c>
      <c r="F22" s="376"/>
      <c r="G22" s="727" t="e">
        <f>_xlfn.XLOOKUP('MAPEO MALLA'!H29,'ASIGNACIÓN ASIGNATURAS'!$AD:$AD,'ASIGNACIÓN ASIGNATURAS'!$O:$O,"",0)</f>
        <v>#N/A</v>
      </c>
      <c r="H22" s="727"/>
      <c r="I22" s="727"/>
      <c r="J22" s="376"/>
      <c r="K22" s="727" t="e">
        <f>_xlfn.XLOOKUP('MAPEO MALLA'!L29,'ASIGNACIÓN ASIGNATURAS'!$AD:$AD,'ASIGNACIÓN ASIGNATURAS'!$O:$O,"",0)</f>
        <v>#N/A</v>
      </c>
      <c r="L22" s="727"/>
      <c r="M22" s="727"/>
      <c r="N22" s="376"/>
      <c r="O22" s="376"/>
      <c r="P22" s="699" t="e">
        <f>SUMIF('MAPEO MALLA'!$E$14:$E$37,'PLANTILLA MALLA POSGRADO'!E22,'MAPEO MALLA'!$X$14:$X$37)</f>
        <v>#N/A</v>
      </c>
      <c r="Q22" s="381"/>
      <c r="R22" s="725"/>
      <c r="S22" s="381"/>
      <c r="T22" s="725"/>
    </row>
    <row r="23" spans="3:20" ht="17.399999999999999" x14ac:dyDescent="0.3">
      <c r="C23" s="376"/>
      <c r="D23" s="725"/>
      <c r="E23" s="729"/>
      <c r="F23" s="376"/>
      <c r="G23" s="728" t="e">
        <f>_xlfn.XLOOKUP('MAPEO MALLA'!H29,'ASIGNACIÓN ASIGNATURAS'!$AD:$AD,'ASIGNACIÓN ASIGNATURAS'!$AG:$AG,"",0)</f>
        <v>#N/A</v>
      </c>
      <c r="H23" s="728"/>
      <c r="I23" s="728"/>
      <c r="J23" s="376"/>
      <c r="K23" s="728" t="e">
        <f>_xlfn.XLOOKUP('MAPEO MALLA'!L29,'ASIGNACIÓN ASIGNATURAS'!$AD:$AD,'ASIGNACIÓN ASIGNATURAS'!$AG:$AG,"",0)</f>
        <v>#N/A</v>
      </c>
      <c r="L23" s="728"/>
      <c r="M23" s="728"/>
      <c r="N23" s="376"/>
      <c r="O23" s="376"/>
      <c r="P23" s="699"/>
      <c r="Q23" s="381"/>
      <c r="R23" s="725"/>
      <c r="S23" s="381"/>
      <c r="T23" s="725"/>
    </row>
    <row r="24" spans="3:20" ht="17.399999999999999" x14ac:dyDescent="0.3">
      <c r="C24" s="376"/>
      <c r="D24" s="725"/>
      <c r="E24" s="729"/>
      <c r="F24" s="376"/>
      <c r="G24" s="471" t="e">
        <f>_xlfn.XLOOKUP('MAPEO MALLA'!H29,'ASIGNACIÓN ASIGNATURAS'!$AD:$AD,'ASIGNACIÓN ASIGNATURAS'!$T:$T,"",0)</f>
        <v>#N/A</v>
      </c>
      <c r="H24" s="472" t="e">
        <f>_xlfn.XLOOKUP('MAPEO MALLA'!H29,'ASIGNACIÓN ASIGNATURAS'!$AD:$AD,'ASIGNACIÓN ASIGNATURAS'!$U:$U,"",0)</f>
        <v>#N/A</v>
      </c>
      <c r="I24" s="473" t="e">
        <f>IF(G24="",,(G24+H24)/48)</f>
        <v>#N/A</v>
      </c>
      <c r="J24" s="376"/>
      <c r="K24" s="471" t="e">
        <f>_xlfn.XLOOKUP('MAPEO MALLA'!L29,'ASIGNACIÓN ASIGNATURAS'!$AD:$AD,'ASIGNACIÓN ASIGNATURAS'!$T:$T,"",0)</f>
        <v>#N/A</v>
      </c>
      <c r="L24" s="472" t="e">
        <f>_xlfn.XLOOKUP('MAPEO MALLA'!L29,'ASIGNACIÓN ASIGNATURAS'!$AD:$AD,'ASIGNACIÓN ASIGNATURAS'!$U:$U,"",0)</f>
        <v>#N/A</v>
      </c>
      <c r="M24" s="473" t="e">
        <f>IF(K24="",,(K24+L24)/48)</f>
        <v>#N/A</v>
      </c>
      <c r="N24" s="376"/>
      <c r="O24" s="376"/>
      <c r="P24" s="699"/>
      <c r="Q24" s="381"/>
      <c r="R24" s="725"/>
      <c r="S24" s="381"/>
      <c r="T24" s="725"/>
    </row>
    <row r="25" spans="3:20" ht="18" x14ac:dyDescent="0.35">
      <c r="C25" s="376"/>
      <c r="D25" s="725"/>
      <c r="E25" s="445"/>
      <c r="F25" s="376"/>
      <c r="G25" s="376"/>
      <c r="H25" s="376"/>
      <c r="I25" s="376"/>
      <c r="J25" s="376"/>
      <c r="K25" s="376"/>
      <c r="L25" s="376"/>
      <c r="M25" s="376"/>
      <c r="N25" s="376"/>
      <c r="O25" s="376"/>
      <c r="P25" s="382"/>
      <c r="Q25" s="381"/>
      <c r="R25" s="725"/>
      <c r="S25" s="381"/>
      <c r="T25" s="725"/>
    </row>
    <row r="26" spans="3:20" ht="17.399999999999999" x14ac:dyDescent="0.3">
      <c r="C26" s="376"/>
      <c r="D26" s="725"/>
      <c r="E26" s="729" t="e">
        <f>'MAPEO MALLA'!E34</f>
        <v>#N/A</v>
      </c>
      <c r="F26" s="376"/>
      <c r="G26" s="727" t="e">
        <f>_xlfn.XLOOKUP('MAPEO MALLA'!H34,'ASIGNACIÓN ASIGNATURAS'!$AD:$AD,'ASIGNACIÓN ASIGNATURAS'!$O:$O,"",0)</f>
        <v>#N/A</v>
      </c>
      <c r="H26" s="727"/>
      <c r="I26" s="727"/>
      <c r="J26" s="376"/>
      <c r="K26" s="727" t="e">
        <f>_xlfn.XLOOKUP('MAPEO MALLA'!L34,'ASIGNACIÓN ASIGNATURAS'!$AD:$AD,'ASIGNACIÓN ASIGNATURAS'!$O:$O,"",0)</f>
        <v>#N/A</v>
      </c>
      <c r="L26" s="727"/>
      <c r="M26" s="727"/>
      <c r="N26" s="376"/>
      <c r="O26" s="376"/>
      <c r="P26" s="699" t="e">
        <f>SUMIF('MAPEO MALLA'!$E$14:$E$37,'PLANTILLA MALLA POSGRADO'!E26,'MAPEO MALLA'!$X$14:$X$37)</f>
        <v>#N/A</v>
      </c>
      <c r="Q26" s="381"/>
      <c r="R26" s="725"/>
      <c r="S26" s="381"/>
      <c r="T26" s="725"/>
    </row>
    <row r="27" spans="3:20" ht="17.399999999999999" x14ac:dyDescent="0.3">
      <c r="C27" s="376"/>
      <c r="D27" s="725"/>
      <c r="E27" s="729"/>
      <c r="F27" s="376"/>
      <c r="G27" s="728" t="e">
        <f>_xlfn.XLOOKUP('MAPEO MALLA'!H34,'ASIGNACIÓN ASIGNATURAS'!$AD:$AD,'ASIGNACIÓN ASIGNATURAS'!$AG:$AG,"",0)</f>
        <v>#N/A</v>
      </c>
      <c r="H27" s="728"/>
      <c r="I27" s="728"/>
      <c r="J27" s="376"/>
      <c r="K27" s="728" t="e">
        <f>_xlfn.XLOOKUP('MAPEO MALLA'!L34,'ASIGNACIÓN ASIGNATURAS'!$AD:$AD,'ASIGNACIÓN ASIGNATURAS'!$AG:$AG,"",0)</f>
        <v>#N/A</v>
      </c>
      <c r="L27" s="728"/>
      <c r="M27" s="728"/>
      <c r="N27" s="376"/>
      <c r="O27" s="376"/>
      <c r="P27" s="699"/>
      <c r="Q27" s="381"/>
      <c r="R27" s="725"/>
      <c r="S27" s="381"/>
      <c r="T27" s="725"/>
    </row>
    <row r="28" spans="3:20" ht="18" thickBot="1" x14ac:dyDescent="0.35">
      <c r="C28" s="376"/>
      <c r="D28" s="726"/>
      <c r="E28" s="729"/>
      <c r="F28" s="376"/>
      <c r="G28" s="471" t="e">
        <f>_xlfn.XLOOKUP('MAPEO MALLA'!H34,'ASIGNACIÓN ASIGNATURAS'!$AD:$AD,'ASIGNACIÓN ASIGNATURAS'!$T:$T,"",0)</f>
        <v>#N/A</v>
      </c>
      <c r="H28" s="472" t="e">
        <f>_xlfn.XLOOKUP('MAPEO MALLA'!H34,'ASIGNACIÓN ASIGNATURAS'!$AD:$AD,'ASIGNACIÓN ASIGNATURAS'!$U:$U,"",0)</f>
        <v>#N/A</v>
      </c>
      <c r="I28" s="473" t="e">
        <f>IF(G28="",,(G28+H28)/48)</f>
        <v>#N/A</v>
      </c>
      <c r="J28" s="376"/>
      <c r="K28" s="471" t="e">
        <f>_xlfn.XLOOKUP('MAPEO MALLA'!L34,'ASIGNACIÓN ASIGNATURAS'!$AD:$AD,'ASIGNACIÓN ASIGNATURAS'!$T:$T,"",0)</f>
        <v>#N/A</v>
      </c>
      <c r="L28" s="472" t="e">
        <f>_xlfn.XLOOKUP('MAPEO MALLA'!L34,'ASIGNACIÓN ASIGNATURAS'!$AD:$AD,'ASIGNACIÓN ASIGNATURAS'!$U:$U,"",0)</f>
        <v>#N/A</v>
      </c>
      <c r="M28" s="473" t="e">
        <f>IF(K28="",,(K28+L28)/48)</f>
        <v>#N/A</v>
      </c>
      <c r="N28" s="376"/>
      <c r="O28" s="376"/>
      <c r="P28" s="699"/>
      <c r="Q28" s="381"/>
      <c r="R28" s="726"/>
      <c r="S28" s="381"/>
      <c r="T28" s="726"/>
    </row>
    <row r="29" spans="3:20" ht="18" x14ac:dyDescent="0.35">
      <c r="C29" s="376"/>
      <c r="D29" s="382"/>
      <c r="E29" s="378"/>
      <c r="F29" s="376"/>
      <c r="G29" s="376"/>
      <c r="H29" s="376"/>
      <c r="I29" s="376"/>
      <c r="J29" s="376"/>
      <c r="K29" s="376"/>
      <c r="L29" s="376"/>
      <c r="M29" s="376"/>
      <c r="N29" s="376"/>
      <c r="O29" s="376"/>
      <c r="P29" s="383"/>
      <c r="Q29" s="381"/>
      <c r="R29" s="382"/>
      <c r="S29" s="381"/>
      <c r="T29" s="384"/>
    </row>
    <row r="30" spans="3:20" ht="18" thickBot="1" x14ac:dyDescent="0.35">
      <c r="C30" s="376"/>
      <c r="D30" s="376"/>
      <c r="E30" s="376"/>
      <c r="F30" s="376"/>
      <c r="G30" s="376"/>
      <c r="H30" s="376"/>
      <c r="I30" s="376"/>
      <c r="J30" s="376"/>
      <c r="K30" s="376"/>
      <c r="L30" s="376"/>
      <c r="M30" s="376"/>
      <c r="N30" s="376"/>
      <c r="O30" s="376"/>
      <c r="P30" s="375"/>
      <c r="Q30" s="376"/>
      <c r="R30" s="375"/>
      <c r="S30" s="376"/>
      <c r="T30" s="375"/>
    </row>
    <row r="31" spans="3:20" ht="30" customHeight="1" x14ac:dyDescent="0.3">
      <c r="C31" s="376"/>
      <c r="D31" s="736" t="s">
        <v>225</v>
      </c>
      <c r="E31" s="730" t="str">
        <f>'ASIGNACIÓN ASIGNATURAS'!C40</f>
        <v>Humanidades</v>
      </c>
      <c r="F31" s="376"/>
      <c r="G31" s="727" t="e">
        <f>_xlfn.XLOOKUP('MAPEO MALLA'!H79,'ASIGNACIÓN ASIGNATURAS'!$AD:$AD,'ASIGNACIÓN ASIGNATURAS'!$O:$O,"",0)</f>
        <v>#N/A</v>
      </c>
      <c r="H31" s="727"/>
      <c r="I31" s="727"/>
      <c r="J31" s="376"/>
      <c r="K31" s="727" t="e">
        <f>_xlfn.XLOOKUP('MAPEO MALLA'!L79,'ASIGNACIÓN ASIGNATURAS'!$AD:$AD,'ASIGNACIÓN ASIGNATURAS'!$O:$O,"",0)</f>
        <v>#N/A</v>
      </c>
      <c r="L31" s="727"/>
      <c r="M31" s="727"/>
      <c r="N31" s="376"/>
      <c r="O31" s="376"/>
      <c r="P31" s="732" t="e">
        <f>+I33+M33</f>
        <v>#N/A</v>
      </c>
      <c r="Q31" s="385"/>
      <c r="R31" s="761" t="e">
        <f>+P31+P35+P39</f>
        <v>#N/A</v>
      </c>
      <c r="S31" s="385"/>
      <c r="T31" s="760" t="e">
        <f>+R31/P51</f>
        <v>#N/A</v>
      </c>
    </row>
    <row r="32" spans="3:20" ht="30" customHeight="1" x14ac:dyDescent="0.3">
      <c r="C32" s="376"/>
      <c r="D32" s="725"/>
      <c r="E32" s="731"/>
      <c r="F32" s="376"/>
      <c r="G32" s="728" t="e">
        <f>_xlfn.XLOOKUP('MAPEO MALLA'!H79,'ASIGNACIÓN ASIGNATURAS'!$AD:$AD,'ASIGNACIÓN ASIGNATURAS'!$AG:$AG,"",0)</f>
        <v>#N/A</v>
      </c>
      <c r="H32" s="728"/>
      <c r="I32" s="728"/>
      <c r="J32" s="376"/>
      <c r="K32" s="728" t="e">
        <f>_xlfn.XLOOKUP('MAPEO MALLA'!L79,'ASIGNACIÓN ASIGNATURAS'!$AD:$AD,'ASIGNACIÓN ASIGNATURAS'!$AG:$AG,"",0)</f>
        <v>#N/A</v>
      </c>
      <c r="L32" s="728"/>
      <c r="M32" s="728"/>
      <c r="N32" s="376"/>
      <c r="O32" s="376"/>
      <c r="P32" s="731"/>
      <c r="Q32" s="385"/>
      <c r="R32" s="725"/>
      <c r="S32" s="385"/>
      <c r="T32" s="725"/>
    </row>
    <row r="33" spans="3:20" ht="30" customHeight="1" x14ac:dyDescent="0.3">
      <c r="C33" s="376"/>
      <c r="D33" s="725"/>
      <c r="E33" s="731"/>
      <c r="F33" s="376"/>
      <c r="G33" s="471" t="e">
        <f>_xlfn.XLOOKUP('MAPEO MALLA'!H79,'ASIGNACIÓN ASIGNATURAS'!$AD:$AD,'ASIGNACIÓN ASIGNATURAS'!$T:$T,"",0)</f>
        <v>#N/A</v>
      </c>
      <c r="H33" s="472" t="e">
        <f>_xlfn.XLOOKUP('MAPEO MALLA'!H79,'ASIGNACIÓN ASIGNATURAS'!$AD:$AD,'ASIGNACIÓN ASIGNATURAS'!$U:$U,"",0)</f>
        <v>#N/A</v>
      </c>
      <c r="I33" s="473" t="e">
        <f>IF(G33="",,(G33+H33)/48)</f>
        <v>#N/A</v>
      </c>
      <c r="J33" s="376"/>
      <c r="K33" s="471" t="e">
        <f>_xlfn.XLOOKUP('MAPEO MALLA'!L79,'ASIGNACIÓN ASIGNATURAS'!$AD:$AD,'ASIGNACIÓN ASIGNATURAS'!$T:$T,"",0)</f>
        <v>#N/A</v>
      </c>
      <c r="L33" s="472" t="e">
        <f>_xlfn.XLOOKUP('MAPEO MALLA'!L79,'ASIGNACIÓN ASIGNATURAS'!$AD:$AD,'ASIGNACIÓN ASIGNATURAS'!$U:$U,"",0)</f>
        <v>#N/A</v>
      </c>
      <c r="M33" s="473" t="e">
        <f>IF(K33="",,(K33+L33)/48)</f>
        <v>#N/A</v>
      </c>
      <c r="N33" s="376"/>
      <c r="O33" s="376"/>
      <c r="P33" s="731"/>
      <c r="Q33" s="385"/>
      <c r="R33" s="725"/>
      <c r="S33" s="385"/>
      <c r="T33" s="725"/>
    </row>
    <row r="34" spans="3:20" ht="30" customHeight="1" x14ac:dyDescent="0.3">
      <c r="C34" s="376"/>
      <c r="D34" s="725"/>
      <c r="E34" s="380"/>
      <c r="F34" s="376"/>
      <c r="G34" s="376"/>
      <c r="H34" s="376"/>
      <c r="I34" s="376"/>
      <c r="J34" s="376"/>
      <c r="K34" s="376"/>
      <c r="L34" s="376"/>
      <c r="M34" s="376"/>
      <c r="N34" s="376"/>
      <c r="O34" s="376"/>
      <c r="P34" s="386"/>
      <c r="Q34" s="385"/>
      <c r="R34" s="725"/>
      <c r="S34" s="385"/>
      <c r="T34" s="725"/>
    </row>
    <row r="35" spans="3:20" ht="30" customHeight="1" x14ac:dyDescent="0.3">
      <c r="C35" s="376"/>
      <c r="D35" s="725"/>
      <c r="E35" s="730" t="str">
        <f>'ASIGNACIÓN ASIGNATURAS'!C41</f>
        <v>Emprendimiento</v>
      </c>
      <c r="F35" s="376"/>
      <c r="G35" s="727" t="e">
        <f>_xlfn.XLOOKUP('MAPEO MALLA'!H84,'ASIGNACIÓN ASIGNATURAS'!$AD:$AD,'ASIGNACIÓN ASIGNATURAS'!$O:$O,"",0)</f>
        <v>#N/A</v>
      </c>
      <c r="H35" s="727"/>
      <c r="I35" s="727"/>
      <c r="J35" s="376"/>
      <c r="K35" s="727" t="e">
        <f>_xlfn.XLOOKUP('MAPEO MALLA'!L84,'ASIGNACIÓN ASIGNATURAS'!$AD:$AD,'ASIGNACIÓN ASIGNATURAS'!$O:$O,"",0)</f>
        <v>#N/A</v>
      </c>
      <c r="L35" s="727"/>
      <c r="M35" s="727"/>
      <c r="N35" s="376"/>
      <c r="O35" s="376"/>
      <c r="P35" s="732" t="e">
        <f>+I37+M37</f>
        <v>#N/A</v>
      </c>
      <c r="Q35" s="376"/>
      <c r="R35" s="725"/>
      <c r="S35" s="376"/>
      <c r="T35" s="725"/>
    </row>
    <row r="36" spans="3:20" ht="30" customHeight="1" x14ac:dyDescent="0.3">
      <c r="C36" s="376"/>
      <c r="D36" s="725"/>
      <c r="E36" s="731"/>
      <c r="F36" s="376"/>
      <c r="G36" s="728" t="e">
        <f>_xlfn.XLOOKUP('MAPEO MALLA'!H84,'ASIGNACIÓN ASIGNATURAS'!$AD:$AD,'ASIGNACIÓN ASIGNATURAS'!$AG:$AG,"",0)</f>
        <v>#N/A</v>
      </c>
      <c r="H36" s="728"/>
      <c r="I36" s="728"/>
      <c r="J36" s="376"/>
      <c r="K36" s="728" t="e">
        <f>_xlfn.XLOOKUP('MAPEO MALLA'!L84,'ASIGNACIÓN ASIGNATURAS'!$AD:$AD,'ASIGNACIÓN ASIGNATURAS'!$AG:$AG,"",0)</f>
        <v>#N/A</v>
      </c>
      <c r="L36" s="728"/>
      <c r="M36" s="728"/>
      <c r="N36" s="376"/>
      <c r="O36" s="376"/>
      <c r="P36" s="731"/>
      <c r="Q36" s="376"/>
      <c r="R36" s="725"/>
      <c r="S36" s="376"/>
      <c r="T36" s="725"/>
    </row>
    <row r="37" spans="3:20" ht="30" customHeight="1" x14ac:dyDescent="0.3">
      <c r="C37" s="376"/>
      <c r="D37" s="725"/>
      <c r="E37" s="731"/>
      <c r="F37" s="376"/>
      <c r="G37" s="471" t="e">
        <f>_xlfn.XLOOKUP('MAPEO MALLA'!H84,'ASIGNACIÓN ASIGNATURAS'!$AD:$AD,'ASIGNACIÓN ASIGNATURAS'!$T:$T,"",0)</f>
        <v>#N/A</v>
      </c>
      <c r="H37" s="472" t="e">
        <f>_xlfn.XLOOKUP('MAPEO MALLA'!H84,'ASIGNACIÓN ASIGNATURAS'!$AD:$AD,'ASIGNACIÓN ASIGNATURAS'!$U:$U,"",0)</f>
        <v>#N/A</v>
      </c>
      <c r="I37" s="473" t="e">
        <f>IF(G37="",,(G37+H37)/48)</f>
        <v>#N/A</v>
      </c>
      <c r="J37" s="376"/>
      <c r="K37" s="471" t="e">
        <f>_xlfn.XLOOKUP('MAPEO MALLA'!L84,'ASIGNACIÓN ASIGNATURAS'!$AD:$AD,'ASIGNACIÓN ASIGNATURAS'!$T:$T,"",0)</f>
        <v>#N/A</v>
      </c>
      <c r="L37" s="472" t="e">
        <f>_xlfn.XLOOKUP('MAPEO MALLA'!L84,'ASIGNACIÓN ASIGNATURAS'!$AD:$AD,'ASIGNACIÓN ASIGNATURAS'!$U:$U,"",0)</f>
        <v>#N/A</v>
      </c>
      <c r="M37" s="473" t="e">
        <f>IF(K37="",,(K37+L37)/48)</f>
        <v>#N/A</v>
      </c>
      <c r="N37" s="376"/>
      <c r="O37" s="376"/>
      <c r="P37" s="731"/>
      <c r="Q37" s="376"/>
      <c r="R37" s="725"/>
      <c r="S37" s="376"/>
      <c r="T37" s="725"/>
    </row>
    <row r="38" spans="3:20" ht="30" customHeight="1" x14ac:dyDescent="0.3">
      <c r="C38" s="376"/>
      <c r="D38" s="725"/>
      <c r="E38" s="375"/>
      <c r="F38" s="376"/>
      <c r="G38" s="376"/>
      <c r="H38" s="376"/>
      <c r="I38" s="376"/>
      <c r="J38" s="376"/>
      <c r="K38" s="376"/>
      <c r="L38" s="376"/>
      <c r="M38" s="376"/>
      <c r="N38" s="376"/>
      <c r="O38" s="376"/>
      <c r="P38" s="387"/>
      <c r="Q38" s="376"/>
      <c r="R38" s="725"/>
      <c r="S38" s="376"/>
      <c r="T38" s="725"/>
    </row>
    <row r="39" spans="3:20" ht="30" customHeight="1" x14ac:dyDescent="0.3">
      <c r="C39" s="376"/>
      <c r="D39" s="725"/>
      <c r="E39" s="730" t="str">
        <f>'ASIGNACIÓN ASIGNATURAS'!C42</f>
        <v>Investigación</v>
      </c>
      <c r="F39" s="376"/>
      <c r="G39" s="727" t="e">
        <f>_xlfn.XLOOKUP('MAPEO MALLA'!H89,'ASIGNACIÓN ASIGNATURAS'!$AD:$AD,'ASIGNACIÓN ASIGNATURAS'!$O:$O,"",0)</f>
        <v>#N/A</v>
      </c>
      <c r="H39" s="727"/>
      <c r="I39" s="727"/>
      <c r="J39" s="376"/>
      <c r="K39" s="727" t="e">
        <f>_xlfn.XLOOKUP('MAPEO MALLA'!L89,'ASIGNACIÓN ASIGNATURAS'!$AD:$AD,'ASIGNACIÓN ASIGNATURAS'!$O:$O,"",0)</f>
        <v>#N/A</v>
      </c>
      <c r="L39" s="727"/>
      <c r="M39" s="727"/>
      <c r="N39" s="376"/>
      <c r="O39" s="376"/>
      <c r="P39" s="732" t="e">
        <f>+I41+M41</f>
        <v>#N/A</v>
      </c>
      <c r="Q39" s="376"/>
      <c r="R39" s="725"/>
      <c r="S39" s="376"/>
      <c r="T39" s="725"/>
    </row>
    <row r="40" spans="3:20" ht="30" customHeight="1" x14ac:dyDescent="0.3">
      <c r="C40" s="376"/>
      <c r="D40" s="725"/>
      <c r="E40" s="731"/>
      <c r="F40" s="376"/>
      <c r="G40" s="728" t="e">
        <f>_xlfn.XLOOKUP('MAPEO MALLA'!H89,'ASIGNACIÓN ASIGNATURAS'!$AD:$AD,'ASIGNACIÓN ASIGNATURAS'!$AG:$AG,"",0)</f>
        <v>#N/A</v>
      </c>
      <c r="H40" s="728"/>
      <c r="I40" s="728"/>
      <c r="J40" s="376"/>
      <c r="K40" s="728" t="e">
        <f>_xlfn.XLOOKUP('MAPEO MALLA'!L89,'ASIGNACIÓN ASIGNATURAS'!$AD:$AD,'ASIGNACIÓN ASIGNATURAS'!$AG:$AG,"",0)</f>
        <v>#N/A</v>
      </c>
      <c r="L40" s="728"/>
      <c r="M40" s="728"/>
      <c r="N40" s="376"/>
      <c r="O40" s="376"/>
      <c r="P40" s="731"/>
      <c r="Q40" s="376"/>
      <c r="R40" s="725"/>
      <c r="S40" s="376"/>
      <c r="T40" s="725"/>
    </row>
    <row r="41" spans="3:20" ht="30" customHeight="1" thickBot="1" x14ac:dyDescent="0.35">
      <c r="C41" s="376"/>
      <c r="D41" s="726"/>
      <c r="E41" s="731"/>
      <c r="F41" s="376"/>
      <c r="G41" s="471" t="e">
        <f>_xlfn.XLOOKUP('MAPEO MALLA'!H89,'ASIGNACIÓN ASIGNATURAS'!$AD:$AD,'ASIGNACIÓN ASIGNATURAS'!$T:$T,"",0)</f>
        <v>#N/A</v>
      </c>
      <c r="H41" s="472" t="e">
        <f>_xlfn.XLOOKUP('MAPEO MALLA'!H89,'ASIGNACIÓN ASIGNATURAS'!$AD:$AD,'ASIGNACIÓN ASIGNATURAS'!$U:$U,"",0)</f>
        <v>#N/A</v>
      </c>
      <c r="I41" s="473" t="e">
        <f>IF(G41="",,(G41+H41)/48)</f>
        <v>#N/A</v>
      </c>
      <c r="J41" s="376"/>
      <c r="K41" s="471" t="e">
        <f>_xlfn.XLOOKUP('MAPEO MALLA'!L89,'ASIGNACIÓN ASIGNATURAS'!$AD:$AD,'ASIGNACIÓN ASIGNATURAS'!$T:$T,"",0)</f>
        <v>#N/A</v>
      </c>
      <c r="L41" s="472" t="e">
        <f>_xlfn.XLOOKUP('MAPEO MALLA'!L89,'ASIGNACIÓN ASIGNATURAS'!$AD:$AD,'ASIGNACIÓN ASIGNATURAS'!$U:$U,"",0)</f>
        <v>#N/A</v>
      </c>
      <c r="M41" s="473" t="e">
        <f>IF(K41="",,(K41+L41)/48)</f>
        <v>#N/A</v>
      </c>
      <c r="N41" s="376"/>
      <c r="O41" s="376"/>
      <c r="P41" s="731"/>
      <c r="Q41" s="376"/>
      <c r="R41" s="726"/>
      <c r="S41" s="376"/>
      <c r="T41" s="726"/>
    </row>
    <row r="42" spans="3:20" ht="18" thickBot="1" x14ac:dyDescent="0.35">
      <c r="C42" s="376"/>
      <c r="D42" s="375"/>
      <c r="E42" s="375"/>
      <c r="F42" s="376"/>
      <c r="G42" s="376"/>
      <c r="H42" s="376"/>
      <c r="I42" s="376"/>
      <c r="J42" s="376"/>
      <c r="K42" s="376"/>
      <c r="L42" s="376"/>
      <c r="M42" s="376"/>
      <c r="N42" s="376"/>
      <c r="O42" s="376"/>
      <c r="P42" s="387"/>
      <c r="Q42" s="376"/>
      <c r="R42" s="387"/>
      <c r="S42" s="376"/>
      <c r="T42" s="375"/>
    </row>
    <row r="43" spans="3:20" ht="31.2" customHeight="1" x14ac:dyDescent="0.3">
      <c r="C43" s="376"/>
      <c r="D43" s="733" t="s">
        <v>65</v>
      </c>
      <c r="E43" s="734" t="str">
        <f>'ASIGNACIÓN ASIGNATURAS'!C43</f>
        <v>Complementaria</v>
      </c>
      <c r="F43" s="376"/>
      <c r="G43" s="727" t="e">
        <f>_xlfn.XLOOKUP('MAPEO MALLA'!H69,'ASIGNACIÓN ASIGNATURAS'!$AD:$AD,'ASIGNACIÓN ASIGNATURAS'!$O:$O,"",0)</f>
        <v>#N/A</v>
      </c>
      <c r="H43" s="727"/>
      <c r="I43" s="727"/>
      <c r="J43" s="376"/>
      <c r="K43" s="727" t="e">
        <f>_xlfn.XLOOKUP('MAPEO MALLA'!L69,'ASIGNACIÓN ASIGNATURAS'!$AD:$AD,'ASIGNACIÓN ASIGNATURAS'!$O:$O,"",0)</f>
        <v>#N/A</v>
      </c>
      <c r="L43" s="727"/>
      <c r="M43" s="727"/>
      <c r="N43" s="376"/>
      <c r="O43" s="376"/>
      <c r="P43" s="735" t="e">
        <f>+I45+M45</f>
        <v>#N/A</v>
      </c>
      <c r="Q43" s="376"/>
      <c r="R43" s="764" t="e">
        <f>+P43</f>
        <v>#N/A</v>
      </c>
      <c r="S43" s="376"/>
      <c r="T43" s="759" t="e">
        <f>+R43/P51</f>
        <v>#N/A</v>
      </c>
    </row>
    <row r="44" spans="3:20" ht="31.2" customHeight="1" x14ac:dyDescent="0.3">
      <c r="C44" s="376"/>
      <c r="D44" s="725"/>
      <c r="E44" s="731"/>
      <c r="F44" s="376"/>
      <c r="G44" s="728" t="e">
        <f>_xlfn.XLOOKUP('MAPEO MALLA'!H69,'ASIGNACIÓN ASIGNATURAS'!$AD:$AD,'ASIGNACIÓN ASIGNATURAS'!$AG:$AG,"",0)</f>
        <v>#N/A</v>
      </c>
      <c r="H44" s="728"/>
      <c r="I44" s="728"/>
      <c r="J44" s="376"/>
      <c r="K44" s="728" t="e">
        <f>_xlfn.XLOOKUP('MAPEO MALLA'!L69,'ASIGNACIÓN ASIGNATURAS'!$AD:$AD,'ASIGNACIÓN ASIGNATURAS'!$AG:$AG,"",0)</f>
        <v>#N/A</v>
      </c>
      <c r="L44" s="728"/>
      <c r="M44" s="728"/>
      <c r="N44" s="376"/>
      <c r="O44" s="376"/>
      <c r="P44" s="731"/>
      <c r="Q44" s="376"/>
      <c r="R44" s="725"/>
      <c r="S44" s="376"/>
      <c r="T44" s="725"/>
    </row>
    <row r="45" spans="3:20" ht="31.2" customHeight="1" thickBot="1" x14ac:dyDescent="0.35">
      <c r="C45" s="376"/>
      <c r="D45" s="726"/>
      <c r="E45" s="731"/>
      <c r="F45" s="376"/>
      <c r="G45" s="471" t="e">
        <f>_xlfn.XLOOKUP('MAPEO MALLA'!H69,'ASIGNACIÓN ASIGNATURAS'!$AD:$AD,'ASIGNACIÓN ASIGNATURAS'!$T:$T,"",0)</f>
        <v>#N/A</v>
      </c>
      <c r="H45" s="472" t="e">
        <f>_xlfn.XLOOKUP('MAPEO MALLA'!H69,'ASIGNACIÓN ASIGNATURAS'!$AD:$AD,'ASIGNACIÓN ASIGNATURAS'!$U:$U,"",0)</f>
        <v>#N/A</v>
      </c>
      <c r="I45" s="473" t="e">
        <f>IF(G45="",,(G45+H45)/48)</f>
        <v>#N/A</v>
      </c>
      <c r="J45" s="376"/>
      <c r="K45" s="471" t="e">
        <f>_xlfn.XLOOKUP('MAPEO MALLA'!L69,'ASIGNACIÓN ASIGNATURAS'!$AD:$AD,'ASIGNACIÓN ASIGNATURAS'!$T:$T,"",0)</f>
        <v>#N/A</v>
      </c>
      <c r="L45" s="472" t="e">
        <f>_xlfn.XLOOKUP('MAPEO MALLA'!L69,'ASIGNACIÓN ASIGNATURAS'!$AD:$AD,'ASIGNACIÓN ASIGNATURAS'!$U:$U,"",0)</f>
        <v>#N/A</v>
      </c>
      <c r="M45" s="473" t="e">
        <f>IF(K45="",,(K45+L45)/48)</f>
        <v>#N/A</v>
      </c>
      <c r="N45" s="376"/>
      <c r="O45" s="376"/>
      <c r="P45" s="731"/>
      <c r="Q45" s="376"/>
      <c r="R45" s="726"/>
      <c r="S45" s="376"/>
      <c r="T45" s="726"/>
    </row>
    <row r="46" spans="3:20" ht="18" thickBot="1" x14ac:dyDescent="0.35">
      <c r="C46" s="376"/>
      <c r="D46" s="376"/>
      <c r="E46" s="376"/>
      <c r="F46" s="376"/>
      <c r="G46" s="376"/>
      <c r="H46" s="376"/>
      <c r="I46" s="376"/>
      <c r="J46" s="376"/>
      <c r="K46" s="376"/>
      <c r="L46" s="376"/>
      <c r="M46" s="376"/>
      <c r="N46" s="376"/>
      <c r="O46" s="376"/>
      <c r="P46" s="375"/>
      <c r="Q46" s="376"/>
      <c r="R46" s="375"/>
      <c r="S46" s="376"/>
      <c r="T46" s="375"/>
    </row>
    <row r="47" spans="3:20" ht="17.399999999999999" x14ac:dyDescent="0.3">
      <c r="C47" s="376"/>
      <c r="D47" s="740" t="s">
        <v>86</v>
      </c>
      <c r="E47" s="741"/>
      <c r="F47" s="376"/>
      <c r="G47" s="388" t="s">
        <v>87</v>
      </c>
      <c r="H47" s="389" t="s">
        <v>88</v>
      </c>
      <c r="I47" s="390" t="s">
        <v>89</v>
      </c>
      <c r="J47" s="391"/>
      <c r="K47" s="388" t="s">
        <v>87</v>
      </c>
      <c r="L47" s="389" t="s">
        <v>88</v>
      </c>
      <c r="M47" s="390" t="s">
        <v>89</v>
      </c>
      <c r="N47" s="391"/>
      <c r="O47" s="376"/>
      <c r="P47" s="746" t="s">
        <v>226</v>
      </c>
      <c r="Q47" s="747"/>
      <c r="R47" s="747"/>
      <c r="S47" s="747"/>
      <c r="T47" s="748"/>
    </row>
    <row r="48" spans="3:20" ht="18" thickBot="1" x14ac:dyDescent="0.35">
      <c r="C48" s="376"/>
      <c r="D48" s="742"/>
      <c r="E48" s="743"/>
      <c r="F48" s="376"/>
      <c r="G48" s="754"/>
      <c r="H48" s="738"/>
      <c r="I48" s="738"/>
      <c r="J48" s="376"/>
      <c r="K48" s="754"/>
      <c r="L48" s="738"/>
      <c r="M48" s="738"/>
      <c r="N48" s="376"/>
      <c r="O48" s="376"/>
      <c r="P48" s="749"/>
      <c r="Q48" s="738"/>
      <c r="R48" s="738"/>
      <c r="S48" s="738"/>
      <c r="T48" s="750"/>
    </row>
    <row r="49" spans="3:20" ht="18" thickBot="1" x14ac:dyDescent="0.35">
      <c r="C49" s="376"/>
      <c r="D49" s="742"/>
      <c r="E49" s="743"/>
      <c r="F49" s="376"/>
      <c r="G49" s="755" t="e">
        <f>SUM(G12:G45)</f>
        <v>#N/A</v>
      </c>
      <c r="H49" s="755" t="e">
        <f>SUM(H12:H45)</f>
        <v>#N/A</v>
      </c>
      <c r="I49" s="756" t="e">
        <f>+(H49+G49)/48</f>
        <v>#N/A</v>
      </c>
      <c r="J49" s="385"/>
      <c r="K49" s="755" t="e">
        <f>SUM(K12:K45)</f>
        <v>#N/A</v>
      </c>
      <c r="L49" s="755" t="e">
        <f>SUM(L12:L45)</f>
        <v>#N/A</v>
      </c>
      <c r="M49" s="756" t="e">
        <f>+(L49+K49)/48</f>
        <v>#N/A</v>
      </c>
      <c r="N49" s="385"/>
      <c r="O49" s="376"/>
      <c r="P49" s="751"/>
      <c r="Q49" s="752"/>
      <c r="R49" s="752"/>
      <c r="S49" s="752"/>
      <c r="T49" s="753"/>
    </row>
    <row r="50" spans="3:20" ht="18" thickBot="1" x14ac:dyDescent="0.35">
      <c r="C50" s="376"/>
      <c r="D50" s="742"/>
      <c r="E50" s="743"/>
      <c r="F50" s="376"/>
      <c r="G50" s="725"/>
      <c r="H50" s="725"/>
      <c r="I50" s="725"/>
      <c r="J50" s="385"/>
      <c r="K50" s="725"/>
      <c r="L50" s="725"/>
      <c r="M50" s="725"/>
      <c r="N50" s="385"/>
      <c r="O50" s="376"/>
      <c r="P50" s="392"/>
      <c r="Q50" s="392"/>
      <c r="R50" s="392"/>
      <c r="S50" s="392"/>
      <c r="T50" s="392"/>
    </row>
    <row r="51" spans="3:20" ht="17.399999999999999" x14ac:dyDescent="0.3">
      <c r="C51" s="376"/>
      <c r="D51" s="742"/>
      <c r="E51" s="743"/>
      <c r="F51" s="376"/>
      <c r="G51" s="725"/>
      <c r="H51" s="725"/>
      <c r="I51" s="725"/>
      <c r="J51" s="385"/>
      <c r="K51" s="725"/>
      <c r="L51" s="725"/>
      <c r="M51" s="725"/>
      <c r="N51" s="385"/>
      <c r="O51" s="376"/>
      <c r="P51" s="757" t="e">
        <f>+R43+R31+R10</f>
        <v>#N/A</v>
      </c>
      <c r="Q51" s="747"/>
      <c r="R51" s="747"/>
      <c r="S51" s="747"/>
      <c r="T51" s="748"/>
    </row>
    <row r="52" spans="3:20" ht="17.399999999999999" x14ac:dyDescent="0.3">
      <c r="C52" s="376"/>
      <c r="D52" s="742"/>
      <c r="E52" s="743"/>
      <c r="F52" s="376"/>
      <c r="G52" s="725"/>
      <c r="H52" s="725"/>
      <c r="I52" s="725"/>
      <c r="J52" s="385"/>
      <c r="K52" s="725"/>
      <c r="L52" s="725"/>
      <c r="M52" s="725"/>
      <c r="N52" s="385"/>
      <c r="O52" s="376"/>
      <c r="P52" s="749"/>
      <c r="Q52" s="738"/>
      <c r="R52" s="738"/>
      <c r="S52" s="738"/>
      <c r="T52" s="750"/>
    </row>
    <row r="53" spans="3:20" ht="18" thickBot="1" x14ac:dyDescent="0.35">
      <c r="C53" s="376"/>
      <c r="D53" s="744"/>
      <c r="E53" s="745"/>
      <c r="F53" s="376"/>
      <c r="G53" s="726"/>
      <c r="H53" s="726"/>
      <c r="I53" s="726"/>
      <c r="J53" s="385"/>
      <c r="K53" s="726"/>
      <c r="L53" s="726"/>
      <c r="M53" s="726"/>
      <c r="N53" s="385"/>
      <c r="O53" s="376"/>
      <c r="P53" s="751"/>
      <c r="Q53" s="752"/>
      <c r="R53" s="752"/>
      <c r="S53" s="752"/>
      <c r="T53" s="753"/>
    </row>
    <row r="54" spans="3:20" ht="17.399999999999999" x14ac:dyDescent="0.3">
      <c r="C54" s="376"/>
      <c r="D54" s="376"/>
      <c r="E54" s="376"/>
      <c r="F54" s="376"/>
      <c r="G54" s="376"/>
      <c r="H54" s="376"/>
      <c r="I54" s="376"/>
      <c r="J54" s="376"/>
      <c r="K54" s="376"/>
      <c r="L54" s="376"/>
      <c r="M54" s="376"/>
      <c r="N54" s="376"/>
      <c r="O54" s="376"/>
      <c r="P54" s="376"/>
      <c r="Q54" s="758"/>
      <c r="R54" s="731"/>
      <c r="S54" s="376"/>
      <c r="T54" s="376"/>
    </row>
    <row r="55" spans="3:20" ht="17.399999999999999" x14ac:dyDescent="0.3">
      <c r="C55" s="375"/>
      <c r="D55" s="375"/>
      <c r="E55" s="375"/>
      <c r="F55" s="375"/>
      <c r="G55" s="393"/>
      <c r="H55" s="393"/>
      <c r="I55" s="393"/>
      <c r="J55" s="393"/>
      <c r="K55" s="393"/>
      <c r="L55" s="393"/>
      <c r="M55" s="393"/>
      <c r="N55" s="393"/>
      <c r="O55" s="393"/>
      <c r="P55" s="393"/>
      <c r="Q55" s="393"/>
      <c r="R55" s="393"/>
      <c r="S55" s="393"/>
      <c r="T55" s="393"/>
    </row>
    <row r="56" spans="3:20" ht="17.399999999999999" x14ac:dyDescent="0.3">
      <c r="C56" s="375"/>
      <c r="D56" s="737"/>
      <c r="E56" s="738"/>
      <c r="F56" s="738"/>
      <c r="G56" s="738"/>
      <c r="H56" s="738"/>
      <c r="I56" s="738"/>
      <c r="J56" s="738"/>
      <c r="K56" s="738"/>
      <c r="L56" s="738"/>
      <c r="M56" s="738"/>
      <c r="N56" s="738"/>
      <c r="O56" s="738"/>
      <c r="P56" s="738"/>
      <c r="Q56" s="738"/>
      <c r="R56" s="738"/>
      <c r="S56" s="738"/>
      <c r="T56" s="738"/>
    </row>
    <row r="57" spans="3:20" ht="17.399999999999999" x14ac:dyDescent="0.3">
      <c r="C57" s="375"/>
      <c r="D57" s="737"/>
      <c r="E57" s="738"/>
      <c r="F57" s="738"/>
      <c r="G57" s="738"/>
      <c r="H57" s="738"/>
      <c r="I57" s="738"/>
      <c r="J57" s="738"/>
      <c r="K57" s="738"/>
      <c r="L57" s="738"/>
      <c r="M57" s="738"/>
      <c r="N57" s="738"/>
      <c r="O57" s="738"/>
      <c r="P57" s="738"/>
      <c r="Q57" s="738"/>
      <c r="R57" s="738"/>
      <c r="S57" s="738"/>
      <c r="T57" s="738"/>
    </row>
    <row r="58" spans="3:20" ht="17.399999999999999" x14ac:dyDescent="0.3">
      <c r="C58" s="375"/>
      <c r="D58" s="737"/>
      <c r="E58" s="738"/>
      <c r="F58" s="738"/>
      <c r="G58" s="738"/>
      <c r="H58" s="738"/>
      <c r="I58" s="738"/>
      <c r="J58" s="738"/>
      <c r="K58" s="738"/>
      <c r="L58" s="738"/>
      <c r="M58" s="738"/>
      <c r="N58" s="738"/>
      <c r="O58" s="738"/>
      <c r="P58" s="738"/>
      <c r="Q58" s="738"/>
      <c r="R58" s="738"/>
      <c r="S58" s="738"/>
      <c r="T58" s="738"/>
    </row>
    <row r="59" spans="3:20" ht="17.399999999999999" x14ac:dyDescent="0.3"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5"/>
      <c r="R59" s="375"/>
      <c r="S59" s="375"/>
      <c r="T59" s="375"/>
    </row>
    <row r="60" spans="3:20" ht="17.399999999999999" x14ac:dyDescent="0.3">
      <c r="C60" s="375"/>
      <c r="D60" s="375"/>
      <c r="E60" s="375"/>
      <c r="F60" s="375"/>
      <c r="G60" s="375"/>
      <c r="H60" s="375"/>
      <c r="I60" s="375"/>
      <c r="J60" s="375"/>
      <c r="K60" s="375"/>
      <c r="L60" s="375"/>
      <c r="M60" s="375"/>
      <c r="N60" s="375"/>
      <c r="O60" s="375"/>
      <c r="P60" s="375"/>
      <c r="Q60" s="375"/>
      <c r="R60" s="375"/>
      <c r="S60" s="375"/>
      <c r="T60" s="375"/>
    </row>
    <row r="61" spans="3:20" ht="17.399999999999999" x14ac:dyDescent="0.3">
      <c r="C61" s="375"/>
      <c r="D61" s="375"/>
      <c r="E61" s="375"/>
      <c r="F61" s="375"/>
      <c r="G61" s="375"/>
      <c r="H61" s="375"/>
      <c r="I61" s="375"/>
      <c r="J61" s="375"/>
      <c r="K61" s="375"/>
      <c r="L61" s="375"/>
      <c r="M61" s="375"/>
      <c r="N61" s="375"/>
      <c r="O61" s="375"/>
      <c r="P61" s="375"/>
      <c r="Q61" s="375"/>
      <c r="R61" s="375"/>
      <c r="S61" s="375"/>
      <c r="T61" s="375"/>
    </row>
    <row r="62" spans="3:20" ht="17.399999999999999" x14ac:dyDescent="0.3"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375"/>
      <c r="Q62" s="375"/>
      <c r="R62" s="375"/>
      <c r="S62" s="375"/>
      <c r="T62" s="375"/>
    </row>
    <row r="63" spans="3:20" ht="17.399999999999999" x14ac:dyDescent="0.3">
      <c r="C63" s="375"/>
      <c r="D63" s="375"/>
      <c r="E63" s="375"/>
      <c r="F63" s="375"/>
      <c r="G63" s="375"/>
      <c r="H63" s="375"/>
      <c r="I63" s="375"/>
      <c r="J63" s="375"/>
      <c r="K63" s="375"/>
      <c r="L63" s="375"/>
      <c r="M63" s="375"/>
      <c r="N63" s="375"/>
      <c r="O63" s="375"/>
      <c r="P63" s="375"/>
      <c r="Q63" s="375"/>
      <c r="R63" s="375"/>
      <c r="S63" s="375"/>
      <c r="T63" s="375"/>
    </row>
    <row r="64" spans="3:20" ht="18" x14ac:dyDescent="0.35">
      <c r="C64" s="375"/>
      <c r="D64" s="739"/>
      <c r="E64" s="738"/>
      <c r="F64" s="375"/>
      <c r="G64" s="375"/>
      <c r="H64" s="375"/>
      <c r="I64" s="375"/>
      <c r="J64" s="375"/>
      <c r="K64" s="375"/>
      <c r="L64" s="375"/>
      <c r="M64" s="375"/>
      <c r="N64" s="375"/>
      <c r="O64" s="375"/>
      <c r="P64" s="375"/>
      <c r="Q64" s="375"/>
      <c r="R64" s="375"/>
      <c r="S64" s="375"/>
      <c r="T64" s="375"/>
    </row>
    <row r="65" spans="3:20" ht="17.399999999999999" x14ac:dyDescent="0.3">
      <c r="C65" s="375"/>
      <c r="D65" s="375"/>
      <c r="E65" s="375"/>
      <c r="F65" s="375"/>
      <c r="G65" s="375"/>
      <c r="H65" s="375"/>
      <c r="I65" s="375"/>
      <c r="J65" s="375"/>
      <c r="K65" s="375"/>
      <c r="L65" s="375"/>
      <c r="M65" s="375"/>
      <c r="N65" s="375"/>
      <c r="O65" s="375"/>
      <c r="P65" s="375"/>
      <c r="Q65" s="375"/>
      <c r="R65" s="375"/>
      <c r="S65" s="375"/>
      <c r="T65" s="375"/>
    </row>
    <row r="66" spans="3:20" ht="17.399999999999999" x14ac:dyDescent="0.3">
      <c r="C66" s="375"/>
      <c r="D66" s="375"/>
      <c r="E66" s="375"/>
      <c r="F66" s="375"/>
      <c r="G66" s="375"/>
      <c r="H66" s="375"/>
      <c r="I66" s="375"/>
      <c r="J66" s="375"/>
      <c r="K66" s="375"/>
      <c r="L66" s="375"/>
      <c r="M66" s="375"/>
      <c r="N66" s="375"/>
      <c r="O66" s="375"/>
      <c r="P66" s="375"/>
      <c r="Q66" s="375"/>
      <c r="R66" s="375"/>
      <c r="S66" s="375"/>
      <c r="T66" s="375"/>
    </row>
    <row r="67" spans="3:20" ht="17.399999999999999" x14ac:dyDescent="0.3">
      <c r="C67" s="375"/>
      <c r="D67" s="375"/>
      <c r="E67" s="375"/>
      <c r="F67" s="375"/>
      <c r="G67" s="375"/>
      <c r="H67" s="375"/>
      <c r="I67" s="375"/>
      <c r="J67" s="375"/>
      <c r="K67" s="375"/>
      <c r="L67" s="375"/>
      <c r="M67" s="375"/>
      <c r="N67" s="375"/>
      <c r="O67" s="375"/>
      <c r="P67" s="375"/>
      <c r="Q67" s="375"/>
      <c r="R67" s="375"/>
      <c r="S67" s="375"/>
      <c r="T67" s="375"/>
    </row>
    <row r="68" spans="3:20" ht="17.399999999999999" x14ac:dyDescent="0.3">
      <c r="C68" s="375"/>
      <c r="D68" s="375"/>
      <c r="E68" s="375"/>
      <c r="F68" s="375"/>
      <c r="G68" s="375"/>
      <c r="H68" s="375"/>
      <c r="I68" s="375"/>
      <c r="J68" s="375"/>
      <c r="K68" s="375"/>
      <c r="L68" s="375"/>
      <c r="M68" s="375"/>
      <c r="N68" s="375"/>
      <c r="O68" s="375"/>
      <c r="P68" s="375"/>
      <c r="Q68" s="375"/>
      <c r="R68" s="375"/>
      <c r="S68" s="375"/>
      <c r="T68" s="375"/>
    </row>
    <row r="69" spans="3:20" ht="17.399999999999999" x14ac:dyDescent="0.3">
      <c r="C69" s="375"/>
      <c r="D69" s="375"/>
      <c r="E69" s="375"/>
      <c r="F69" s="375"/>
      <c r="G69" s="375"/>
      <c r="H69" s="375"/>
      <c r="I69" s="375"/>
      <c r="J69" s="375"/>
      <c r="K69" s="375"/>
      <c r="L69" s="375"/>
      <c r="M69" s="375"/>
      <c r="N69" s="375"/>
      <c r="O69" s="375"/>
      <c r="P69" s="375"/>
      <c r="Q69" s="375"/>
      <c r="R69" s="375"/>
      <c r="S69" s="375"/>
      <c r="T69" s="375"/>
    </row>
    <row r="70" spans="3:20" ht="17.399999999999999" x14ac:dyDescent="0.3">
      <c r="C70" s="375"/>
      <c r="D70" s="375"/>
      <c r="E70" s="375"/>
      <c r="F70" s="375"/>
      <c r="G70" s="375"/>
      <c r="H70" s="375"/>
      <c r="I70" s="375"/>
      <c r="J70" s="375"/>
      <c r="K70" s="375"/>
      <c r="L70" s="375"/>
      <c r="M70" s="375"/>
      <c r="N70" s="375"/>
      <c r="O70" s="375"/>
      <c r="P70" s="375"/>
      <c r="Q70" s="375"/>
      <c r="R70" s="375"/>
      <c r="S70" s="375"/>
      <c r="T70" s="375"/>
    </row>
    <row r="71" spans="3:20" ht="17.399999999999999" x14ac:dyDescent="0.3">
      <c r="C71" s="375"/>
      <c r="D71" s="375"/>
      <c r="E71" s="375"/>
      <c r="F71" s="375"/>
      <c r="G71" s="375"/>
      <c r="H71" s="375"/>
      <c r="I71" s="375"/>
      <c r="J71" s="375"/>
      <c r="K71" s="375"/>
      <c r="L71" s="375"/>
      <c r="M71" s="375"/>
      <c r="N71" s="375"/>
      <c r="O71" s="375"/>
      <c r="P71" s="375"/>
      <c r="Q71" s="375"/>
      <c r="R71" s="375"/>
      <c r="S71" s="375"/>
      <c r="T71" s="375"/>
    </row>
    <row r="72" spans="3:20" ht="17.399999999999999" x14ac:dyDescent="0.3"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5"/>
      <c r="R72" s="375"/>
      <c r="S72" s="375"/>
      <c r="T72" s="375"/>
    </row>
    <row r="73" spans="3:20" ht="17.399999999999999" x14ac:dyDescent="0.3">
      <c r="C73" s="375"/>
      <c r="D73" s="375"/>
      <c r="E73" s="375"/>
      <c r="F73" s="375"/>
      <c r="G73" s="375"/>
      <c r="H73" s="375"/>
      <c r="I73" s="375"/>
      <c r="J73" s="375"/>
      <c r="K73" s="375"/>
      <c r="L73" s="375"/>
      <c r="M73" s="375"/>
      <c r="N73" s="375"/>
      <c r="O73" s="375"/>
      <c r="P73" s="375"/>
      <c r="Q73" s="375"/>
      <c r="R73" s="375"/>
      <c r="S73" s="375"/>
      <c r="T73" s="375"/>
    </row>
    <row r="74" spans="3:20" ht="17.399999999999999" x14ac:dyDescent="0.3"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</row>
    <row r="75" spans="3:20" ht="17.399999999999999" x14ac:dyDescent="0.3">
      <c r="C75" s="375"/>
      <c r="D75" s="375"/>
      <c r="E75" s="375"/>
      <c r="F75" s="375"/>
      <c r="G75" s="375"/>
      <c r="H75" s="375"/>
      <c r="I75" s="375"/>
      <c r="J75" s="375"/>
      <c r="K75" s="375"/>
      <c r="L75" s="375"/>
      <c r="M75" s="375"/>
      <c r="N75" s="375"/>
      <c r="O75" s="375"/>
      <c r="P75" s="375"/>
      <c r="Q75" s="375"/>
      <c r="R75" s="375"/>
      <c r="S75" s="375"/>
      <c r="T75" s="375"/>
    </row>
    <row r="76" spans="3:20" ht="17.399999999999999" x14ac:dyDescent="0.3">
      <c r="C76" s="375"/>
      <c r="D76" s="375"/>
      <c r="E76" s="375"/>
      <c r="F76" s="375"/>
      <c r="G76" s="375"/>
      <c r="H76" s="375"/>
      <c r="I76" s="375"/>
      <c r="J76" s="375"/>
      <c r="K76" s="375"/>
      <c r="L76" s="375"/>
      <c r="M76" s="375"/>
      <c r="N76" s="375"/>
      <c r="O76" s="375"/>
      <c r="P76" s="375"/>
      <c r="Q76" s="375"/>
      <c r="R76" s="375"/>
      <c r="S76" s="375"/>
      <c r="T76" s="375"/>
    </row>
    <row r="77" spans="3:20" ht="17.399999999999999" x14ac:dyDescent="0.3">
      <c r="C77" s="375"/>
      <c r="D77" s="375"/>
      <c r="E77" s="375"/>
      <c r="F77" s="375"/>
      <c r="G77" s="375"/>
      <c r="H77" s="375"/>
      <c r="I77" s="375"/>
      <c r="J77" s="375"/>
      <c r="K77" s="375"/>
      <c r="L77" s="375"/>
      <c r="M77" s="375"/>
      <c r="N77" s="375"/>
      <c r="O77" s="375"/>
      <c r="P77" s="375"/>
      <c r="Q77" s="375"/>
      <c r="R77" s="375"/>
      <c r="S77" s="375"/>
      <c r="T77" s="375"/>
    </row>
    <row r="78" spans="3:20" ht="17.399999999999999" x14ac:dyDescent="0.3">
      <c r="C78" s="375"/>
      <c r="D78" s="375"/>
      <c r="E78" s="375"/>
      <c r="F78" s="375"/>
      <c r="G78" s="375"/>
      <c r="H78" s="375"/>
      <c r="I78" s="375"/>
      <c r="J78" s="375"/>
      <c r="K78" s="375"/>
      <c r="L78" s="375"/>
      <c r="M78" s="375"/>
      <c r="N78" s="375"/>
      <c r="O78" s="375"/>
      <c r="P78" s="375"/>
      <c r="Q78" s="375"/>
      <c r="R78" s="375"/>
      <c r="S78" s="375"/>
      <c r="T78" s="375"/>
    </row>
    <row r="79" spans="3:20" ht="17.399999999999999" x14ac:dyDescent="0.3">
      <c r="C79" s="375"/>
      <c r="D79" s="375"/>
      <c r="E79" s="375"/>
      <c r="F79" s="375"/>
      <c r="G79" s="375"/>
      <c r="H79" s="375"/>
      <c r="I79" s="375"/>
      <c r="J79" s="375"/>
      <c r="K79" s="375"/>
      <c r="L79" s="375"/>
      <c r="M79" s="375"/>
      <c r="N79" s="375"/>
      <c r="O79" s="375"/>
      <c r="P79" s="375"/>
      <c r="Q79" s="375"/>
      <c r="R79" s="375"/>
      <c r="S79" s="375"/>
      <c r="T79" s="375"/>
    </row>
    <row r="80" spans="3:20" ht="17.399999999999999" x14ac:dyDescent="0.3">
      <c r="C80" s="375"/>
      <c r="D80" s="375"/>
      <c r="E80" s="375"/>
      <c r="F80" s="375"/>
      <c r="G80" s="375"/>
      <c r="H80" s="375"/>
      <c r="I80" s="375"/>
      <c r="J80" s="375"/>
      <c r="K80" s="375"/>
      <c r="L80" s="375"/>
      <c r="M80" s="375"/>
      <c r="N80" s="375"/>
      <c r="O80" s="375"/>
      <c r="P80" s="375"/>
      <c r="Q80" s="375"/>
      <c r="R80" s="375"/>
      <c r="S80" s="375"/>
      <c r="T80" s="375"/>
    </row>
    <row r="81" spans="3:20" ht="17.399999999999999" x14ac:dyDescent="0.3">
      <c r="C81" s="375"/>
      <c r="D81" s="375"/>
      <c r="E81" s="375"/>
      <c r="F81" s="375"/>
      <c r="G81" s="375"/>
      <c r="H81" s="375"/>
      <c r="I81" s="375"/>
      <c r="J81" s="375"/>
      <c r="K81" s="375"/>
      <c r="L81" s="375"/>
      <c r="M81" s="375"/>
      <c r="N81" s="375"/>
      <c r="O81" s="375"/>
      <c r="P81" s="375"/>
      <c r="Q81" s="375"/>
      <c r="R81" s="375"/>
      <c r="S81" s="375"/>
      <c r="T81" s="375"/>
    </row>
    <row r="82" spans="3:20" ht="17.399999999999999" x14ac:dyDescent="0.3">
      <c r="C82" s="375"/>
      <c r="D82" s="375"/>
      <c r="E82" s="375"/>
      <c r="F82" s="375"/>
      <c r="G82" s="375"/>
      <c r="H82" s="375"/>
      <c r="I82" s="375"/>
      <c r="J82" s="375"/>
      <c r="K82" s="375"/>
      <c r="L82" s="375"/>
      <c r="M82" s="375"/>
      <c r="N82" s="375"/>
      <c r="O82" s="375"/>
      <c r="P82" s="375"/>
      <c r="Q82" s="375"/>
      <c r="R82" s="375"/>
      <c r="S82" s="375"/>
      <c r="T82" s="375"/>
    </row>
    <row r="83" spans="3:20" ht="17.399999999999999" x14ac:dyDescent="0.3">
      <c r="C83" s="375"/>
      <c r="D83" s="375"/>
      <c r="E83" s="375"/>
      <c r="F83" s="375"/>
      <c r="G83" s="375"/>
      <c r="H83" s="375"/>
      <c r="I83" s="375"/>
      <c r="J83" s="375"/>
      <c r="K83" s="375"/>
      <c r="L83" s="375"/>
      <c r="M83" s="375"/>
      <c r="N83" s="375"/>
      <c r="O83" s="375"/>
      <c r="P83" s="375"/>
      <c r="Q83" s="375"/>
      <c r="R83" s="375"/>
      <c r="S83" s="375"/>
      <c r="T83" s="375"/>
    </row>
    <row r="84" spans="3:20" ht="17.399999999999999" x14ac:dyDescent="0.3">
      <c r="C84" s="375"/>
      <c r="D84" s="375"/>
      <c r="E84" s="375"/>
      <c r="F84" s="375"/>
      <c r="G84" s="375"/>
      <c r="H84" s="375"/>
      <c r="I84" s="375"/>
      <c r="J84" s="375"/>
      <c r="K84" s="375"/>
      <c r="L84" s="375"/>
      <c r="M84" s="375"/>
      <c r="N84" s="375"/>
      <c r="O84" s="375"/>
      <c r="P84" s="375"/>
      <c r="Q84" s="375"/>
      <c r="R84" s="375"/>
      <c r="S84" s="375"/>
      <c r="T84" s="375"/>
    </row>
    <row r="85" spans="3:20" ht="17.399999999999999" x14ac:dyDescent="0.3">
      <c r="C85" s="375"/>
      <c r="D85" s="375"/>
      <c r="E85" s="375"/>
      <c r="F85" s="375"/>
      <c r="G85" s="375"/>
      <c r="H85" s="375"/>
      <c r="I85" s="375"/>
      <c r="J85" s="375"/>
      <c r="K85" s="375"/>
      <c r="L85" s="375"/>
      <c r="M85" s="375"/>
      <c r="N85" s="375"/>
      <c r="O85" s="375"/>
      <c r="P85" s="375"/>
      <c r="Q85" s="375"/>
      <c r="R85" s="375"/>
      <c r="S85" s="375"/>
      <c r="T85" s="375"/>
    </row>
    <row r="86" spans="3:20" ht="17.399999999999999" x14ac:dyDescent="0.3">
      <c r="C86" s="375"/>
      <c r="D86" s="375"/>
      <c r="E86" s="375"/>
      <c r="F86" s="375"/>
      <c r="G86" s="375"/>
      <c r="H86" s="375"/>
      <c r="I86" s="375"/>
      <c r="J86" s="375"/>
      <c r="K86" s="375"/>
      <c r="L86" s="375"/>
      <c r="M86" s="375"/>
      <c r="N86" s="375"/>
      <c r="O86" s="375"/>
      <c r="P86" s="375"/>
      <c r="Q86" s="375"/>
      <c r="R86" s="375"/>
      <c r="S86" s="375"/>
      <c r="T86" s="375"/>
    </row>
    <row r="87" spans="3:20" ht="17.399999999999999" x14ac:dyDescent="0.3">
      <c r="C87" s="375"/>
      <c r="D87" s="375"/>
      <c r="E87" s="375"/>
      <c r="F87" s="375"/>
      <c r="G87" s="375"/>
      <c r="H87" s="375"/>
      <c r="I87" s="375"/>
      <c r="J87" s="375"/>
      <c r="K87" s="375"/>
      <c r="L87" s="375"/>
      <c r="M87" s="375"/>
      <c r="N87" s="375"/>
      <c r="O87" s="375"/>
      <c r="P87" s="375"/>
      <c r="Q87" s="375"/>
      <c r="R87" s="375"/>
      <c r="S87" s="375"/>
      <c r="T87" s="375"/>
    </row>
    <row r="88" spans="3:20" ht="17.399999999999999" x14ac:dyDescent="0.3">
      <c r="C88" s="375"/>
      <c r="D88" s="375"/>
      <c r="E88" s="375"/>
      <c r="F88" s="375"/>
      <c r="G88" s="375"/>
      <c r="H88" s="375"/>
      <c r="I88" s="375"/>
      <c r="J88" s="375"/>
      <c r="K88" s="375"/>
      <c r="L88" s="375"/>
      <c r="M88" s="375"/>
      <c r="N88" s="375"/>
      <c r="O88" s="375"/>
      <c r="P88" s="375"/>
      <c r="Q88" s="375"/>
      <c r="R88" s="375"/>
      <c r="S88" s="375"/>
      <c r="T88" s="375"/>
    </row>
    <row r="89" spans="3:20" ht="17.399999999999999" x14ac:dyDescent="0.3">
      <c r="C89" s="375"/>
      <c r="D89" s="375"/>
      <c r="E89" s="375"/>
      <c r="F89" s="375"/>
      <c r="G89" s="375"/>
      <c r="H89" s="375"/>
      <c r="I89" s="375"/>
      <c r="J89" s="375"/>
      <c r="K89" s="375"/>
      <c r="L89" s="375"/>
      <c r="M89" s="375"/>
      <c r="N89" s="375"/>
      <c r="O89" s="375"/>
      <c r="P89" s="375"/>
      <c r="Q89" s="375"/>
      <c r="R89" s="375"/>
      <c r="S89" s="375"/>
      <c r="T89" s="375"/>
    </row>
    <row r="90" spans="3:20" ht="17.399999999999999" x14ac:dyDescent="0.3">
      <c r="C90" s="375"/>
      <c r="D90" s="375"/>
      <c r="E90" s="375"/>
      <c r="F90" s="375"/>
      <c r="G90" s="375"/>
      <c r="H90" s="375"/>
      <c r="I90" s="375"/>
      <c r="J90" s="375"/>
      <c r="K90" s="375"/>
      <c r="L90" s="375"/>
      <c r="M90" s="375"/>
      <c r="N90" s="375"/>
      <c r="O90" s="375"/>
      <c r="P90" s="375"/>
      <c r="Q90" s="375"/>
      <c r="R90" s="375"/>
      <c r="S90" s="375"/>
      <c r="T90" s="375"/>
    </row>
    <row r="91" spans="3:20" ht="17.399999999999999" x14ac:dyDescent="0.3">
      <c r="C91" s="375"/>
      <c r="D91" s="375"/>
      <c r="E91" s="375"/>
      <c r="F91" s="375"/>
      <c r="G91" s="375"/>
      <c r="H91" s="375"/>
      <c r="I91" s="375"/>
      <c r="J91" s="375"/>
      <c r="K91" s="375"/>
      <c r="L91" s="375"/>
      <c r="M91" s="375"/>
      <c r="N91" s="375"/>
      <c r="O91" s="375"/>
      <c r="P91" s="375"/>
      <c r="Q91" s="375"/>
      <c r="R91" s="375"/>
      <c r="S91" s="375"/>
      <c r="T91" s="375"/>
    </row>
    <row r="92" spans="3:20" ht="17.399999999999999" x14ac:dyDescent="0.3">
      <c r="C92" s="375"/>
      <c r="D92" s="375"/>
      <c r="E92" s="375"/>
      <c r="F92" s="375"/>
      <c r="G92" s="375"/>
      <c r="H92" s="375"/>
      <c r="I92" s="375"/>
      <c r="J92" s="375"/>
      <c r="K92" s="375"/>
      <c r="L92" s="375"/>
      <c r="M92" s="375"/>
      <c r="N92" s="375"/>
      <c r="O92" s="375"/>
      <c r="P92" s="375"/>
      <c r="Q92" s="375"/>
      <c r="R92" s="375"/>
      <c r="S92" s="375"/>
      <c r="T92" s="375"/>
    </row>
    <row r="93" spans="3:20" ht="17.399999999999999" x14ac:dyDescent="0.3">
      <c r="C93" s="375"/>
      <c r="D93" s="375"/>
      <c r="E93" s="375"/>
      <c r="F93" s="375"/>
      <c r="G93" s="375"/>
      <c r="H93" s="375"/>
      <c r="I93" s="375"/>
      <c r="J93" s="375"/>
      <c r="K93" s="375"/>
      <c r="L93" s="375"/>
      <c r="M93" s="375"/>
      <c r="N93" s="375"/>
      <c r="O93" s="375"/>
      <c r="P93" s="375"/>
      <c r="Q93" s="375"/>
      <c r="R93" s="375"/>
      <c r="S93" s="375"/>
      <c r="T93" s="375"/>
    </row>
    <row r="94" spans="3:20" ht="17.399999999999999" x14ac:dyDescent="0.3"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</row>
    <row r="95" spans="3:20" ht="17.399999999999999" x14ac:dyDescent="0.3"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</row>
    <row r="96" spans="3:20" ht="17.399999999999999" x14ac:dyDescent="0.3">
      <c r="C96" s="375"/>
      <c r="D96" s="375"/>
      <c r="E96" s="375"/>
      <c r="F96" s="375"/>
      <c r="G96" s="375"/>
      <c r="H96" s="375"/>
      <c r="I96" s="375"/>
      <c r="J96" s="375"/>
      <c r="K96" s="375"/>
      <c r="L96" s="375"/>
      <c r="M96" s="375"/>
      <c r="N96" s="375"/>
      <c r="O96" s="375"/>
      <c r="P96" s="375"/>
      <c r="Q96" s="375"/>
      <c r="R96" s="375"/>
      <c r="S96" s="375"/>
      <c r="T96" s="375"/>
    </row>
    <row r="97" spans="3:20" ht="17.399999999999999" x14ac:dyDescent="0.3">
      <c r="C97" s="375"/>
      <c r="D97" s="375"/>
      <c r="E97" s="375"/>
      <c r="F97" s="375"/>
      <c r="G97" s="375"/>
      <c r="H97" s="375"/>
      <c r="I97" s="375"/>
      <c r="J97" s="375"/>
      <c r="K97" s="375"/>
      <c r="L97" s="375"/>
      <c r="M97" s="375"/>
      <c r="N97" s="375"/>
      <c r="O97" s="375"/>
      <c r="P97" s="375"/>
      <c r="Q97" s="375"/>
      <c r="R97" s="375"/>
      <c r="S97" s="375"/>
      <c r="T97" s="375"/>
    </row>
    <row r="98" spans="3:20" ht="17.399999999999999" x14ac:dyDescent="0.3">
      <c r="C98" s="375"/>
      <c r="D98" s="375"/>
      <c r="E98" s="375"/>
      <c r="F98" s="375"/>
      <c r="G98" s="375"/>
      <c r="H98" s="375"/>
      <c r="I98" s="375"/>
      <c r="J98" s="375"/>
      <c r="K98" s="375"/>
      <c r="L98" s="375"/>
      <c r="M98" s="375"/>
      <c r="N98" s="375"/>
      <c r="O98" s="375"/>
      <c r="P98" s="375"/>
      <c r="Q98" s="375"/>
      <c r="R98" s="375"/>
      <c r="S98" s="375"/>
      <c r="T98" s="375"/>
    </row>
    <row r="99" spans="3:20" ht="17.399999999999999" x14ac:dyDescent="0.3">
      <c r="C99" s="375"/>
      <c r="D99" s="375"/>
      <c r="E99" s="375"/>
      <c r="F99" s="375"/>
      <c r="G99" s="375"/>
      <c r="H99" s="375"/>
      <c r="I99" s="375"/>
      <c r="J99" s="375"/>
      <c r="K99" s="375"/>
      <c r="L99" s="375"/>
      <c r="M99" s="375"/>
      <c r="N99" s="375"/>
      <c r="O99" s="375"/>
      <c r="P99" s="375"/>
      <c r="Q99" s="375"/>
      <c r="R99" s="375"/>
      <c r="S99" s="375"/>
      <c r="T99" s="375"/>
    </row>
    <row r="100" spans="3:20" ht="17.399999999999999" x14ac:dyDescent="0.3">
      <c r="C100" s="375"/>
      <c r="D100" s="375"/>
      <c r="E100" s="375"/>
      <c r="F100" s="375"/>
      <c r="G100" s="375"/>
      <c r="H100" s="375"/>
      <c r="I100" s="375"/>
      <c r="J100" s="375"/>
      <c r="K100" s="375"/>
      <c r="L100" s="375"/>
      <c r="M100" s="375"/>
      <c r="N100" s="375"/>
      <c r="O100" s="375"/>
      <c r="P100" s="375"/>
      <c r="Q100" s="375"/>
      <c r="R100" s="375"/>
      <c r="S100" s="375"/>
      <c r="T100" s="375"/>
    </row>
    <row r="101" spans="3:20" ht="17.399999999999999" x14ac:dyDescent="0.3">
      <c r="C101" s="375"/>
      <c r="D101" s="375"/>
      <c r="E101" s="375"/>
      <c r="F101" s="375"/>
      <c r="G101" s="375"/>
      <c r="H101" s="375"/>
      <c r="I101" s="375"/>
      <c r="J101" s="375"/>
      <c r="K101" s="375"/>
      <c r="L101" s="375"/>
      <c r="M101" s="375"/>
      <c r="N101" s="375"/>
      <c r="O101" s="375"/>
      <c r="P101" s="375"/>
      <c r="Q101" s="375"/>
      <c r="R101" s="375"/>
      <c r="S101" s="375"/>
      <c r="T101" s="375"/>
    </row>
    <row r="102" spans="3:20" ht="17.399999999999999" x14ac:dyDescent="0.3">
      <c r="C102" s="375"/>
      <c r="D102" s="375"/>
      <c r="E102" s="375"/>
      <c r="F102" s="375"/>
      <c r="G102" s="375"/>
      <c r="H102" s="375"/>
      <c r="I102" s="375"/>
      <c r="J102" s="375"/>
      <c r="K102" s="375"/>
      <c r="L102" s="375"/>
      <c r="M102" s="375"/>
      <c r="N102" s="375"/>
      <c r="O102" s="375"/>
      <c r="P102" s="375"/>
      <c r="Q102" s="375"/>
      <c r="R102" s="375"/>
      <c r="S102" s="375"/>
      <c r="T102" s="375"/>
    </row>
    <row r="103" spans="3:20" ht="17.399999999999999" x14ac:dyDescent="0.3">
      <c r="C103" s="375"/>
      <c r="D103" s="375"/>
      <c r="E103" s="375"/>
      <c r="F103" s="375"/>
      <c r="G103" s="375"/>
      <c r="H103" s="375"/>
      <c r="I103" s="375"/>
      <c r="J103" s="375"/>
      <c r="K103" s="375"/>
      <c r="L103" s="375"/>
      <c r="M103" s="375"/>
      <c r="N103" s="375"/>
      <c r="O103" s="375"/>
      <c r="P103" s="375"/>
      <c r="Q103" s="375"/>
      <c r="R103" s="375"/>
      <c r="S103" s="375"/>
      <c r="T103" s="375"/>
    </row>
    <row r="104" spans="3:20" ht="17.399999999999999" x14ac:dyDescent="0.3">
      <c r="C104" s="375"/>
      <c r="D104" s="375"/>
      <c r="E104" s="375"/>
      <c r="F104" s="375"/>
      <c r="G104" s="375"/>
      <c r="H104" s="375"/>
      <c r="I104" s="375"/>
      <c r="J104" s="375"/>
      <c r="K104" s="375"/>
      <c r="L104" s="375"/>
      <c r="M104" s="375"/>
      <c r="N104" s="375"/>
      <c r="O104" s="375"/>
      <c r="P104" s="375"/>
      <c r="Q104" s="375"/>
      <c r="R104" s="375"/>
      <c r="S104" s="375"/>
      <c r="T104" s="375"/>
    </row>
    <row r="105" spans="3:20" ht="17.399999999999999" x14ac:dyDescent="0.3">
      <c r="C105" s="375"/>
      <c r="D105" s="375"/>
      <c r="E105" s="375"/>
      <c r="F105" s="375"/>
      <c r="G105" s="375"/>
      <c r="H105" s="375"/>
      <c r="I105" s="375"/>
      <c r="J105" s="375"/>
      <c r="K105" s="375"/>
      <c r="L105" s="375"/>
      <c r="M105" s="375"/>
      <c r="N105" s="375"/>
      <c r="O105" s="375"/>
      <c r="P105" s="375"/>
      <c r="Q105" s="375"/>
      <c r="R105" s="375"/>
      <c r="S105" s="375"/>
      <c r="T105" s="375"/>
    </row>
    <row r="106" spans="3:20" ht="17.399999999999999" x14ac:dyDescent="0.3">
      <c r="C106" s="375"/>
      <c r="D106" s="375"/>
      <c r="E106" s="375"/>
      <c r="F106" s="375"/>
      <c r="G106" s="375"/>
      <c r="H106" s="375"/>
      <c r="I106" s="375"/>
      <c r="J106" s="375"/>
      <c r="K106" s="375"/>
      <c r="L106" s="375"/>
      <c r="M106" s="375"/>
      <c r="N106" s="375"/>
      <c r="O106" s="375"/>
      <c r="P106" s="375"/>
      <c r="Q106" s="375"/>
      <c r="R106" s="375"/>
      <c r="S106" s="375"/>
      <c r="T106" s="375"/>
    </row>
    <row r="107" spans="3:20" ht="17.399999999999999" x14ac:dyDescent="0.3">
      <c r="C107" s="375"/>
      <c r="D107" s="375"/>
      <c r="E107" s="375"/>
      <c r="F107" s="375"/>
      <c r="G107" s="375"/>
      <c r="H107" s="375"/>
      <c r="I107" s="375"/>
      <c r="J107" s="375"/>
      <c r="K107" s="375"/>
      <c r="L107" s="375"/>
      <c r="M107" s="375"/>
      <c r="N107" s="375"/>
      <c r="O107" s="375"/>
      <c r="P107" s="375"/>
      <c r="Q107" s="375"/>
      <c r="R107" s="375"/>
      <c r="S107" s="375"/>
      <c r="T107" s="375"/>
    </row>
    <row r="108" spans="3:20" ht="17.399999999999999" x14ac:dyDescent="0.3">
      <c r="C108" s="375"/>
      <c r="D108" s="375"/>
      <c r="E108" s="375"/>
      <c r="F108" s="375"/>
      <c r="G108" s="375"/>
      <c r="H108" s="375"/>
      <c r="I108" s="375"/>
      <c r="J108" s="375"/>
      <c r="K108" s="375"/>
      <c r="L108" s="375"/>
      <c r="M108" s="375"/>
      <c r="N108" s="375"/>
      <c r="O108" s="375"/>
      <c r="P108" s="375"/>
      <c r="Q108" s="375"/>
      <c r="R108" s="375"/>
      <c r="S108" s="375"/>
      <c r="T108" s="375"/>
    </row>
    <row r="109" spans="3:20" ht="17.399999999999999" x14ac:dyDescent="0.3">
      <c r="C109" s="375"/>
      <c r="D109" s="375"/>
      <c r="E109" s="375"/>
      <c r="F109" s="375"/>
      <c r="G109" s="375"/>
      <c r="H109" s="375"/>
      <c r="I109" s="375"/>
      <c r="J109" s="375"/>
      <c r="K109" s="375"/>
      <c r="L109" s="375"/>
      <c r="M109" s="375"/>
      <c r="N109" s="375"/>
      <c r="O109" s="375"/>
      <c r="P109" s="375"/>
      <c r="Q109" s="375"/>
      <c r="R109" s="375"/>
      <c r="S109" s="375"/>
      <c r="T109" s="375"/>
    </row>
    <row r="110" spans="3:20" ht="17.399999999999999" x14ac:dyDescent="0.3">
      <c r="C110" s="375"/>
      <c r="D110" s="375"/>
      <c r="E110" s="375"/>
      <c r="F110" s="375"/>
      <c r="G110" s="375"/>
      <c r="H110" s="375"/>
      <c r="I110" s="375"/>
      <c r="J110" s="375"/>
      <c r="K110" s="375"/>
      <c r="L110" s="375"/>
      <c r="M110" s="375"/>
      <c r="N110" s="375"/>
      <c r="O110" s="375"/>
      <c r="P110" s="375"/>
      <c r="Q110" s="375"/>
      <c r="R110" s="375"/>
      <c r="S110" s="375"/>
      <c r="T110" s="375"/>
    </row>
    <row r="111" spans="3:20" ht="17.399999999999999" x14ac:dyDescent="0.3">
      <c r="C111" s="375"/>
      <c r="D111" s="375"/>
      <c r="E111" s="375"/>
      <c r="F111" s="375"/>
      <c r="G111" s="375"/>
      <c r="H111" s="375"/>
      <c r="I111" s="375"/>
      <c r="J111" s="375"/>
      <c r="K111" s="375"/>
      <c r="L111" s="375"/>
      <c r="M111" s="375"/>
      <c r="N111" s="375"/>
      <c r="O111" s="375"/>
      <c r="P111" s="375"/>
      <c r="Q111" s="375"/>
      <c r="R111" s="375"/>
      <c r="S111" s="375"/>
      <c r="T111" s="375"/>
    </row>
    <row r="112" spans="3:20" ht="17.399999999999999" x14ac:dyDescent="0.3">
      <c r="C112" s="375"/>
      <c r="D112" s="375"/>
      <c r="E112" s="375"/>
      <c r="F112" s="375"/>
      <c r="G112" s="375"/>
      <c r="H112" s="375"/>
      <c r="I112" s="375"/>
      <c r="J112" s="375"/>
      <c r="K112" s="375"/>
      <c r="L112" s="375"/>
      <c r="M112" s="375"/>
      <c r="N112" s="375"/>
      <c r="O112" s="375"/>
      <c r="P112" s="375"/>
      <c r="Q112" s="375"/>
      <c r="R112" s="375"/>
      <c r="S112" s="375"/>
      <c r="T112" s="375"/>
    </row>
    <row r="113" spans="3:20" ht="17.399999999999999" x14ac:dyDescent="0.3">
      <c r="C113" s="375"/>
      <c r="D113" s="375"/>
      <c r="E113" s="375"/>
      <c r="F113" s="375"/>
      <c r="G113" s="375"/>
      <c r="H113" s="375"/>
      <c r="I113" s="375"/>
      <c r="J113" s="375"/>
      <c r="K113" s="375"/>
      <c r="L113" s="375"/>
      <c r="M113" s="375"/>
      <c r="N113" s="375"/>
      <c r="O113" s="375"/>
      <c r="P113" s="375"/>
      <c r="Q113" s="375"/>
      <c r="R113" s="375"/>
      <c r="S113" s="375"/>
      <c r="T113" s="375"/>
    </row>
    <row r="114" spans="3:20" ht="17.399999999999999" x14ac:dyDescent="0.3">
      <c r="C114" s="375"/>
      <c r="D114" s="375"/>
      <c r="E114" s="375"/>
      <c r="F114" s="375"/>
      <c r="G114" s="375"/>
      <c r="H114" s="375"/>
      <c r="I114" s="375"/>
      <c r="J114" s="375"/>
      <c r="K114" s="375"/>
      <c r="L114" s="375"/>
      <c r="M114" s="375"/>
      <c r="N114" s="375"/>
      <c r="O114" s="375"/>
      <c r="P114" s="375"/>
      <c r="Q114" s="375"/>
      <c r="R114" s="375"/>
      <c r="S114" s="375"/>
      <c r="T114" s="375"/>
    </row>
    <row r="115" spans="3:20" ht="17.399999999999999" x14ac:dyDescent="0.3">
      <c r="C115" s="375"/>
      <c r="D115" s="375"/>
      <c r="E115" s="375"/>
      <c r="F115" s="375"/>
      <c r="G115" s="375"/>
      <c r="H115" s="375"/>
      <c r="I115" s="375"/>
      <c r="J115" s="375"/>
      <c r="K115" s="375"/>
      <c r="L115" s="375"/>
      <c r="M115" s="375"/>
      <c r="N115" s="375"/>
      <c r="O115" s="375"/>
      <c r="P115" s="375"/>
      <c r="Q115" s="375"/>
      <c r="R115" s="375"/>
      <c r="S115" s="375"/>
      <c r="T115" s="375"/>
    </row>
    <row r="116" spans="3:20" ht="17.399999999999999" x14ac:dyDescent="0.3">
      <c r="C116" s="375"/>
      <c r="D116" s="375"/>
      <c r="E116" s="375"/>
      <c r="F116" s="375"/>
      <c r="G116" s="375"/>
      <c r="H116" s="375"/>
      <c r="I116" s="375"/>
      <c r="J116" s="375"/>
      <c r="K116" s="375"/>
      <c r="L116" s="375"/>
      <c r="M116" s="375"/>
      <c r="N116" s="375"/>
      <c r="O116" s="375"/>
      <c r="P116" s="375"/>
      <c r="Q116" s="375"/>
      <c r="R116" s="375"/>
      <c r="S116" s="375"/>
      <c r="T116" s="375"/>
    </row>
    <row r="117" spans="3:20" ht="17.399999999999999" x14ac:dyDescent="0.3">
      <c r="C117" s="375"/>
      <c r="D117" s="375"/>
      <c r="E117" s="375"/>
      <c r="F117" s="375"/>
      <c r="G117" s="375"/>
      <c r="H117" s="375"/>
      <c r="I117" s="375"/>
      <c r="J117" s="375"/>
      <c r="K117" s="375"/>
      <c r="L117" s="375"/>
      <c r="M117" s="375"/>
      <c r="N117" s="375"/>
      <c r="O117" s="375"/>
      <c r="P117" s="375"/>
      <c r="Q117" s="375"/>
      <c r="R117" s="375"/>
      <c r="S117" s="375"/>
      <c r="T117" s="375"/>
    </row>
    <row r="118" spans="3:20" ht="17.399999999999999" x14ac:dyDescent="0.3">
      <c r="C118" s="375"/>
      <c r="D118" s="375"/>
      <c r="E118" s="375"/>
      <c r="F118" s="375"/>
      <c r="G118" s="375"/>
      <c r="H118" s="375"/>
      <c r="I118" s="375"/>
      <c r="J118" s="375"/>
      <c r="K118" s="375"/>
      <c r="L118" s="375"/>
      <c r="M118" s="375"/>
      <c r="N118" s="375"/>
      <c r="O118" s="375"/>
      <c r="P118" s="375"/>
      <c r="Q118" s="375"/>
      <c r="R118" s="375"/>
      <c r="S118" s="375"/>
      <c r="T118" s="375"/>
    </row>
    <row r="119" spans="3:20" ht="17.399999999999999" x14ac:dyDescent="0.3">
      <c r="C119" s="375"/>
      <c r="D119" s="375"/>
      <c r="E119" s="375"/>
      <c r="F119" s="375"/>
      <c r="G119" s="375"/>
      <c r="H119" s="375"/>
      <c r="I119" s="375"/>
      <c r="J119" s="375"/>
      <c r="K119" s="375"/>
      <c r="L119" s="375"/>
      <c r="M119" s="375"/>
      <c r="N119" s="375"/>
      <c r="O119" s="375"/>
      <c r="P119" s="375"/>
      <c r="Q119" s="375"/>
      <c r="R119" s="375"/>
      <c r="S119" s="375"/>
      <c r="T119" s="375"/>
    </row>
    <row r="120" spans="3:20" ht="17.399999999999999" x14ac:dyDescent="0.3">
      <c r="C120" s="375"/>
      <c r="D120" s="375"/>
      <c r="E120" s="375"/>
      <c r="F120" s="375"/>
      <c r="G120" s="375"/>
      <c r="H120" s="375"/>
      <c r="I120" s="375"/>
      <c r="J120" s="375"/>
      <c r="K120" s="375"/>
      <c r="L120" s="375"/>
      <c r="M120" s="375"/>
      <c r="N120" s="375"/>
      <c r="O120" s="375"/>
      <c r="P120" s="375"/>
      <c r="Q120" s="375"/>
      <c r="R120" s="375"/>
      <c r="S120" s="375"/>
      <c r="T120" s="375"/>
    </row>
    <row r="121" spans="3:20" ht="17.399999999999999" x14ac:dyDescent="0.3">
      <c r="C121" s="375"/>
      <c r="D121" s="375"/>
      <c r="E121" s="375"/>
      <c r="F121" s="375"/>
      <c r="G121" s="375"/>
      <c r="H121" s="375"/>
      <c r="I121" s="375"/>
      <c r="J121" s="375"/>
      <c r="K121" s="375"/>
      <c r="L121" s="375"/>
      <c r="M121" s="375"/>
      <c r="N121" s="375"/>
      <c r="O121" s="375"/>
      <c r="P121" s="375"/>
      <c r="Q121" s="375"/>
      <c r="R121" s="375"/>
      <c r="S121" s="375"/>
      <c r="T121" s="375"/>
    </row>
    <row r="122" spans="3:20" ht="17.399999999999999" x14ac:dyDescent="0.3">
      <c r="C122" s="375"/>
      <c r="D122" s="375"/>
      <c r="E122" s="375"/>
      <c r="F122" s="375"/>
      <c r="G122" s="375"/>
      <c r="H122" s="375"/>
      <c r="I122" s="375"/>
      <c r="J122" s="375"/>
      <c r="K122" s="375"/>
      <c r="L122" s="375"/>
      <c r="M122" s="375"/>
      <c r="N122" s="375"/>
      <c r="O122" s="375"/>
      <c r="P122" s="375"/>
      <c r="Q122" s="375"/>
      <c r="R122" s="375"/>
      <c r="S122" s="375"/>
      <c r="T122" s="375"/>
    </row>
    <row r="123" spans="3:20" ht="17.399999999999999" x14ac:dyDescent="0.3">
      <c r="C123" s="375"/>
      <c r="D123" s="375"/>
      <c r="E123" s="375"/>
      <c r="F123" s="375"/>
      <c r="G123" s="375"/>
      <c r="H123" s="375"/>
      <c r="I123" s="375"/>
      <c r="J123" s="375"/>
      <c r="K123" s="375"/>
      <c r="L123" s="375"/>
      <c r="M123" s="375"/>
      <c r="N123" s="375"/>
      <c r="O123" s="375"/>
      <c r="P123" s="375"/>
      <c r="Q123" s="375"/>
      <c r="R123" s="375"/>
      <c r="S123" s="375"/>
      <c r="T123" s="375"/>
    </row>
    <row r="124" spans="3:20" ht="17.399999999999999" x14ac:dyDescent="0.3">
      <c r="C124" s="375"/>
      <c r="D124" s="375"/>
      <c r="E124" s="375"/>
      <c r="F124" s="375"/>
      <c r="G124" s="375"/>
      <c r="H124" s="375"/>
      <c r="I124" s="375"/>
      <c r="J124" s="375"/>
      <c r="K124" s="375"/>
      <c r="L124" s="375"/>
      <c r="M124" s="375"/>
      <c r="N124" s="375"/>
      <c r="O124" s="375"/>
      <c r="P124" s="375"/>
      <c r="Q124" s="375"/>
      <c r="R124" s="375"/>
      <c r="S124" s="375"/>
      <c r="T124" s="375"/>
    </row>
    <row r="125" spans="3:20" ht="17.399999999999999" x14ac:dyDescent="0.3">
      <c r="C125" s="375"/>
      <c r="D125" s="375"/>
      <c r="E125" s="375"/>
      <c r="F125" s="375"/>
      <c r="G125" s="375"/>
      <c r="H125" s="375"/>
      <c r="I125" s="375"/>
      <c r="J125" s="375"/>
      <c r="K125" s="375"/>
      <c r="L125" s="375"/>
      <c r="M125" s="375"/>
      <c r="N125" s="375"/>
      <c r="O125" s="375"/>
      <c r="P125" s="375"/>
      <c r="Q125" s="375"/>
      <c r="R125" s="375"/>
      <c r="S125" s="375"/>
      <c r="T125" s="375"/>
    </row>
    <row r="126" spans="3:20" ht="17.399999999999999" x14ac:dyDescent="0.3">
      <c r="C126" s="375"/>
      <c r="D126" s="375"/>
      <c r="E126" s="375"/>
      <c r="F126" s="375"/>
      <c r="G126" s="375"/>
      <c r="H126" s="375"/>
      <c r="I126" s="375"/>
      <c r="J126" s="375"/>
      <c r="K126" s="375"/>
      <c r="L126" s="375"/>
      <c r="M126" s="375"/>
      <c r="N126" s="375"/>
      <c r="O126" s="375"/>
      <c r="P126" s="375"/>
      <c r="Q126" s="375"/>
      <c r="R126" s="375"/>
      <c r="S126" s="375"/>
      <c r="T126" s="375"/>
    </row>
    <row r="127" spans="3:20" ht="17.399999999999999" x14ac:dyDescent="0.3">
      <c r="C127" s="375"/>
      <c r="D127" s="375"/>
      <c r="E127" s="375"/>
      <c r="F127" s="375"/>
      <c r="G127" s="375"/>
      <c r="H127" s="375"/>
      <c r="I127" s="375"/>
      <c r="J127" s="375"/>
      <c r="K127" s="375"/>
      <c r="L127" s="375"/>
      <c r="M127" s="375"/>
      <c r="N127" s="375"/>
      <c r="O127" s="375"/>
      <c r="P127" s="375"/>
      <c r="Q127" s="375"/>
      <c r="R127" s="375"/>
      <c r="S127" s="375"/>
      <c r="T127" s="375"/>
    </row>
    <row r="128" spans="3:20" ht="17.399999999999999" x14ac:dyDescent="0.3">
      <c r="C128" s="375"/>
      <c r="D128" s="375"/>
      <c r="E128" s="375"/>
      <c r="F128" s="375"/>
      <c r="G128" s="375"/>
      <c r="H128" s="375"/>
      <c r="I128" s="375"/>
      <c r="J128" s="375"/>
      <c r="K128" s="375"/>
      <c r="L128" s="375"/>
      <c r="M128" s="375"/>
      <c r="N128" s="375"/>
      <c r="O128" s="375"/>
      <c r="P128" s="375"/>
      <c r="Q128" s="375"/>
      <c r="R128" s="375"/>
      <c r="S128" s="375"/>
      <c r="T128" s="375"/>
    </row>
    <row r="129" spans="3:20" ht="17.399999999999999" x14ac:dyDescent="0.3">
      <c r="C129" s="375"/>
      <c r="D129" s="375"/>
      <c r="E129" s="375"/>
      <c r="F129" s="375"/>
      <c r="G129" s="375"/>
      <c r="H129" s="375"/>
      <c r="I129" s="375"/>
      <c r="J129" s="375"/>
      <c r="K129" s="375"/>
      <c r="L129" s="375"/>
      <c r="M129" s="375"/>
      <c r="N129" s="375"/>
      <c r="O129" s="375"/>
      <c r="P129" s="375"/>
      <c r="Q129" s="375"/>
      <c r="R129" s="375"/>
      <c r="S129" s="375"/>
      <c r="T129" s="375"/>
    </row>
    <row r="130" spans="3:20" ht="17.399999999999999" x14ac:dyDescent="0.3">
      <c r="C130" s="375"/>
      <c r="D130" s="375"/>
      <c r="E130" s="375"/>
      <c r="F130" s="375"/>
      <c r="G130" s="375"/>
      <c r="H130" s="375"/>
      <c r="I130" s="375"/>
      <c r="J130" s="375"/>
      <c r="K130" s="375"/>
      <c r="L130" s="375"/>
      <c r="M130" s="375"/>
      <c r="N130" s="375"/>
      <c r="O130" s="375"/>
      <c r="P130" s="375"/>
      <c r="Q130" s="375"/>
      <c r="R130" s="375"/>
      <c r="S130" s="375"/>
      <c r="T130" s="375"/>
    </row>
    <row r="131" spans="3:20" ht="17.399999999999999" x14ac:dyDescent="0.3">
      <c r="C131" s="375"/>
      <c r="D131" s="375"/>
      <c r="E131" s="375"/>
      <c r="F131" s="375"/>
      <c r="G131" s="375"/>
      <c r="H131" s="375"/>
      <c r="I131" s="375"/>
      <c r="J131" s="375"/>
      <c r="K131" s="375"/>
      <c r="L131" s="375"/>
      <c r="M131" s="375"/>
      <c r="N131" s="375"/>
      <c r="O131" s="375"/>
      <c r="P131" s="375"/>
      <c r="Q131" s="375"/>
      <c r="R131" s="375"/>
      <c r="S131" s="375"/>
      <c r="T131" s="375"/>
    </row>
    <row r="132" spans="3:20" ht="17.399999999999999" x14ac:dyDescent="0.3">
      <c r="C132" s="375"/>
      <c r="D132" s="375"/>
      <c r="E132" s="375"/>
      <c r="F132" s="375"/>
      <c r="G132" s="375"/>
      <c r="H132" s="375"/>
      <c r="I132" s="375"/>
      <c r="J132" s="375"/>
      <c r="K132" s="375"/>
      <c r="L132" s="375"/>
      <c r="M132" s="375"/>
      <c r="N132" s="375"/>
      <c r="O132" s="375"/>
      <c r="P132" s="375"/>
      <c r="Q132" s="375"/>
      <c r="R132" s="375"/>
      <c r="S132" s="375"/>
      <c r="T132" s="375"/>
    </row>
    <row r="133" spans="3:20" ht="17.399999999999999" x14ac:dyDescent="0.3">
      <c r="C133" s="375"/>
      <c r="D133" s="375"/>
      <c r="E133" s="375"/>
      <c r="F133" s="375"/>
      <c r="G133" s="375"/>
      <c r="H133" s="375"/>
      <c r="I133" s="375"/>
      <c r="J133" s="375"/>
      <c r="K133" s="375"/>
      <c r="L133" s="375"/>
      <c r="M133" s="375"/>
      <c r="N133" s="375"/>
      <c r="O133" s="375"/>
      <c r="P133" s="375"/>
      <c r="Q133" s="375"/>
      <c r="R133" s="375"/>
      <c r="S133" s="375"/>
      <c r="T133" s="375"/>
    </row>
    <row r="134" spans="3:20" ht="17.399999999999999" x14ac:dyDescent="0.3">
      <c r="C134" s="375"/>
      <c r="D134" s="375"/>
      <c r="E134" s="375"/>
      <c r="F134" s="375"/>
      <c r="G134" s="375"/>
      <c r="H134" s="375"/>
      <c r="I134" s="375"/>
      <c r="J134" s="375"/>
      <c r="K134" s="375"/>
      <c r="L134" s="375"/>
      <c r="M134" s="375"/>
      <c r="N134" s="375"/>
      <c r="O134" s="375"/>
      <c r="P134" s="375"/>
      <c r="Q134" s="375"/>
      <c r="R134" s="375"/>
      <c r="S134" s="375"/>
      <c r="T134" s="375"/>
    </row>
    <row r="135" spans="3:20" ht="17.399999999999999" x14ac:dyDescent="0.3">
      <c r="C135" s="375"/>
      <c r="D135" s="375"/>
      <c r="E135" s="375"/>
      <c r="F135" s="375"/>
      <c r="G135" s="375"/>
      <c r="H135" s="375"/>
      <c r="I135" s="375"/>
      <c r="J135" s="375"/>
      <c r="K135" s="375"/>
      <c r="L135" s="375"/>
      <c r="M135" s="375"/>
      <c r="N135" s="375"/>
      <c r="O135" s="375"/>
      <c r="P135" s="375"/>
      <c r="Q135" s="375"/>
      <c r="R135" s="375"/>
      <c r="S135" s="375"/>
      <c r="T135" s="375"/>
    </row>
    <row r="136" spans="3:20" ht="17.399999999999999" x14ac:dyDescent="0.3">
      <c r="C136" s="375"/>
      <c r="D136" s="375"/>
      <c r="E136" s="375"/>
      <c r="F136" s="375"/>
      <c r="G136" s="375"/>
      <c r="H136" s="375"/>
      <c r="I136" s="375"/>
      <c r="J136" s="375"/>
      <c r="K136" s="375"/>
      <c r="L136" s="375"/>
      <c r="M136" s="375"/>
      <c r="N136" s="375"/>
      <c r="O136" s="375"/>
      <c r="P136" s="375"/>
      <c r="Q136" s="375"/>
      <c r="R136" s="375"/>
      <c r="S136" s="375"/>
      <c r="T136" s="375"/>
    </row>
    <row r="137" spans="3:20" ht="17.399999999999999" x14ac:dyDescent="0.3">
      <c r="C137" s="375"/>
      <c r="D137" s="375"/>
      <c r="E137" s="375"/>
      <c r="F137" s="375"/>
      <c r="G137" s="375"/>
      <c r="H137" s="375"/>
      <c r="I137" s="375"/>
      <c r="J137" s="375"/>
      <c r="K137" s="375"/>
      <c r="L137" s="375"/>
      <c r="M137" s="375"/>
      <c r="N137" s="375"/>
      <c r="O137" s="375"/>
      <c r="P137" s="375"/>
      <c r="Q137" s="375"/>
      <c r="R137" s="375"/>
      <c r="S137" s="375"/>
      <c r="T137" s="375"/>
    </row>
    <row r="138" spans="3:20" ht="17.399999999999999" x14ac:dyDescent="0.3">
      <c r="C138" s="375"/>
      <c r="D138" s="375"/>
      <c r="E138" s="375"/>
      <c r="F138" s="375"/>
      <c r="G138" s="375"/>
      <c r="H138" s="375"/>
      <c r="I138" s="375"/>
      <c r="J138" s="375"/>
      <c r="K138" s="375"/>
      <c r="L138" s="375"/>
      <c r="M138" s="375"/>
      <c r="N138" s="375"/>
      <c r="O138" s="375"/>
      <c r="P138" s="375"/>
      <c r="Q138" s="375"/>
      <c r="R138" s="375"/>
      <c r="S138" s="375"/>
      <c r="T138" s="375"/>
    </row>
    <row r="139" spans="3:20" ht="17.399999999999999" x14ac:dyDescent="0.3">
      <c r="C139" s="375"/>
      <c r="D139" s="375"/>
      <c r="E139" s="375"/>
      <c r="F139" s="375"/>
      <c r="G139" s="375"/>
      <c r="H139" s="375"/>
      <c r="I139" s="375"/>
      <c r="J139" s="375"/>
      <c r="K139" s="375"/>
      <c r="L139" s="375"/>
      <c r="M139" s="375"/>
      <c r="N139" s="375"/>
      <c r="O139" s="375"/>
      <c r="P139" s="375"/>
      <c r="Q139" s="375"/>
      <c r="R139" s="375"/>
      <c r="S139" s="375"/>
      <c r="T139" s="375"/>
    </row>
    <row r="140" spans="3:20" ht="17.399999999999999" x14ac:dyDescent="0.3">
      <c r="C140" s="375"/>
      <c r="D140" s="375"/>
      <c r="E140" s="375"/>
      <c r="F140" s="375"/>
      <c r="G140" s="375"/>
      <c r="H140" s="375"/>
      <c r="I140" s="375"/>
      <c r="J140" s="375"/>
      <c r="K140" s="375"/>
      <c r="L140" s="375"/>
      <c r="M140" s="375"/>
      <c r="N140" s="375"/>
      <c r="O140" s="375"/>
      <c r="P140" s="375"/>
      <c r="Q140" s="375"/>
      <c r="R140" s="375"/>
      <c r="S140" s="375"/>
      <c r="T140" s="375"/>
    </row>
    <row r="141" spans="3:20" ht="17.399999999999999" x14ac:dyDescent="0.3">
      <c r="C141" s="375"/>
      <c r="D141" s="375"/>
      <c r="E141" s="375"/>
      <c r="F141" s="375"/>
      <c r="G141" s="375"/>
      <c r="H141" s="375"/>
      <c r="I141" s="375"/>
      <c r="J141" s="375"/>
      <c r="K141" s="375"/>
      <c r="L141" s="375"/>
      <c r="M141" s="375"/>
      <c r="N141" s="375"/>
      <c r="O141" s="375"/>
      <c r="P141" s="375"/>
      <c r="Q141" s="375"/>
      <c r="R141" s="375"/>
      <c r="S141" s="375"/>
      <c r="T141" s="375"/>
    </row>
    <row r="142" spans="3:20" ht="17.399999999999999" x14ac:dyDescent="0.3">
      <c r="C142" s="375"/>
      <c r="D142" s="375"/>
      <c r="E142" s="375"/>
      <c r="F142" s="375"/>
      <c r="G142" s="375"/>
      <c r="H142" s="375"/>
      <c r="I142" s="375"/>
      <c r="J142" s="375"/>
      <c r="K142" s="375"/>
      <c r="L142" s="375"/>
      <c r="M142" s="375"/>
      <c r="N142" s="375"/>
      <c r="O142" s="375"/>
      <c r="P142" s="375"/>
      <c r="Q142" s="375"/>
      <c r="R142" s="375"/>
      <c r="S142" s="375"/>
      <c r="T142" s="375"/>
    </row>
    <row r="143" spans="3:20" ht="17.399999999999999" x14ac:dyDescent="0.3">
      <c r="C143" s="375"/>
      <c r="D143" s="375"/>
      <c r="E143" s="375"/>
      <c r="F143" s="375"/>
      <c r="G143" s="375"/>
      <c r="H143" s="375"/>
      <c r="I143" s="375"/>
      <c r="J143" s="375"/>
      <c r="K143" s="375"/>
      <c r="L143" s="375"/>
      <c r="M143" s="375"/>
      <c r="N143" s="375"/>
      <c r="O143" s="375"/>
      <c r="P143" s="375"/>
      <c r="Q143" s="375"/>
      <c r="R143" s="375"/>
      <c r="S143" s="375"/>
      <c r="T143" s="375"/>
    </row>
    <row r="144" spans="3:20" ht="17.399999999999999" x14ac:dyDescent="0.3">
      <c r="C144" s="375"/>
      <c r="D144" s="375"/>
      <c r="E144" s="375"/>
      <c r="F144" s="375"/>
      <c r="G144" s="375"/>
      <c r="H144" s="375"/>
      <c r="I144" s="375"/>
      <c r="J144" s="375"/>
      <c r="K144" s="375"/>
      <c r="L144" s="375"/>
      <c r="M144" s="375"/>
      <c r="N144" s="375"/>
      <c r="O144" s="375"/>
      <c r="P144" s="375"/>
      <c r="Q144" s="375"/>
      <c r="R144" s="375"/>
      <c r="S144" s="375"/>
      <c r="T144" s="375"/>
    </row>
    <row r="145" spans="3:20" ht="17.399999999999999" x14ac:dyDescent="0.3">
      <c r="C145" s="375"/>
      <c r="D145" s="375"/>
      <c r="E145" s="375"/>
      <c r="F145" s="375"/>
      <c r="G145" s="375"/>
      <c r="H145" s="375"/>
      <c r="I145" s="375"/>
      <c r="J145" s="375"/>
      <c r="K145" s="375"/>
      <c r="L145" s="375"/>
      <c r="M145" s="375"/>
      <c r="N145" s="375"/>
      <c r="O145" s="375"/>
      <c r="P145" s="375"/>
      <c r="Q145" s="375"/>
      <c r="R145" s="375"/>
      <c r="S145" s="375"/>
      <c r="T145" s="375"/>
    </row>
    <row r="146" spans="3:20" ht="17.399999999999999" x14ac:dyDescent="0.3">
      <c r="C146" s="375"/>
      <c r="D146" s="375"/>
      <c r="E146" s="375"/>
      <c r="F146" s="375"/>
      <c r="G146" s="375"/>
      <c r="H146" s="375"/>
      <c r="I146" s="375"/>
      <c r="J146" s="375"/>
      <c r="K146" s="375"/>
      <c r="L146" s="375"/>
      <c r="M146" s="375"/>
      <c r="N146" s="375"/>
      <c r="O146" s="375"/>
      <c r="P146" s="375"/>
      <c r="Q146" s="375"/>
      <c r="R146" s="375"/>
      <c r="S146" s="375"/>
      <c r="T146" s="375"/>
    </row>
    <row r="147" spans="3:20" ht="17.399999999999999" x14ac:dyDescent="0.3">
      <c r="C147" s="375"/>
      <c r="D147" s="375"/>
      <c r="E147" s="375"/>
      <c r="F147" s="375"/>
      <c r="G147" s="375"/>
      <c r="H147" s="375"/>
      <c r="I147" s="375"/>
      <c r="J147" s="375"/>
      <c r="K147" s="375"/>
      <c r="L147" s="375"/>
      <c r="M147" s="375"/>
      <c r="N147" s="375"/>
      <c r="O147" s="375"/>
      <c r="P147" s="375"/>
      <c r="Q147" s="375"/>
      <c r="R147" s="375"/>
      <c r="S147" s="375"/>
      <c r="T147" s="375"/>
    </row>
    <row r="148" spans="3:20" ht="17.399999999999999" x14ac:dyDescent="0.3">
      <c r="C148" s="375"/>
      <c r="D148" s="375"/>
      <c r="E148" s="375"/>
      <c r="F148" s="375"/>
      <c r="G148" s="375"/>
      <c r="H148" s="375"/>
      <c r="I148" s="375"/>
      <c r="J148" s="375"/>
      <c r="K148" s="375"/>
      <c r="L148" s="375"/>
      <c r="M148" s="375"/>
      <c r="N148" s="375"/>
      <c r="O148" s="375"/>
      <c r="P148" s="375"/>
      <c r="Q148" s="375"/>
      <c r="R148" s="375"/>
      <c r="S148" s="375"/>
      <c r="T148" s="375"/>
    </row>
    <row r="149" spans="3:20" ht="17.399999999999999" x14ac:dyDescent="0.3">
      <c r="C149" s="375"/>
      <c r="D149" s="375"/>
      <c r="E149" s="375"/>
      <c r="F149" s="375"/>
      <c r="G149" s="375"/>
      <c r="H149" s="375"/>
      <c r="I149" s="375"/>
      <c r="J149" s="375"/>
      <c r="K149" s="375"/>
      <c r="L149" s="375"/>
      <c r="M149" s="375"/>
      <c r="N149" s="375"/>
      <c r="O149" s="375"/>
      <c r="P149" s="375"/>
      <c r="Q149" s="375"/>
      <c r="R149" s="375"/>
      <c r="S149" s="375"/>
      <c r="T149" s="375"/>
    </row>
    <row r="150" spans="3:20" ht="17.399999999999999" x14ac:dyDescent="0.3">
      <c r="C150" s="375"/>
      <c r="D150" s="375"/>
      <c r="E150" s="375"/>
      <c r="F150" s="375"/>
      <c r="G150" s="375"/>
      <c r="H150" s="375"/>
      <c r="I150" s="375"/>
      <c r="J150" s="375"/>
      <c r="K150" s="375"/>
      <c r="L150" s="375"/>
      <c r="M150" s="375"/>
      <c r="N150" s="375"/>
      <c r="O150" s="375"/>
      <c r="P150" s="375"/>
      <c r="Q150" s="375"/>
      <c r="R150" s="375"/>
      <c r="S150" s="375"/>
      <c r="T150" s="375"/>
    </row>
    <row r="151" spans="3:20" ht="17.399999999999999" x14ac:dyDescent="0.3">
      <c r="C151" s="375"/>
      <c r="D151" s="375"/>
      <c r="E151" s="375"/>
      <c r="F151" s="375"/>
      <c r="G151" s="375"/>
      <c r="H151" s="375"/>
      <c r="I151" s="375"/>
      <c r="J151" s="375"/>
      <c r="K151" s="375"/>
      <c r="L151" s="375"/>
      <c r="M151" s="375"/>
      <c r="N151" s="375"/>
      <c r="O151" s="375"/>
      <c r="P151" s="375"/>
      <c r="Q151" s="375"/>
      <c r="R151" s="375"/>
      <c r="S151" s="375"/>
      <c r="T151" s="375"/>
    </row>
    <row r="152" spans="3:20" ht="17.399999999999999" x14ac:dyDescent="0.3">
      <c r="C152" s="375"/>
      <c r="D152" s="375"/>
      <c r="E152" s="375"/>
      <c r="F152" s="375"/>
      <c r="G152" s="375"/>
      <c r="H152" s="375"/>
      <c r="I152" s="375"/>
      <c r="J152" s="375"/>
      <c r="K152" s="375"/>
      <c r="L152" s="375"/>
      <c r="M152" s="375"/>
      <c r="N152" s="375"/>
      <c r="O152" s="375"/>
      <c r="P152" s="375"/>
      <c r="Q152" s="375"/>
      <c r="R152" s="375"/>
      <c r="S152" s="375"/>
      <c r="T152" s="375"/>
    </row>
    <row r="153" spans="3:20" ht="17.399999999999999" x14ac:dyDescent="0.3">
      <c r="C153" s="375"/>
      <c r="D153" s="375"/>
      <c r="E153" s="375"/>
      <c r="F153" s="375"/>
      <c r="G153" s="375"/>
      <c r="H153" s="375"/>
      <c r="I153" s="375"/>
      <c r="J153" s="375"/>
      <c r="K153" s="375"/>
      <c r="L153" s="375"/>
      <c r="M153" s="375"/>
      <c r="N153" s="375"/>
      <c r="O153" s="375"/>
      <c r="P153" s="375"/>
      <c r="Q153" s="375"/>
      <c r="R153" s="375"/>
      <c r="S153" s="375"/>
      <c r="T153" s="375"/>
    </row>
    <row r="154" spans="3:20" ht="17.399999999999999" x14ac:dyDescent="0.3">
      <c r="C154" s="375"/>
      <c r="D154" s="375"/>
      <c r="E154" s="375"/>
      <c r="F154" s="375"/>
      <c r="G154" s="375"/>
      <c r="H154" s="375"/>
      <c r="I154" s="375"/>
      <c r="J154" s="375"/>
      <c r="K154" s="375"/>
      <c r="L154" s="375"/>
      <c r="M154" s="375"/>
      <c r="N154" s="375"/>
      <c r="O154" s="375"/>
      <c r="P154" s="375"/>
      <c r="Q154" s="375"/>
      <c r="R154" s="375"/>
      <c r="S154" s="375"/>
      <c r="T154" s="375"/>
    </row>
    <row r="155" spans="3:20" ht="17.399999999999999" x14ac:dyDescent="0.3">
      <c r="C155" s="375"/>
      <c r="D155" s="375"/>
      <c r="E155" s="375"/>
      <c r="F155" s="375"/>
      <c r="G155" s="375"/>
      <c r="H155" s="375"/>
      <c r="I155" s="375"/>
      <c r="J155" s="375"/>
      <c r="K155" s="375"/>
      <c r="L155" s="375"/>
      <c r="M155" s="375"/>
      <c r="N155" s="375"/>
      <c r="O155" s="375"/>
      <c r="P155" s="375"/>
      <c r="Q155" s="375"/>
      <c r="R155" s="375"/>
      <c r="S155" s="375"/>
      <c r="T155" s="375"/>
    </row>
    <row r="156" spans="3:20" ht="17.399999999999999" x14ac:dyDescent="0.3">
      <c r="C156" s="375"/>
      <c r="D156" s="375"/>
      <c r="E156" s="375"/>
      <c r="F156" s="375"/>
      <c r="G156" s="375"/>
      <c r="H156" s="375"/>
      <c r="I156" s="375"/>
      <c r="J156" s="375"/>
      <c r="K156" s="375"/>
      <c r="L156" s="375"/>
      <c r="M156" s="375"/>
      <c r="N156" s="375"/>
      <c r="O156" s="375"/>
      <c r="P156" s="375"/>
      <c r="Q156" s="375"/>
      <c r="R156" s="375"/>
      <c r="S156" s="375"/>
      <c r="T156" s="375"/>
    </row>
    <row r="157" spans="3:20" ht="17.399999999999999" x14ac:dyDescent="0.3">
      <c r="C157" s="375"/>
      <c r="D157" s="375"/>
      <c r="E157" s="375"/>
      <c r="F157" s="375"/>
      <c r="G157" s="375"/>
      <c r="H157" s="375"/>
      <c r="I157" s="375"/>
      <c r="J157" s="375"/>
      <c r="K157" s="375"/>
      <c r="L157" s="375"/>
      <c r="M157" s="375"/>
      <c r="N157" s="375"/>
      <c r="O157" s="375"/>
      <c r="P157" s="375"/>
      <c r="Q157" s="375"/>
      <c r="R157" s="375"/>
      <c r="S157" s="375"/>
      <c r="T157" s="375"/>
    </row>
    <row r="158" spans="3:20" ht="17.399999999999999" x14ac:dyDescent="0.3">
      <c r="C158" s="375"/>
      <c r="D158" s="375"/>
      <c r="E158" s="375"/>
      <c r="F158" s="375"/>
      <c r="G158" s="375"/>
      <c r="H158" s="375"/>
      <c r="I158" s="375"/>
      <c r="J158" s="375"/>
      <c r="K158" s="375"/>
      <c r="L158" s="375"/>
      <c r="M158" s="375"/>
      <c r="N158" s="375"/>
      <c r="O158" s="375"/>
      <c r="P158" s="375"/>
      <c r="Q158" s="375"/>
      <c r="R158" s="375"/>
      <c r="S158" s="375"/>
      <c r="T158" s="375"/>
    </row>
    <row r="159" spans="3:20" ht="17.399999999999999" x14ac:dyDescent="0.3">
      <c r="C159" s="375"/>
      <c r="D159" s="375"/>
      <c r="E159" s="375"/>
      <c r="F159" s="375"/>
      <c r="G159" s="375"/>
      <c r="H159" s="375"/>
      <c r="I159" s="375"/>
      <c r="J159" s="375"/>
      <c r="K159" s="375"/>
      <c r="L159" s="375"/>
      <c r="M159" s="375"/>
      <c r="N159" s="375"/>
      <c r="O159" s="375"/>
      <c r="P159" s="375"/>
      <c r="Q159" s="375"/>
      <c r="R159" s="375"/>
      <c r="S159" s="375"/>
      <c r="T159" s="375"/>
    </row>
    <row r="160" spans="3:20" ht="17.399999999999999" x14ac:dyDescent="0.3">
      <c r="C160" s="375"/>
      <c r="D160" s="375"/>
      <c r="E160" s="375"/>
      <c r="F160" s="375"/>
      <c r="G160" s="375"/>
      <c r="H160" s="375"/>
      <c r="I160" s="375"/>
      <c r="J160" s="375"/>
      <c r="K160" s="375"/>
      <c r="L160" s="375"/>
      <c r="M160" s="375"/>
      <c r="N160" s="375"/>
      <c r="O160" s="375"/>
      <c r="P160" s="375"/>
      <c r="Q160" s="375"/>
      <c r="R160" s="375"/>
      <c r="S160" s="375"/>
      <c r="T160" s="375"/>
    </row>
    <row r="161" spans="3:20" ht="17.399999999999999" x14ac:dyDescent="0.3">
      <c r="C161" s="375"/>
      <c r="D161" s="375"/>
      <c r="E161" s="375"/>
      <c r="F161" s="375"/>
      <c r="G161" s="375"/>
      <c r="H161" s="375"/>
      <c r="I161" s="375"/>
      <c r="J161" s="375"/>
      <c r="K161" s="375"/>
      <c r="L161" s="375"/>
      <c r="M161" s="375"/>
      <c r="N161" s="375"/>
      <c r="O161" s="375"/>
      <c r="P161" s="375"/>
      <c r="Q161" s="375"/>
      <c r="R161" s="375"/>
      <c r="S161" s="375"/>
      <c r="T161" s="375"/>
    </row>
    <row r="162" spans="3:20" ht="17.399999999999999" x14ac:dyDescent="0.3">
      <c r="C162" s="375"/>
      <c r="D162" s="375"/>
      <c r="E162" s="375"/>
      <c r="F162" s="375"/>
      <c r="G162" s="375"/>
      <c r="H162" s="375"/>
      <c r="I162" s="375"/>
      <c r="J162" s="375"/>
      <c r="K162" s="375"/>
      <c r="L162" s="375"/>
      <c r="M162" s="375"/>
      <c r="N162" s="375"/>
      <c r="O162" s="375"/>
      <c r="P162" s="375"/>
      <c r="Q162" s="375"/>
      <c r="R162" s="375"/>
      <c r="S162" s="375"/>
      <c r="T162" s="375"/>
    </row>
    <row r="163" spans="3:20" ht="17.399999999999999" x14ac:dyDescent="0.3">
      <c r="C163" s="375"/>
      <c r="D163" s="375"/>
      <c r="E163" s="375"/>
      <c r="F163" s="375"/>
      <c r="G163" s="375"/>
      <c r="H163" s="375"/>
      <c r="I163" s="375"/>
      <c r="J163" s="375"/>
      <c r="K163" s="375"/>
      <c r="L163" s="375"/>
      <c r="M163" s="375"/>
      <c r="N163" s="375"/>
      <c r="O163" s="375"/>
      <c r="P163" s="375"/>
      <c r="Q163" s="375"/>
      <c r="R163" s="375"/>
      <c r="S163" s="375"/>
      <c r="T163" s="375"/>
    </row>
    <row r="164" spans="3:20" ht="17.399999999999999" x14ac:dyDescent="0.3"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5"/>
      <c r="R164" s="375"/>
      <c r="S164" s="375"/>
      <c r="T164" s="375"/>
    </row>
    <row r="165" spans="3:20" ht="17.399999999999999" x14ac:dyDescent="0.3">
      <c r="C165" s="375"/>
      <c r="D165" s="375"/>
      <c r="E165" s="375"/>
      <c r="F165" s="375"/>
      <c r="G165" s="375"/>
      <c r="H165" s="375"/>
      <c r="I165" s="375"/>
      <c r="J165" s="375"/>
      <c r="K165" s="375"/>
      <c r="L165" s="375"/>
      <c r="M165" s="375"/>
      <c r="N165" s="375"/>
      <c r="O165" s="375"/>
      <c r="P165" s="375"/>
      <c r="Q165" s="375"/>
      <c r="R165" s="375"/>
      <c r="S165" s="375"/>
      <c r="T165" s="375"/>
    </row>
    <row r="166" spans="3:20" ht="17.399999999999999" x14ac:dyDescent="0.3">
      <c r="C166" s="375"/>
      <c r="D166" s="375"/>
      <c r="E166" s="375"/>
      <c r="F166" s="375"/>
      <c r="G166" s="375"/>
      <c r="H166" s="375"/>
      <c r="I166" s="375"/>
      <c r="J166" s="375"/>
      <c r="K166" s="375"/>
      <c r="L166" s="375"/>
      <c r="M166" s="375"/>
      <c r="N166" s="375"/>
      <c r="O166" s="375"/>
      <c r="P166" s="375"/>
      <c r="Q166" s="375"/>
      <c r="R166" s="375"/>
      <c r="S166" s="375"/>
      <c r="T166" s="375"/>
    </row>
    <row r="167" spans="3:20" ht="17.399999999999999" x14ac:dyDescent="0.3">
      <c r="C167" s="375"/>
      <c r="D167" s="375"/>
      <c r="E167" s="375"/>
      <c r="F167" s="375"/>
      <c r="G167" s="375"/>
      <c r="H167" s="375"/>
      <c r="I167" s="375"/>
      <c r="J167" s="375"/>
      <c r="K167" s="375"/>
      <c r="L167" s="375"/>
      <c r="M167" s="375"/>
      <c r="N167" s="375"/>
      <c r="O167" s="375"/>
      <c r="P167" s="375"/>
      <c r="Q167" s="375"/>
      <c r="R167" s="375"/>
      <c r="S167" s="375"/>
      <c r="T167" s="375"/>
    </row>
    <row r="168" spans="3:20" ht="17.399999999999999" x14ac:dyDescent="0.3">
      <c r="C168" s="375"/>
      <c r="D168" s="375"/>
      <c r="E168" s="375"/>
      <c r="F168" s="375"/>
      <c r="G168" s="375"/>
      <c r="H168" s="375"/>
      <c r="I168" s="375"/>
      <c r="J168" s="375"/>
      <c r="K168" s="375"/>
      <c r="L168" s="375"/>
      <c r="M168" s="375"/>
      <c r="N168" s="375"/>
      <c r="O168" s="375"/>
      <c r="P168" s="375"/>
      <c r="Q168" s="375"/>
      <c r="R168" s="375"/>
      <c r="S168" s="375"/>
      <c r="T168" s="375"/>
    </row>
    <row r="169" spans="3:20" ht="17.399999999999999" x14ac:dyDescent="0.3">
      <c r="C169" s="375"/>
      <c r="D169" s="375"/>
      <c r="E169" s="375"/>
      <c r="F169" s="375"/>
      <c r="G169" s="375"/>
      <c r="H169" s="375"/>
      <c r="I169" s="375"/>
      <c r="J169" s="375"/>
      <c r="K169" s="375"/>
      <c r="L169" s="375"/>
      <c r="M169" s="375"/>
      <c r="N169" s="375"/>
      <c r="O169" s="375"/>
      <c r="P169" s="375"/>
      <c r="Q169" s="375"/>
      <c r="R169" s="375"/>
      <c r="S169" s="375"/>
      <c r="T169" s="375"/>
    </row>
    <row r="170" spans="3:20" ht="17.399999999999999" x14ac:dyDescent="0.3">
      <c r="C170" s="375"/>
      <c r="D170" s="375"/>
      <c r="E170" s="375"/>
      <c r="F170" s="375"/>
      <c r="G170" s="375"/>
      <c r="H170" s="375"/>
      <c r="I170" s="375"/>
      <c r="J170" s="375"/>
      <c r="K170" s="375"/>
      <c r="L170" s="375"/>
      <c r="M170" s="375"/>
      <c r="N170" s="375"/>
      <c r="O170" s="375"/>
      <c r="P170" s="375"/>
      <c r="Q170" s="375"/>
      <c r="R170" s="375"/>
      <c r="S170" s="375"/>
      <c r="T170" s="375"/>
    </row>
    <row r="171" spans="3:20" ht="17.399999999999999" x14ac:dyDescent="0.3">
      <c r="C171" s="375"/>
      <c r="D171" s="375"/>
      <c r="E171" s="375"/>
      <c r="F171" s="375"/>
      <c r="G171" s="375"/>
      <c r="H171" s="375"/>
      <c r="I171" s="375"/>
      <c r="J171" s="375"/>
      <c r="K171" s="375"/>
      <c r="L171" s="375"/>
      <c r="M171" s="375"/>
      <c r="N171" s="375"/>
      <c r="O171" s="375"/>
      <c r="P171" s="375"/>
      <c r="Q171" s="375"/>
      <c r="R171" s="375"/>
      <c r="S171" s="375"/>
      <c r="T171" s="375"/>
    </row>
    <row r="172" spans="3:20" ht="17.399999999999999" x14ac:dyDescent="0.3">
      <c r="C172" s="375"/>
      <c r="D172" s="375"/>
      <c r="E172" s="375"/>
      <c r="F172" s="375"/>
      <c r="G172" s="375"/>
      <c r="H172" s="375"/>
      <c r="I172" s="375"/>
      <c r="J172" s="375"/>
      <c r="K172" s="375"/>
      <c r="L172" s="375"/>
      <c r="M172" s="375"/>
      <c r="N172" s="375"/>
      <c r="O172" s="375"/>
      <c r="P172" s="375"/>
      <c r="Q172" s="375"/>
      <c r="R172" s="375"/>
      <c r="S172" s="375"/>
      <c r="T172" s="375"/>
    </row>
    <row r="173" spans="3:20" ht="17.399999999999999" x14ac:dyDescent="0.3">
      <c r="C173" s="375"/>
      <c r="D173" s="375"/>
      <c r="E173" s="375"/>
      <c r="F173" s="375"/>
      <c r="G173" s="375"/>
      <c r="H173" s="375"/>
      <c r="I173" s="375"/>
      <c r="J173" s="375"/>
      <c r="K173" s="375"/>
      <c r="L173" s="375"/>
      <c r="M173" s="375"/>
      <c r="N173" s="375"/>
      <c r="O173" s="375"/>
      <c r="P173" s="375"/>
      <c r="Q173" s="375"/>
      <c r="R173" s="375"/>
      <c r="S173" s="375"/>
      <c r="T173" s="375"/>
    </row>
    <row r="174" spans="3:20" ht="17.399999999999999" x14ac:dyDescent="0.3">
      <c r="C174" s="375"/>
      <c r="D174" s="375"/>
      <c r="E174" s="375"/>
      <c r="F174" s="375"/>
      <c r="G174" s="375"/>
      <c r="H174" s="375"/>
      <c r="I174" s="375"/>
      <c r="J174" s="375"/>
      <c r="K174" s="375"/>
      <c r="L174" s="375"/>
      <c r="M174" s="375"/>
      <c r="N174" s="375"/>
      <c r="O174" s="375"/>
      <c r="P174" s="375"/>
      <c r="Q174" s="375"/>
      <c r="R174" s="375"/>
      <c r="S174" s="375"/>
      <c r="T174" s="375"/>
    </row>
    <row r="175" spans="3:20" ht="17.399999999999999" x14ac:dyDescent="0.3">
      <c r="C175" s="375"/>
      <c r="D175" s="375"/>
      <c r="E175" s="375"/>
      <c r="F175" s="375"/>
      <c r="G175" s="375"/>
      <c r="H175" s="375"/>
      <c r="I175" s="375"/>
      <c r="J175" s="375"/>
      <c r="K175" s="375"/>
      <c r="L175" s="375"/>
      <c r="M175" s="375"/>
      <c r="N175" s="375"/>
      <c r="O175" s="375"/>
      <c r="P175" s="375"/>
      <c r="Q175" s="375"/>
      <c r="R175" s="375"/>
      <c r="S175" s="375"/>
      <c r="T175" s="375"/>
    </row>
    <row r="176" spans="3:20" ht="17.399999999999999" x14ac:dyDescent="0.3">
      <c r="C176" s="375"/>
      <c r="D176" s="375"/>
      <c r="E176" s="375"/>
      <c r="F176" s="375"/>
      <c r="G176" s="375"/>
      <c r="H176" s="375"/>
      <c r="I176" s="375"/>
      <c r="J176" s="375"/>
      <c r="K176" s="375"/>
      <c r="L176" s="375"/>
      <c r="M176" s="375"/>
      <c r="N176" s="375"/>
      <c r="O176" s="375"/>
      <c r="P176" s="375"/>
      <c r="Q176" s="375"/>
      <c r="R176" s="375"/>
      <c r="S176" s="375"/>
      <c r="T176" s="375"/>
    </row>
    <row r="177" spans="3:20" ht="17.399999999999999" x14ac:dyDescent="0.3">
      <c r="C177" s="375"/>
      <c r="D177" s="375"/>
      <c r="E177" s="375"/>
      <c r="F177" s="375"/>
      <c r="G177" s="375"/>
      <c r="H177" s="375"/>
      <c r="I177" s="375"/>
      <c r="J177" s="375"/>
      <c r="K177" s="375"/>
      <c r="L177" s="375"/>
      <c r="M177" s="375"/>
      <c r="N177" s="375"/>
      <c r="O177" s="375"/>
      <c r="P177" s="375"/>
      <c r="Q177" s="375"/>
      <c r="R177" s="375"/>
      <c r="S177" s="375"/>
      <c r="T177" s="375"/>
    </row>
    <row r="178" spans="3:20" ht="17.399999999999999" x14ac:dyDescent="0.3">
      <c r="C178" s="375"/>
      <c r="D178" s="375"/>
      <c r="E178" s="375"/>
      <c r="F178" s="375"/>
      <c r="G178" s="375"/>
      <c r="H178" s="375"/>
      <c r="I178" s="375"/>
      <c r="J178" s="375"/>
      <c r="K178" s="375"/>
      <c r="L178" s="375"/>
      <c r="M178" s="375"/>
      <c r="N178" s="375"/>
      <c r="O178" s="375"/>
      <c r="P178" s="375"/>
      <c r="Q178" s="375"/>
      <c r="R178" s="375"/>
      <c r="S178" s="375"/>
      <c r="T178" s="375"/>
    </row>
    <row r="179" spans="3:20" ht="17.399999999999999" x14ac:dyDescent="0.3">
      <c r="C179" s="375"/>
      <c r="D179" s="375"/>
      <c r="E179" s="375"/>
      <c r="F179" s="375"/>
      <c r="G179" s="375"/>
      <c r="H179" s="375"/>
      <c r="I179" s="375"/>
      <c r="J179" s="375"/>
      <c r="K179" s="375"/>
      <c r="L179" s="375"/>
      <c r="M179" s="375"/>
      <c r="N179" s="375"/>
      <c r="O179" s="375"/>
      <c r="P179" s="375"/>
      <c r="Q179" s="375"/>
      <c r="R179" s="375"/>
      <c r="S179" s="375"/>
      <c r="T179" s="375"/>
    </row>
    <row r="180" spans="3:20" ht="17.399999999999999" x14ac:dyDescent="0.3">
      <c r="C180" s="375"/>
      <c r="D180" s="375"/>
      <c r="E180" s="375"/>
      <c r="F180" s="375"/>
      <c r="G180" s="375"/>
      <c r="H180" s="375"/>
      <c r="I180" s="375"/>
      <c r="J180" s="375"/>
      <c r="K180" s="375"/>
      <c r="L180" s="375"/>
      <c r="M180" s="375"/>
      <c r="N180" s="375"/>
      <c r="O180" s="375"/>
      <c r="P180" s="375"/>
      <c r="Q180" s="375"/>
      <c r="R180" s="375"/>
      <c r="S180" s="375"/>
      <c r="T180" s="375"/>
    </row>
    <row r="181" spans="3:20" ht="17.399999999999999" x14ac:dyDescent="0.3">
      <c r="C181" s="375"/>
      <c r="D181" s="375"/>
      <c r="E181" s="375"/>
      <c r="F181" s="375"/>
      <c r="G181" s="375"/>
      <c r="H181" s="375"/>
      <c r="I181" s="375"/>
      <c r="J181" s="375"/>
      <c r="K181" s="375"/>
      <c r="L181" s="375"/>
      <c r="M181" s="375"/>
      <c r="N181" s="375"/>
      <c r="O181" s="375"/>
      <c r="P181" s="375"/>
      <c r="Q181" s="375"/>
      <c r="R181" s="375"/>
      <c r="S181" s="375"/>
      <c r="T181" s="375"/>
    </row>
    <row r="182" spans="3:20" ht="17.399999999999999" x14ac:dyDescent="0.3">
      <c r="C182" s="375"/>
      <c r="D182" s="375"/>
      <c r="E182" s="375"/>
      <c r="F182" s="375"/>
      <c r="G182" s="375"/>
      <c r="H182" s="375"/>
      <c r="I182" s="375"/>
      <c r="J182" s="375"/>
      <c r="K182" s="375"/>
      <c r="L182" s="375"/>
      <c r="M182" s="375"/>
      <c r="N182" s="375"/>
      <c r="O182" s="375"/>
      <c r="P182" s="375"/>
      <c r="Q182" s="375"/>
      <c r="R182" s="375"/>
      <c r="S182" s="375"/>
      <c r="T182" s="375"/>
    </row>
    <row r="183" spans="3:20" ht="17.399999999999999" x14ac:dyDescent="0.3">
      <c r="C183" s="375"/>
      <c r="D183" s="375"/>
      <c r="E183" s="375"/>
      <c r="F183" s="375"/>
      <c r="G183" s="375"/>
      <c r="H183" s="375"/>
      <c r="I183" s="375"/>
      <c r="J183" s="375"/>
      <c r="K183" s="375"/>
      <c r="L183" s="375"/>
      <c r="M183" s="375"/>
      <c r="N183" s="375"/>
      <c r="O183" s="375"/>
      <c r="P183" s="375"/>
      <c r="Q183" s="375"/>
      <c r="R183" s="375"/>
      <c r="S183" s="375"/>
      <c r="T183" s="375"/>
    </row>
    <row r="184" spans="3:20" ht="17.399999999999999" x14ac:dyDescent="0.3">
      <c r="C184" s="375"/>
      <c r="D184" s="375"/>
      <c r="E184" s="375"/>
      <c r="F184" s="375"/>
      <c r="G184" s="375"/>
      <c r="H184" s="375"/>
      <c r="I184" s="375"/>
      <c r="J184" s="375"/>
      <c r="K184" s="375"/>
      <c r="L184" s="375"/>
      <c r="M184" s="375"/>
      <c r="N184" s="375"/>
      <c r="O184" s="375"/>
      <c r="P184" s="375"/>
      <c r="Q184" s="375"/>
      <c r="R184" s="375"/>
      <c r="S184" s="375"/>
      <c r="T184" s="375"/>
    </row>
    <row r="185" spans="3:20" ht="17.399999999999999" x14ac:dyDescent="0.3">
      <c r="C185" s="375"/>
      <c r="D185" s="375"/>
      <c r="E185" s="375"/>
      <c r="F185" s="375"/>
      <c r="G185" s="375"/>
      <c r="H185" s="375"/>
      <c r="I185" s="375"/>
      <c r="J185" s="375"/>
      <c r="K185" s="375"/>
      <c r="L185" s="375"/>
      <c r="M185" s="375"/>
      <c r="N185" s="375"/>
      <c r="O185" s="375"/>
      <c r="P185" s="375"/>
      <c r="Q185" s="375"/>
      <c r="R185" s="375"/>
      <c r="S185" s="375"/>
      <c r="T185" s="375"/>
    </row>
    <row r="186" spans="3:20" ht="17.399999999999999" x14ac:dyDescent="0.3">
      <c r="C186" s="375"/>
      <c r="D186" s="375"/>
      <c r="E186" s="375"/>
      <c r="F186" s="375"/>
      <c r="G186" s="375"/>
      <c r="H186" s="375"/>
      <c r="I186" s="375"/>
      <c r="J186" s="375"/>
      <c r="K186" s="375"/>
      <c r="L186" s="375"/>
      <c r="M186" s="375"/>
      <c r="N186" s="375"/>
      <c r="O186" s="375"/>
      <c r="P186" s="375"/>
      <c r="Q186" s="375"/>
      <c r="R186" s="375"/>
      <c r="S186" s="375"/>
      <c r="T186" s="375"/>
    </row>
    <row r="187" spans="3:20" ht="17.399999999999999" x14ac:dyDescent="0.3">
      <c r="C187" s="375"/>
      <c r="D187" s="375"/>
      <c r="E187" s="375"/>
      <c r="F187" s="375"/>
      <c r="G187" s="375"/>
      <c r="H187" s="375"/>
      <c r="I187" s="375"/>
      <c r="J187" s="375"/>
      <c r="K187" s="375"/>
      <c r="L187" s="375"/>
      <c r="M187" s="375"/>
      <c r="N187" s="375"/>
      <c r="O187" s="375"/>
      <c r="P187" s="375"/>
      <c r="Q187" s="375"/>
      <c r="R187" s="375"/>
      <c r="S187" s="375"/>
      <c r="T187" s="375"/>
    </row>
    <row r="188" spans="3:20" ht="17.399999999999999" x14ac:dyDescent="0.3">
      <c r="C188" s="375"/>
      <c r="D188" s="375"/>
      <c r="E188" s="375"/>
      <c r="F188" s="375"/>
      <c r="G188" s="375"/>
      <c r="H188" s="375"/>
      <c r="I188" s="375"/>
      <c r="J188" s="375"/>
      <c r="K188" s="375"/>
      <c r="L188" s="375"/>
      <c r="M188" s="375"/>
      <c r="N188" s="375"/>
      <c r="O188" s="375"/>
      <c r="P188" s="375"/>
      <c r="Q188" s="375"/>
      <c r="R188" s="375"/>
      <c r="S188" s="375"/>
      <c r="T188" s="375"/>
    </row>
    <row r="189" spans="3:20" ht="17.399999999999999" x14ac:dyDescent="0.3">
      <c r="C189" s="375"/>
      <c r="D189" s="375"/>
      <c r="E189" s="375"/>
      <c r="F189" s="375"/>
      <c r="G189" s="375"/>
      <c r="H189" s="375"/>
      <c r="I189" s="375"/>
      <c r="J189" s="375"/>
      <c r="K189" s="375"/>
      <c r="L189" s="375"/>
      <c r="M189" s="375"/>
      <c r="N189" s="375"/>
      <c r="O189" s="375"/>
      <c r="P189" s="375"/>
      <c r="Q189" s="375"/>
      <c r="R189" s="375"/>
      <c r="S189" s="375"/>
      <c r="T189" s="375"/>
    </row>
    <row r="190" spans="3:20" ht="17.399999999999999" x14ac:dyDescent="0.3">
      <c r="C190" s="375"/>
      <c r="D190" s="375"/>
      <c r="E190" s="375"/>
      <c r="F190" s="375"/>
      <c r="G190" s="375"/>
      <c r="H190" s="375"/>
      <c r="I190" s="375"/>
      <c r="J190" s="375"/>
      <c r="K190" s="375"/>
      <c r="L190" s="375"/>
      <c r="M190" s="375"/>
      <c r="N190" s="375"/>
      <c r="O190" s="375"/>
      <c r="P190" s="375"/>
      <c r="Q190" s="375"/>
      <c r="R190" s="375"/>
      <c r="S190" s="375"/>
      <c r="T190" s="375"/>
    </row>
    <row r="191" spans="3:20" ht="17.399999999999999" x14ac:dyDescent="0.3">
      <c r="C191" s="375"/>
      <c r="D191" s="375"/>
      <c r="E191" s="375"/>
      <c r="F191" s="375"/>
      <c r="G191" s="375"/>
      <c r="H191" s="375"/>
      <c r="I191" s="375"/>
      <c r="J191" s="375"/>
      <c r="K191" s="375"/>
      <c r="L191" s="375"/>
      <c r="M191" s="375"/>
      <c r="N191" s="375"/>
      <c r="O191" s="375"/>
      <c r="P191" s="375"/>
      <c r="Q191" s="375"/>
      <c r="R191" s="375"/>
      <c r="S191" s="375"/>
      <c r="T191" s="375"/>
    </row>
    <row r="192" spans="3:20" ht="17.399999999999999" x14ac:dyDescent="0.3">
      <c r="C192" s="375"/>
      <c r="D192" s="375"/>
      <c r="E192" s="375"/>
      <c r="F192" s="375"/>
      <c r="G192" s="375"/>
      <c r="H192" s="375"/>
      <c r="I192" s="375"/>
      <c r="J192" s="375"/>
      <c r="K192" s="375"/>
      <c r="L192" s="375"/>
      <c r="M192" s="375"/>
      <c r="N192" s="375"/>
      <c r="O192" s="375"/>
      <c r="P192" s="375"/>
      <c r="Q192" s="375"/>
      <c r="R192" s="375"/>
      <c r="S192" s="375"/>
      <c r="T192" s="375"/>
    </row>
    <row r="193" spans="3:20" ht="17.399999999999999" x14ac:dyDescent="0.3">
      <c r="C193" s="375"/>
      <c r="D193" s="375"/>
      <c r="E193" s="375"/>
      <c r="F193" s="375"/>
      <c r="G193" s="375"/>
      <c r="H193" s="375"/>
      <c r="I193" s="375"/>
      <c r="J193" s="375"/>
      <c r="K193" s="375"/>
      <c r="L193" s="375"/>
      <c r="M193" s="375"/>
      <c r="N193" s="375"/>
      <c r="O193" s="375"/>
      <c r="P193" s="375"/>
      <c r="Q193" s="375"/>
      <c r="R193" s="375"/>
      <c r="S193" s="375"/>
      <c r="T193" s="375"/>
    </row>
    <row r="194" spans="3:20" ht="17.399999999999999" x14ac:dyDescent="0.3">
      <c r="C194" s="375"/>
      <c r="D194" s="375"/>
      <c r="E194" s="375"/>
      <c r="F194" s="375"/>
      <c r="G194" s="375"/>
      <c r="H194" s="375"/>
      <c r="I194" s="375"/>
      <c r="J194" s="375"/>
      <c r="K194" s="375"/>
      <c r="L194" s="375"/>
      <c r="M194" s="375"/>
      <c r="N194" s="375"/>
      <c r="O194" s="375"/>
      <c r="P194" s="375"/>
      <c r="Q194" s="375"/>
      <c r="R194" s="375"/>
      <c r="S194" s="375"/>
      <c r="T194" s="375"/>
    </row>
    <row r="195" spans="3:20" ht="17.399999999999999" x14ac:dyDescent="0.3">
      <c r="C195" s="375"/>
      <c r="D195" s="375"/>
      <c r="E195" s="375"/>
      <c r="F195" s="375"/>
      <c r="G195" s="375"/>
      <c r="H195" s="375"/>
      <c r="I195" s="375"/>
      <c r="J195" s="375"/>
      <c r="K195" s="375"/>
      <c r="L195" s="375"/>
      <c r="M195" s="375"/>
      <c r="N195" s="375"/>
      <c r="O195" s="375"/>
      <c r="P195" s="375"/>
      <c r="Q195" s="375"/>
      <c r="R195" s="375"/>
      <c r="S195" s="375"/>
      <c r="T195" s="375"/>
    </row>
    <row r="196" spans="3:20" ht="17.399999999999999" x14ac:dyDescent="0.3">
      <c r="C196" s="375"/>
      <c r="D196" s="375"/>
      <c r="E196" s="375"/>
      <c r="F196" s="375"/>
      <c r="G196" s="375"/>
      <c r="H196" s="375"/>
      <c r="I196" s="375"/>
      <c r="J196" s="375"/>
      <c r="K196" s="375"/>
      <c r="L196" s="375"/>
      <c r="M196" s="375"/>
      <c r="N196" s="375"/>
      <c r="O196" s="375"/>
      <c r="P196" s="375"/>
      <c r="Q196" s="375"/>
      <c r="R196" s="375"/>
      <c r="S196" s="375"/>
      <c r="T196" s="375"/>
    </row>
    <row r="197" spans="3:20" ht="17.399999999999999" x14ac:dyDescent="0.3">
      <c r="C197" s="375"/>
      <c r="D197" s="375"/>
      <c r="E197" s="375"/>
      <c r="F197" s="375"/>
      <c r="G197" s="375"/>
      <c r="H197" s="375"/>
      <c r="I197" s="375"/>
      <c r="J197" s="375"/>
      <c r="K197" s="375"/>
      <c r="L197" s="375"/>
      <c r="M197" s="375"/>
      <c r="N197" s="375"/>
      <c r="O197" s="375"/>
      <c r="P197" s="375"/>
      <c r="Q197" s="375"/>
      <c r="R197" s="375"/>
      <c r="S197" s="375"/>
      <c r="T197" s="375"/>
    </row>
    <row r="198" spans="3:20" ht="17.399999999999999" x14ac:dyDescent="0.3">
      <c r="C198" s="375"/>
      <c r="D198" s="375"/>
      <c r="E198" s="375"/>
      <c r="F198" s="375"/>
      <c r="G198" s="375"/>
      <c r="H198" s="375"/>
      <c r="I198" s="375"/>
      <c r="J198" s="375"/>
      <c r="K198" s="375"/>
      <c r="L198" s="375"/>
      <c r="M198" s="375"/>
      <c r="N198" s="375"/>
      <c r="O198" s="375"/>
      <c r="P198" s="375"/>
      <c r="Q198" s="375"/>
      <c r="R198" s="375"/>
      <c r="S198" s="375"/>
      <c r="T198" s="375"/>
    </row>
    <row r="199" spans="3:20" ht="17.399999999999999" x14ac:dyDescent="0.3">
      <c r="C199" s="375"/>
      <c r="D199" s="375"/>
      <c r="E199" s="375"/>
      <c r="F199" s="375"/>
      <c r="G199" s="375"/>
      <c r="H199" s="375"/>
      <c r="I199" s="375"/>
      <c r="J199" s="375"/>
      <c r="K199" s="375"/>
      <c r="L199" s="375"/>
      <c r="M199" s="375"/>
      <c r="N199" s="375"/>
      <c r="O199" s="375"/>
      <c r="P199" s="375"/>
      <c r="Q199" s="375"/>
      <c r="R199" s="375"/>
      <c r="S199" s="375"/>
      <c r="T199" s="375"/>
    </row>
    <row r="200" spans="3:20" ht="17.399999999999999" x14ac:dyDescent="0.3">
      <c r="C200" s="375"/>
      <c r="D200" s="375"/>
      <c r="E200" s="375"/>
      <c r="F200" s="375"/>
      <c r="G200" s="375"/>
      <c r="H200" s="375"/>
      <c r="I200" s="375"/>
      <c r="J200" s="375"/>
      <c r="K200" s="375"/>
      <c r="L200" s="375"/>
      <c r="M200" s="375"/>
      <c r="N200" s="375"/>
      <c r="O200" s="375"/>
      <c r="P200" s="375"/>
      <c r="Q200" s="375"/>
      <c r="R200" s="375"/>
      <c r="S200" s="375"/>
      <c r="T200" s="375"/>
    </row>
    <row r="201" spans="3:20" ht="17.399999999999999" x14ac:dyDescent="0.3">
      <c r="C201" s="375"/>
      <c r="D201" s="375"/>
      <c r="E201" s="375"/>
      <c r="F201" s="375"/>
      <c r="G201" s="375"/>
      <c r="H201" s="375"/>
      <c r="I201" s="375"/>
      <c r="J201" s="375"/>
      <c r="K201" s="375"/>
      <c r="L201" s="375"/>
      <c r="M201" s="375"/>
      <c r="N201" s="375"/>
      <c r="O201" s="375"/>
      <c r="P201" s="375"/>
      <c r="Q201" s="375"/>
      <c r="R201" s="375"/>
      <c r="S201" s="375"/>
      <c r="T201" s="375"/>
    </row>
    <row r="202" spans="3:20" ht="17.399999999999999" x14ac:dyDescent="0.3">
      <c r="C202" s="375"/>
      <c r="D202" s="375"/>
      <c r="E202" s="375"/>
      <c r="F202" s="375"/>
      <c r="G202" s="375"/>
      <c r="H202" s="375"/>
      <c r="I202" s="375"/>
      <c r="J202" s="375"/>
      <c r="K202" s="375"/>
      <c r="L202" s="375"/>
      <c r="M202" s="375"/>
      <c r="N202" s="375"/>
      <c r="O202" s="375"/>
      <c r="P202" s="375"/>
      <c r="Q202" s="375"/>
      <c r="R202" s="375"/>
      <c r="S202" s="375"/>
      <c r="T202" s="375"/>
    </row>
    <row r="203" spans="3:20" ht="17.399999999999999" x14ac:dyDescent="0.3">
      <c r="C203" s="375"/>
      <c r="D203" s="375"/>
      <c r="E203" s="375"/>
      <c r="F203" s="375"/>
      <c r="G203" s="375"/>
      <c r="H203" s="375"/>
      <c r="I203" s="375"/>
      <c r="J203" s="375"/>
      <c r="K203" s="375"/>
      <c r="L203" s="375"/>
      <c r="M203" s="375"/>
      <c r="N203" s="375"/>
      <c r="O203" s="375"/>
      <c r="P203" s="375"/>
      <c r="Q203" s="375"/>
      <c r="R203" s="375"/>
      <c r="S203" s="375"/>
      <c r="T203" s="375"/>
    </row>
    <row r="204" spans="3:20" ht="17.399999999999999" x14ac:dyDescent="0.3">
      <c r="C204" s="375"/>
      <c r="D204" s="375"/>
      <c r="E204" s="375"/>
      <c r="F204" s="375"/>
      <c r="G204" s="375"/>
      <c r="H204" s="375"/>
      <c r="I204" s="375"/>
      <c r="J204" s="375"/>
      <c r="K204" s="375"/>
      <c r="L204" s="375"/>
      <c r="M204" s="375"/>
      <c r="N204" s="375"/>
      <c r="O204" s="375"/>
      <c r="P204" s="375"/>
      <c r="Q204" s="375"/>
      <c r="R204" s="375"/>
      <c r="S204" s="375"/>
      <c r="T204" s="375"/>
    </row>
    <row r="205" spans="3:20" ht="17.399999999999999" x14ac:dyDescent="0.3">
      <c r="C205" s="375"/>
      <c r="D205" s="375"/>
      <c r="E205" s="375"/>
      <c r="F205" s="375"/>
      <c r="G205" s="375"/>
      <c r="H205" s="375"/>
      <c r="I205" s="375"/>
      <c r="J205" s="375"/>
      <c r="K205" s="375"/>
      <c r="L205" s="375"/>
      <c r="M205" s="375"/>
      <c r="N205" s="375"/>
      <c r="O205" s="375"/>
      <c r="P205" s="375"/>
      <c r="Q205" s="375"/>
      <c r="R205" s="375"/>
      <c r="S205" s="375"/>
      <c r="T205" s="375"/>
    </row>
    <row r="206" spans="3:20" ht="17.399999999999999" x14ac:dyDescent="0.3">
      <c r="C206" s="375"/>
      <c r="D206" s="375"/>
      <c r="E206" s="375"/>
      <c r="F206" s="375"/>
      <c r="G206" s="375"/>
      <c r="H206" s="375"/>
      <c r="I206" s="375"/>
      <c r="J206" s="375"/>
      <c r="K206" s="375"/>
      <c r="L206" s="375"/>
      <c r="M206" s="375"/>
      <c r="N206" s="375"/>
      <c r="O206" s="375"/>
      <c r="P206" s="375"/>
      <c r="Q206" s="375"/>
      <c r="R206" s="375"/>
      <c r="S206" s="375"/>
      <c r="T206" s="375"/>
    </row>
    <row r="207" spans="3:20" ht="17.399999999999999" x14ac:dyDescent="0.3">
      <c r="C207" s="375"/>
      <c r="D207" s="375"/>
      <c r="E207" s="375"/>
      <c r="F207" s="375"/>
      <c r="G207" s="375"/>
      <c r="H207" s="375"/>
      <c r="I207" s="375"/>
      <c r="J207" s="375"/>
      <c r="K207" s="375"/>
      <c r="L207" s="375"/>
      <c r="M207" s="375"/>
      <c r="N207" s="375"/>
      <c r="O207" s="375"/>
      <c r="P207" s="375"/>
      <c r="Q207" s="375"/>
      <c r="R207" s="375"/>
      <c r="S207" s="375"/>
      <c r="T207" s="375"/>
    </row>
    <row r="208" spans="3:20" ht="17.399999999999999" x14ac:dyDescent="0.3">
      <c r="C208" s="375"/>
      <c r="D208" s="375"/>
      <c r="E208" s="375"/>
      <c r="F208" s="375"/>
      <c r="G208" s="375"/>
      <c r="H208" s="375"/>
      <c r="I208" s="375"/>
      <c r="J208" s="375"/>
      <c r="K208" s="375"/>
      <c r="L208" s="375"/>
      <c r="M208" s="375"/>
      <c r="N208" s="375"/>
      <c r="O208" s="375"/>
      <c r="P208" s="375"/>
      <c r="Q208" s="375"/>
      <c r="R208" s="375"/>
      <c r="S208" s="375"/>
      <c r="T208" s="375"/>
    </row>
    <row r="209" spans="3:20" ht="17.399999999999999" x14ac:dyDescent="0.3">
      <c r="C209" s="375"/>
      <c r="D209" s="375"/>
      <c r="E209" s="375"/>
      <c r="F209" s="375"/>
      <c r="G209" s="375"/>
      <c r="H209" s="375"/>
      <c r="I209" s="375"/>
      <c r="J209" s="375"/>
      <c r="K209" s="375"/>
      <c r="L209" s="375"/>
      <c r="M209" s="375"/>
      <c r="N209" s="375"/>
      <c r="O209" s="375"/>
      <c r="P209" s="375"/>
      <c r="Q209" s="375"/>
      <c r="R209" s="375"/>
      <c r="S209" s="375"/>
      <c r="T209" s="375"/>
    </row>
    <row r="210" spans="3:20" ht="17.399999999999999" x14ac:dyDescent="0.3">
      <c r="C210" s="375"/>
      <c r="D210" s="375"/>
      <c r="E210" s="375"/>
      <c r="F210" s="375"/>
      <c r="G210" s="375"/>
      <c r="H210" s="375"/>
      <c r="I210" s="375"/>
      <c r="J210" s="375"/>
      <c r="K210" s="375"/>
      <c r="L210" s="375"/>
      <c r="M210" s="375"/>
      <c r="N210" s="375"/>
      <c r="O210" s="375"/>
      <c r="P210" s="375"/>
      <c r="Q210" s="375"/>
      <c r="R210" s="375"/>
      <c r="S210" s="375"/>
      <c r="T210" s="375"/>
    </row>
    <row r="211" spans="3:20" ht="17.399999999999999" x14ac:dyDescent="0.3">
      <c r="C211" s="375"/>
      <c r="D211" s="375"/>
      <c r="E211" s="375"/>
      <c r="F211" s="375"/>
      <c r="G211" s="375"/>
      <c r="H211" s="375"/>
      <c r="I211" s="375"/>
      <c r="J211" s="375"/>
      <c r="K211" s="375"/>
      <c r="L211" s="375"/>
      <c r="M211" s="375"/>
      <c r="N211" s="375"/>
      <c r="O211" s="375"/>
      <c r="P211" s="375"/>
      <c r="Q211" s="375"/>
      <c r="R211" s="375"/>
      <c r="S211" s="375"/>
      <c r="T211" s="375"/>
    </row>
    <row r="212" spans="3:20" ht="17.399999999999999" x14ac:dyDescent="0.3">
      <c r="C212" s="375"/>
      <c r="D212" s="375"/>
      <c r="E212" s="375"/>
      <c r="F212" s="375"/>
      <c r="G212" s="375"/>
      <c r="H212" s="375"/>
      <c r="I212" s="375"/>
      <c r="J212" s="375"/>
      <c r="K212" s="375"/>
      <c r="L212" s="375"/>
      <c r="M212" s="375"/>
      <c r="N212" s="375"/>
      <c r="O212" s="375"/>
      <c r="P212" s="375"/>
      <c r="Q212" s="375"/>
      <c r="R212" s="375"/>
      <c r="S212" s="375"/>
      <c r="T212" s="375"/>
    </row>
    <row r="213" spans="3:20" ht="17.399999999999999" x14ac:dyDescent="0.3">
      <c r="C213" s="375"/>
      <c r="D213" s="375"/>
      <c r="E213" s="375"/>
      <c r="F213" s="375"/>
      <c r="G213" s="375"/>
      <c r="H213" s="375"/>
      <c r="I213" s="375"/>
      <c r="J213" s="375"/>
      <c r="K213" s="375"/>
      <c r="L213" s="375"/>
      <c r="M213" s="375"/>
      <c r="N213" s="375"/>
      <c r="O213" s="375"/>
      <c r="P213" s="375"/>
      <c r="Q213" s="375"/>
      <c r="R213" s="375"/>
      <c r="S213" s="375"/>
      <c r="T213" s="375"/>
    </row>
    <row r="214" spans="3:20" ht="17.399999999999999" x14ac:dyDescent="0.3">
      <c r="C214" s="375"/>
      <c r="D214" s="375"/>
      <c r="E214" s="375"/>
      <c r="F214" s="375"/>
      <c r="G214" s="375"/>
      <c r="H214" s="375"/>
      <c r="I214" s="375"/>
      <c r="J214" s="375"/>
      <c r="K214" s="375"/>
      <c r="L214" s="375"/>
      <c r="M214" s="375"/>
      <c r="N214" s="375"/>
      <c r="O214" s="375"/>
      <c r="P214" s="375"/>
      <c r="Q214" s="375"/>
      <c r="R214" s="375"/>
      <c r="S214" s="375"/>
      <c r="T214" s="375"/>
    </row>
    <row r="215" spans="3:20" ht="17.399999999999999" x14ac:dyDescent="0.3">
      <c r="C215" s="375"/>
      <c r="D215" s="375"/>
      <c r="E215" s="375"/>
      <c r="F215" s="375"/>
      <c r="G215" s="375"/>
      <c r="H215" s="375"/>
      <c r="I215" s="375"/>
      <c r="J215" s="375"/>
      <c r="K215" s="375"/>
      <c r="L215" s="375"/>
      <c r="M215" s="375"/>
      <c r="N215" s="375"/>
      <c r="O215" s="375"/>
      <c r="P215" s="375"/>
      <c r="Q215" s="375"/>
      <c r="R215" s="375"/>
      <c r="S215" s="375"/>
      <c r="T215" s="375"/>
    </row>
    <row r="216" spans="3:20" ht="17.399999999999999" x14ac:dyDescent="0.3">
      <c r="C216" s="375"/>
      <c r="D216" s="375"/>
      <c r="E216" s="375"/>
      <c r="F216" s="375"/>
      <c r="G216" s="375"/>
      <c r="H216" s="375"/>
      <c r="I216" s="375"/>
      <c r="J216" s="375"/>
      <c r="K216" s="375"/>
      <c r="L216" s="375"/>
      <c r="M216" s="375"/>
      <c r="N216" s="375"/>
      <c r="O216" s="375"/>
      <c r="P216" s="375"/>
      <c r="Q216" s="375"/>
      <c r="R216" s="375"/>
      <c r="S216" s="375"/>
      <c r="T216" s="375"/>
    </row>
    <row r="217" spans="3:20" ht="17.399999999999999" x14ac:dyDescent="0.3">
      <c r="C217" s="375"/>
      <c r="D217" s="375"/>
      <c r="E217" s="375"/>
      <c r="F217" s="375"/>
      <c r="G217" s="375"/>
      <c r="H217" s="375"/>
      <c r="I217" s="375"/>
      <c r="J217" s="375"/>
      <c r="K217" s="375"/>
      <c r="L217" s="375"/>
      <c r="M217" s="375"/>
      <c r="N217" s="375"/>
      <c r="O217" s="375"/>
      <c r="P217" s="375"/>
      <c r="Q217" s="375"/>
      <c r="R217" s="375"/>
      <c r="S217" s="375"/>
      <c r="T217" s="375"/>
    </row>
    <row r="218" spans="3:20" ht="17.399999999999999" x14ac:dyDescent="0.3">
      <c r="C218" s="375"/>
      <c r="D218" s="375"/>
      <c r="E218" s="375"/>
      <c r="F218" s="375"/>
      <c r="G218" s="375"/>
      <c r="H218" s="375"/>
      <c r="I218" s="375"/>
      <c r="J218" s="375"/>
      <c r="K218" s="375"/>
      <c r="L218" s="375"/>
      <c r="M218" s="375"/>
      <c r="N218" s="375"/>
      <c r="O218" s="375"/>
      <c r="P218" s="375"/>
      <c r="Q218" s="375"/>
      <c r="R218" s="375"/>
      <c r="S218" s="375"/>
      <c r="T218" s="375"/>
    </row>
    <row r="219" spans="3:20" ht="17.399999999999999" x14ac:dyDescent="0.3">
      <c r="C219" s="375"/>
      <c r="D219" s="375"/>
      <c r="E219" s="375"/>
      <c r="F219" s="375"/>
      <c r="G219" s="375"/>
      <c r="H219" s="375"/>
      <c r="I219" s="375"/>
      <c r="J219" s="375"/>
      <c r="K219" s="375"/>
      <c r="L219" s="375"/>
      <c r="M219" s="375"/>
      <c r="N219" s="375"/>
      <c r="O219" s="375"/>
      <c r="P219" s="375"/>
      <c r="Q219" s="375"/>
      <c r="R219" s="375"/>
      <c r="S219" s="375"/>
      <c r="T219" s="375"/>
    </row>
    <row r="220" spans="3:20" ht="17.399999999999999" x14ac:dyDescent="0.3">
      <c r="C220" s="375"/>
      <c r="D220" s="375"/>
      <c r="E220" s="375"/>
      <c r="F220" s="375"/>
      <c r="G220" s="375"/>
      <c r="H220" s="375"/>
      <c r="I220" s="375"/>
      <c r="J220" s="375"/>
      <c r="K220" s="375"/>
      <c r="L220" s="375"/>
      <c r="M220" s="375"/>
      <c r="N220" s="375"/>
      <c r="O220" s="375"/>
      <c r="P220" s="375"/>
      <c r="Q220" s="375"/>
      <c r="R220" s="375"/>
      <c r="S220" s="375"/>
      <c r="T220" s="375"/>
    </row>
    <row r="221" spans="3:20" ht="17.399999999999999" x14ac:dyDescent="0.3">
      <c r="C221" s="375"/>
      <c r="D221" s="375"/>
      <c r="E221" s="375"/>
      <c r="F221" s="375"/>
      <c r="G221" s="375"/>
      <c r="H221" s="375"/>
      <c r="I221" s="375"/>
      <c r="J221" s="375"/>
      <c r="K221" s="375"/>
      <c r="L221" s="375"/>
      <c r="M221" s="375"/>
      <c r="N221" s="375"/>
      <c r="O221" s="375"/>
      <c r="P221" s="375"/>
      <c r="Q221" s="375"/>
      <c r="R221" s="375"/>
      <c r="S221" s="375"/>
      <c r="T221" s="375"/>
    </row>
    <row r="222" spans="3:20" ht="17.399999999999999" x14ac:dyDescent="0.3">
      <c r="C222" s="375"/>
      <c r="D222" s="375"/>
      <c r="E222" s="375"/>
      <c r="F222" s="375"/>
      <c r="G222" s="375"/>
      <c r="H222" s="375"/>
      <c r="I222" s="375"/>
      <c r="J222" s="375"/>
      <c r="K222" s="375"/>
      <c r="L222" s="375"/>
      <c r="M222" s="375"/>
      <c r="N222" s="375"/>
      <c r="O222" s="375"/>
      <c r="P222" s="375"/>
      <c r="Q222" s="375"/>
      <c r="R222" s="375"/>
      <c r="S222" s="375"/>
      <c r="T222" s="375"/>
    </row>
    <row r="223" spans="3:20" ht="17.399999999999999" x14ac:dyDescent="0.3">
      <c r="C223" s="375"/>
      <c r="D223" s="375"/>
      <c r="E223" s="375"/>
      <c r="F223" s="375"/>
      <c r="G223" s="375"/>
      <c r="H223" s="375"/>
      <c r="I223" s="375"/>
      <c r="J223" s="375"/>
      <c r="K223" s="375"/>
      <c r="L223" s="375"/>
      <c r="M223" s="375"/>
      <c r="N223" s="375"/>
      <c r="O223" s="375"/>
      <c r="P223" s="375"/>
      <c r="Q223" s="375"/>
      <c r="R223" s="375"/>
      <c r="S223" s="375"/>
      <c r="T223" s="375"/>
    </row>
    <row r="224" spans="3:20" ht="17.399999999999999" x14ac:dyDescent="0.3">
      <c r="C224" s="375"/>
      <c r="D224" s="375"/>
      <c r="E224" s="375"/>
      <c r="F224" s="375"/>
      <c r="G224" s="375"/>
      <c r="H224" s="375"/>
      <c r="I224" s="375"/>
      <c r="J224" s="375"/>
      <c r="K224" s="375"/>
      <c r="L224" s="375"/>
      <c r="M224" s="375"/>
      <c r="N224" s="375"/>
      <c r="O224" s="375"/>
      <c r="P224" s="375"/>
      <c r="Q224" s="375"/>
      <c r="R224" s="375"/>
      <c r="S224" s="375"/>
      <c r="T224" s="375"/>
    </row>
    <row r="225" spans="3:20" ht="17.399999999999999" x14ac:dyDescent="0.3">
      <c r="C225" s="375"/>
      <c r="D225" s="375"/>
      <c r="E225" s="375"/>
      <c r="F225" s="375"/>
      <c r="G225" s="375"/>
      <c r="H225" s="375"/>
      <c r="I225" s="375"/>
      <c r="J225" s="375"/>
      <c r="K225" s="375"/>
      <c r="L225" s="375"/>
      <c r="M225" s="375"/>
      <c r="N225" s="375"/>
      <c r="O225" s="375"/>
      <c r="P225" s="375"/>
      <c r="Q225" s="375"/>
      <c r="R225" s="375"/>
      <c r="S225" s="375"/>
      <c r="T225" s="375"/>
    </row>
    <row r="226" spans="3:20" ht="17.399999999999999" x14ac:dyDescent="0.3">
      <c r="C226" s="375"/>
      <c r="D226" s="375"/>
      <c r="E226" s="375"/>
      <c r="F226" s="375"/>
      <c r="G226" s="375"/>
      <c r="H226" s="375"/>
      <c r="I226" s="375"/>
      <c r="J226" s="375"/>
      <c r="K226" s="375"/>
      <c r="L226" s="375"/>
      <c r="M226" s="375"/>
      <c r="N226" s="375"/>
      <c r="O226" s="375"/>
      <c r="P226" s="375"/>
      <c r="Q226" s="375"/>
      <c r="R226" s="375"/>
      <c r="S226" s="375"/>
      <c r="T226" s="375"/>
    </row>
    <row r="227" spans="3:20" ht="17.399999999999999" x14ac:dyDescent="0.3">
      <c r="C227" s="375"/>
      <c r="D227" s="375"/>
      <c r="E227" s="375"/>
      <c r="F227" s="375"/>
      <c r="G227" s="375"/>
      <c r="H227" s="375"/>
      <c r="I227" s="375"/>
      <c r="J227" s="375"/>
      <c r="K227" s="375"/>
      <c r="L227" s="375"/>
      <c r="M227" s="375"/>
      <c r="N227" s="375"/>
      <c r="O227" s="375"/>
      <c r="P227" s="375"/>
      <c r="Q227" s="375"/>
      <c r="R227" s="375"/>
      <c r="S227" s="375"/>
      <c r="T227" s="375"/>
    </row>
    <row r="228" spans="3:20" ht="17.399999999999999" x14ac:dyDescent="0.3">
      <c r="C228" s="375"/>
      <c r="D228" s="375"/>
      <c r="E228" s="375"/>
      <c r="F228" s="375"/>
      <c r="G228" s="375"/>
      <c r="H228" s="375"/>
      <c r="I228" s="375"/>
      <c r="J228" s="375"/>
      <c r="K228" s="375"/>
      <c r="L228" s="375"/>
      <c r="M228" s="375"/>
      <c r="N228" s="375"/>
      <c r="O228" s="375"/>
      <c r="P228" s="375"/>
      <c r="Q228" s="375"/>
      <c r="R228" s="375"/>
      <c r="S228" s="375"/>
      <c r="T228" s="375"/>
    </row>
    <row r="229" spans="3:20" ht="17.399999999999999" x14ac:dyDescent="0.3">
      <c r="C229" s="375"/>
      <c r="D229" s="375"/>
      <c r="E229" s="375"/>
      <c r="F229" s="375"/>
      <c r="G229" s="375"/>
      <c r="H229" s="375"/>
      <c r="I229" s="375"/>
      <c r="J229" s="375"/>
      <c r="K229" s="375"/>
      <c r="L229" s="375"/>
      <c r="M229" s="375"/>
      <c r="N229" s="375"/>
      <c r="O229" s="375"/>
      <c r="P229" s="375"/>
      <c r="Q229" s="375"/>
      <c r="R229" s="375"/>
      <c r="S229" s="375"/>
      <c r="T229" s="375"/>
    </row>
    <row r="230" spans="3:20" ht="17.399999999999999" x14ac:dyDescent="0.3">
      <c r="C230" s="375"/>
      <c r="D230" s="375"/>
      <c r="E230" s="375"/>
      <c r="F230" s="375"/>
      <c r="G230" s="375"/>
      <c r="H230" s="375"/>
      <c r="I230" s="375"/>
      <c r="J230" s="375"/>
      <c r="K230" s="375"/>
      <c r="L230" s="375"/>
      <c r="M230" s="375"/>
      <c r="N230" s="375"/>
      <c r="O230" s="375"/>
      <c r="P230" s="375"/>
      <c r="Q230" s="375"/>
      <c r="R230" s="375"/>
      <c r="S230" s="375"/>
      <c r="T230" s="375"/>
    </row>
    <row r="231" spans="3:20" ht="17.399999999999999" x14ac:dyDescent="0.3">
      <c r="C231" s="375"/>
      <c r="D231" s="375"/>
      <c r="E231" s="375"/>
      <c r="F231" s="375"/>
      <c r="G231" s="375"/>
      <c r="H231" s="375"/>
      <c r="I231" s="375"/>
      <c r="J231" s="375"/>
      <c r="K231" s="375"/>
      <c r="L231" s="375"/>
      <c r="M231" s="375"/>
      <c r="N231" s="375"/>
      <c r="O231" s="375"/>
      <c r="P231" s="375"/>
      <c r="Q231" s="375"/>
      <c r="R231" s="375"/>
      <c r="S231" s="375"/>
      <c r="T231" s="375"/>
    </row>
    <row r="232" spans="3:20" ht="17.399999999999999" x14ac:dyDescent="0.3">
      <c r="C232" s="375"/>
      <c r="D232" s="375"/>
      <c r="E232" s="375"/>
      <c r="F232" s="375"/>
      <c r="G232" s="375"/>
      <c r="H232" s="375"/>
      <c r="I232" s="375"/>
      <c r="J232" s="375"/>
      <c r="K232" s="375"/>
      <c r="L232" s="375"/>
      <c r="M232" s="375"/>
      <c r="N232" s="375"/>
      <c r="O232" s="375"/>
      <c r="P232" s="375"/>
      <c r="Q232" s="375"/>
      <c r="R232" s="375"/>
      <c r="S232" s="375"/>
      <c r="T232" s="375"/>
    </row>
    <row r="233" spans="3:20" ht="17.399999999999999" x14ac:dyDescent="0.3">
      <c r="C233" s="375"/>
      <c r="D233" s="375"/>
      <c r="E233" s="375"/>
      <c r="F233" s="375"/>
      <c r="G233" s="375"/>
      <c r="H233" s="375"/>
      <c r="I233" s="375"/>
      <c r="J233" s="375"/>
      <c r="K233" s="375"/>
      <c r="L233" s="375"/>
      <c r="M233" s="375"/>
      <c r="N233" s="375"/>
      <c r="O233" s="375"/>
      <c r="P233" s="375"/>
      <c r="Q233" s="375"/>
      <c r="R233" s="375"/>
      <c r="S233" s="375"/>
      <c r="T233" s="375"/>
    </row>
    <row r="234" spans="3:20" ht="17.399999999999999" x14ac:dyDescent="0.3">
      <c r="C234" s="375"/>
      <c r="D234" s="375"/>
      <c r="E234" s="375"/>
      <c r="F234" s="375"/>
      <c r="G234" s="375"/>
      <c r="H234" s="375"/>
      <c r="I234" s="375"/>
      <c r="J234" s="375"/>
      <c r="K234" s="375"/>
      <c r="L234" s="375"/>
      <c r="M234" s="375"/>
      <c r="N234" s="375"/>
      <c r="O234" s="375"/>
      <c r="P234" s="375"/>
      <c r="Q234" s="375"/>
      <c r="R234" s="375"/>
      <c r="S234" s="375"/>
      <c r="T234" s="375"/>
    </row>
    <row r="235" spans="3:20" ht="17.399999999999999" x14ac:dyDescent="0.3">
      <c r="C235" s="375"/>
      <c r="D235" s="375"/>
      <c r="E235" s="375"/>
      <c r="F235" s="375"/>
      <c r="G235" s="375"/>
      <c r="H235" s="375"/>
      <c r="I235" s="375"/>
      <c r="J235" s="375"/>
      <c r="K235" s="375"/>
      <c r="L235" s="375"/>
      <c r="M235" s="375"/>
      <c r="N235" s="375"/>
      <c r="O235" s="375"/>
      <c r="P235" s="375"/>
      <c r="Q235" s="375"/>
      <c r="R235" s="375"/>
      <c r="S235" s="375"/>
      <c r="T235" s="375"/>
    </row>
    <row r="236" spans="3:20" ht="17.399999999999999" x14ac:dyDescent="0.3">
      <c r="C236" s="375"/>
      <c r="D236" s="375"/>
      <c r="E236" s="375"/>
      <c r="F236" s="375"/>
      <c r="G236" s="375"/>
      <c r="H236" s="375"/>
      <c r="I236" s="375"/>
      <c r="J236" s="375"/>
      <c r="K236" s="375"/>
      <c r="L236" s="375"/>
      <c r="M236" s="375"/>
      <c r="N236" s="375"/>
      <c r="O236" s="375"/>
      <c r="P236" s="375"/>
      <c r="Q236" s="375"/>
      <c r="R236" s="375"/>
      <c r="S236" s="375"/>
      <c r="T236" s="375"/>
    </row>
    <row r="237" spans="3:20" ht="17.399999999999999" x14ac:dyDescent="0.3">
      <c r="C237" s="375"/>
      <c r="D237" s="375"/>
      <c r="E237" s="375"/>
      <c r="F237" s="375"/>
      <c r="G237" s="375"/>
      <c r="H237" s="375"/>
      <c r="I237" s="375"/>
      <c r="J237" s="375"/>
      <c r="K237" s="375"/>
      <c r="L237" s="375"/>
      <c r="M237" s="375"/>
      <c r="N237" s="375"/>
      <c r="O237" s="375"/>
      <c r="P237" s="375"/>
      <c r="Q237" s="375"/>
      <c r="R237" s="375"/>
      <c r="S237" s="375"/>
      <c r="T237" s="375"/>
    </row>
    <row r="238" spans="3:20" ht="17.399999999999999" x14ac:dyDescent="0.3">
      <c r="C238" s="375"/>
      <c r="D238" s="375"/>
      <c r="E238" s="375"/>
      <c r="F238" s="375"/>
      <c r="G238" s="375"/>
      <c r="H238" s="375"/>
      <c r="I238" s="375"/>
      <c r="J238" s="375"/>
      <c r="K238" s="375"/>
      <c r="L238" s="375"/>
      <c r="M238" s="375"/>
      <c r="N238" s="375"/>
      <c r="O238" s="375"/>
      <c r="P238" s="375"/>
      <c r="Q238" s="375"/>
      <c r="R238" s="375"/>
      <c r="S238" s="375"/>
      <c r="T238" s="375"/>
    </row>
    <row r="239" spans="3:20" ht="17.399999999999999" x14ac:dyDescent="0.3">
      <c r="C239" s="375"/>
      <c r="D239" s="375"/>
      <c r="E239" s="375"/>
      <c r="F239" s="375"/>
      <c r="G239" s="375"/>
      <c r="H239" s="375"/>
      <c r="I239" s="375"/>
      <c r="J239" s="375"/>
      <c r="K239" s="375"/>
      <c r="L239" s="375"/>
      <c r="M239" s="375"/>
      <c r="N239" s="375"/>
      <c r="O239" s="375"/>
      <c r="P239" s="375"/>
      <c r="Q239" s="375"/>
      <c r="R239" s="375"/>
      <c r="S239" s="375"/>
      <c r="T239" s="375"/>
    </row>
    <row r="240" spans="3:20" ht="17.399999999999999" x14ac:dyDescent="0.3">
      <c r="C240" s="375"/>
      <c r="D240" s="375"/>
      <c r="E240" s="375"/>
      <c r="F240" s="375"/>
      <c r="G240" s="375"/>
      <c r="H240" s="375"/>
      <c r="I240" s="375"/>
      <c r="J240" s="375"/>
      <c r="K240" s="375"/>
      <c r="L240" s="375"/>
      <c r="M240" s="375"/>
      <c r="N240" s="375"/>
      <c r="O240" s="375"/>
      <c r="P240" s="375"/>
      <c r="Q240" s="375"/>
      <c r="R240" s="375"/>
      <c r="S240" s="375"/>
      <c r="T240" s="375"/>
    </row>
    <row r="241" spans="3:20" ht="17.399999999999999" x14ac:dyDescent="0.3">
      <c r="C241" s="375"/>
      <c r="D241" s="375"/>
      <c r="E241" s="375"/>
      <c r="F241" s="375"/>
      <c r="G241" s="375"/>
      <c r="H241" s="375"/>
      <c r="I241" s="375"/>
      <c r="J241" s="375"/>
      <c r="K241" s="375"/>
      <c r="L241" s="375"/>
      <c r="M241" s="375"/>
      <c r="N241" s="375"/>
      <c r="O241" s="375"/>
      <c r="P241" s="375"/>
      <c r="Q241" s="375"/>
      <c r="R241" s="375"/>
      <c r="S241" s="375"/>
      <c r="T241" s="375"/>
    </row>
    <row r="242" spans="3:20" ht="17.399999999999999" x14ac:dyDescent="0.3">
      <c r="C242" s="375"/>
      <c r="D242" s="375"/>
      <c r="E242" s="375"/>
      <c r="F242" s="375"/>
      <c r="G242" s="375"/>
      <c r="H242" s="375"/>
      <c r="I242" s="375"/>
      <c r="J242" s="375"/>
      <c r="K242" s="375"/>
      <c r="L242" s="375"/>
      <c r="M242" s="375"/>
      <c r="N242" s="375"/>
      <c r="O242" s="375"/>
      <c r="P242" s="375"/>
      <c r="Q242" s="375"/>
      <c r="R242" s="375"/>
      <c r="S242" s="375"/>
      <c r="T242" s="375"/>
    </row>
    <row r="243" spans="3:20" ht="17.399999999999999" x14ac:dyDescent="0.3">
      <c r="C243" s="375"/>
      <c r="D243" s="375"/>
      <c r="E243" s="375"/>
      <c r="F243" s="375"/>
      <c r="G243" s="375"/>
      <c r="H243" s="375"/>
      <c r="I243" s="375"/>
      <c r="J243" s="375"/>
      <c r="K243" s="375"/>
      <c r="L243" s="375"/>
      <c r="M243" s="375"/>
      <c r="N243" s="375"/>
      <c r="O243" s="375"/>
      <c r="P243" s="375"/>
      <c r="Q243" s="375"/>
      <c r="R243" s="375"/>
      <c r="S243" s="375"/>
      <c r="T243" s="375"/>
    </row>
    <row r="244" spans="3:20" ht="17.399999999999999" x14ac:dyDescent="0.3">
      <c r="C244" s="375"/>
      <c r="D244" s="375"/>
      <c r="E244" s="375"/>
      <c r="F244" s="375"/>
      <c r="G244" s="375"/>
      <c r="H244" s="375"/>
      <c r="I244" s="375"/>
      <c r="J244" s="375"/>
      <c r="K244" s="375"/>
      <c r="L244" s="375"/>
      <c r="M244" s="375"/>
      <c r="N244" s="375"/>
      <c r="O244" s="375"/>
      <c r="P244" s="375"/>
      <c r="Q244" s="375"/>
      <c r="R244" s="375"/>
      <c r="S244" s="375"/>
      <c r="T244" s="375"/>
    </row>
    <row r="245" spans="3:20" ht="17.399999999999999" x14ac:dyDescent="0.3">
      <c r="C245" s="375"/>
      <c r="D245" s="375"/>
      <c r="E245" s="375"/>
      <c r="F245" s="375"/>
      <c r="G245" s="375"/>
      <c r="H245" s="375"/>
      <c r="I245" s="375"/>
      <c r="J245" s="375"/>
      <c r="K245" s="375"/>
      <c r="L245" s="375"/>
      <c r="M245" s="375"/>
      <c r="N245" s="375"/>
      <c r="O245" s="375"/>
      <c r="P245" s="375"/>
      <c r="Q245" s="375"/>
      <c r="R245" s="375"/>
      <c r="S245" s="375"/>
      <c r="T245" s="375"/>
    </row>
    <row r="246" spans="3:20" ht="17.399999999999999" x14ac:dyDescent="0.3">
      <c r="C246" s="375"/>
      <c r="D246" s="375"/>
      <c r="E246" s="375"/>
      <c r="F246" s="375"/>
      <c r="G246" s="375"/>
      <c r="H246" s="375"/>
      <c r="I246" s="375"/>
      <c r="J246" s="375"/>
      <c r="K246" s="375"/>
      <c r="L246" s="375"/>
      <c r="M246" s="375"/>
      <c r="N246" s="375"/>
      <c r="O246" s="375"/>
      <c r="P246" s="375"/>
      <c r="Q246" s="375"/>
      <c r="R246" s="375"/>
      <c r="S246" s="375"/>
      <c r="T246" s="375"/>
    </row>
    <row r="247" spans="3:20" ht="17.399999999999999" x14ac:dyDescent="0.3">
      <c r="C247" s="375"/>
      <c r="D247" s="375"/>
      <c r="E247" s="375"/>
      <c r="F247" s="375"/>
      <c r="G247" s="375"/>
      <c r="H247" s="375"/>
      <c r="I247" s="375"/>
      <c r="J247" s="375"/>
      <c r="K247" s="375"/>
      <c r="L247" s="375"/>
      <c r="M247" s="375"/>
      <c r="N247" s="375"/>
      <c r="O247" s="375"/>
      <c r="P247" s="375"/>
      <c r="Q247" s="375"/>
      <c r="R247" s="375"/>
      <c r="S247" s="375"/>
      <c r="T247" s="375"/>
    </row>
    <row r="248" spans="3:20" ht="17.399999999999999" x14ac:dyDescent="0.3">
      <c r="C248" s="375"/>
      <c r="D248" s="375"/>
      <c r="E248" s="375"/>
      <c r="F248" s="375"/>
      <c r="G248" s="375"/>
      <c r="H248" s="375"/>
      <c r="I248" s="375"/>
      <c r="J248" s="375"/>
      <c r="K248" s="375"/>
      <c r="L248" s="375"/>
      <c r="M248" s="375"/>
      <c r="N248" s="375"/>
      <c r="O248" s="375"/>
      <c r="P248" s="375"/>
      <c r="Q248" s="375"/>
      <c r="R248" s="375"/>
      <c r="S248" s="375"/>
      <c r="T248" s="375"/>
    </row>
    <row r="249" spans="3:20" ht="17.399999999999999" x14ac:dyDescent="0.3">
      <c r="C249" s="375"/>
      <c r="D249" s="375"/>
      <c r="E249" s="375"/>
      <c r="F249" s="375"/>
      <c r="G249" s="375"/>
      <c r="H249" s="375"/>
      <c r="I249" s="375"/>
      <c r="J249" s="375"/>
      <c r="K249" s="375"/>
      <c r="L249" s="375"/>
      <c r="M249" s="375"/>
      <c r="N249" s="375"/>
      <c r="O249" s="375"/>
      <c r="P249" s="375"/>
      <c r="Q249" s="375"/>
      <c r="R249" s="375"/>
      <c r="S249" s="375"/>
      <c r="T249" s="375"/>
    </row>
    <row r="250" spans="3:20" ht="17.399999999999999" x14ac:dyDescent="0.3">
      <c r="C250" s="375"/>
      <c r="D250" s="375"/>
      <c r="E250" s="375"/>
      <c r="F250" s="375"/>
      <c r="G250" s="375"/>
      <c r="H250" s="375"/>
      <c r="I250" s="375"/>
      <c r="J250" s="375"/>
      <c r="K250" s="375"/>
      <c r="L250" s="375"/>
      <c r="M250" s="375"/>
      <c r="N250" s="375"/>
      <c r="O250" s="375"/>
      <c r="P250" s="375"/>
      <c r="Q250" s="375"/>
      <c r="R250" s="375"/>
      <c r="S250" s="375"/>
      <c r="T250" s="375"/>
    </row>
    <row r="251" spans="3:20" ht="17.399999999999999" x14ac:dyDescent="0.3">
      <c r="C251" s="375"/>
      <c r="D251" s="375"/>
      <c r="E251" s="375"/>
      <c r="F251" s="375"/>
      <c r="G251" s="375"/>
      <c r="H251" s="375"/>
      <c r="I251" s="375"/>
      <c r="J251" s="375"/>
      <c r="K251" s="375"/>
      <c r="L251" s="375"/>
      <c r="M251" s="375"/>
      <c r="N251" s="375"/>
      <c r="O251" s="375"/>
      <c r="P251" s="375"/>
      <c r="Q251" s="375"/>
      <c r="R251" s="375"/>
      <c r="S251" s="375"/>
      <c r="T251" s="375"/>
    </row>
    <row r="252" spans="3:20" ht="17.399999999999999" x14ac:dyDescent="0.3">
      <c r="C252" s="375"/>
      <c r="D252" s="375"/>
      <c r="E252" s="375"/>
      <c r="F252" s="375"/>
      <c r="G252" s="375"/>
      <c r="H252" s="375"/>
      <c r="I252" s="375"/>
      <c r="J252" s="375"/>
      <c r="K252" s="375"/>
      <c r="L252" s="375"/>
      <c r="M252" s="375"/>
      <c r="N252" s="375"/>
      <c r="O252" s="375"/>
      <c r="P252" s="375"/>
      <c r="Q252" s="375"/>
      <c r="R252" s="375"/>
      <c r="S252" s="375"/>
      <c r="T252" s="375"/>
    </row>
    <row r="253" spans="3:20" ht="17.399999999999999" x14ac:dyDescent="0.3">
      <c r="C253" s="375"/>
      <c r="D253" s="375"/>
      <c r="E253" s="375"/>
      <c r="F253" s="375"/>
      <c r="G253" s="375"/>
      <c r="H253" s="375"/>
      <c r="I253" s="375"/>
      <c r="J253" s="375"/>
      <c r="K253" s="375"/>
      <c r="L253" s="375"/>
      <c r="M253" s="375"/>
      <c r="N253" s="375"/>
      <c r="O253" s="375"/>
      <c r="P253" s="375"/>
      <c r="Q253" s="375"/>
      <c r="R253" s="375"/>
      <c r="S253" s="375"/>
      <c r="T253" s="375"/>
    </row>
    <row r="254" spans="3:20" ht="17.399999999999999" x14ac:dyDescent="0.3">
      <c r="C254" s="375"/>
      <c r="D254" s="375"/>
      <c r="E254" s="375"/>
      <c r="F254" s="375"/>
      <c r="G254" s="375"/>
      <c r="H254" s="375"/>
      <c r="I254" s="375"/>
      <c r="J254" s="375"/>
      <c r="K254" s="375"/>
      <c r="L254" s="375"/>
      <c r="M254" s="375"/>
      <c r="N254" s="375"/>
      <c r="O254" s="375"/>
      <c r="P254" s="375"/>
      <c r="Q254" s="375"/>
      <c r="R254" s="375"/>
      <c r="S254" s="375"/>
      <c r="T254" s="375"/>
    </row>
    <row r="255" spans="3:20" ht="17.399999999999999" x14ac:dyDescent="0.3">
      <c r="C255" s="375"/>
      <c r="D255" s="375"/>
      <c r="E255" s="375"/>
      <c r="F255" s="375"/>
      <c r="G255" s="375"/>
      <c r="H255" s="375"/>
      <c r="I255" s="375"/>
      <c r="J255" s="375"/>
      <c r="K255" s="375"/>
      <c r="L255" s="375"/>
      <c r="M255" s="375"/>
      <c r="N255" s="375"/>
      <c r="O255" s="375"/>
      <c r="P255" s="375"/>
      <c r="Q255" s="375"/>
      <c r="R255" s="375"/>
      <c r="S255" s="375"/>
      <c r="T255" s="375"/>
    </row>
    <row r="256" spans="3:20" ht="18" x14ac:dyDescent="0.35">
      <c r="C256" s="382"/>
      <c r="D256" s="382"/>
      <c r="E256" s="382"/>
      <c r="F256" s="382"/>
      <c r="G256" s="382"/>
      <c r="H256" s="382"/>
      <c r="I256" s="382"/>
      <c r="J256" s="382"/>
      <c r="K256" s="382"/>
      <c r="L256" s="382"/>
      <c r="M256" s="382"/>
      <c r="N256" s="382"/>
      <c r="O256" s="382"/>
      <c r="P256" s="382"/>
      <c r="Q256" s="382"/>
      <c r="R256" s="382"/>
      <c r="S256" s="382"/>
      <c r="T256" s="382"/>
    </row>
    <row r="257" spans="3:20" ht="18" x14ac:dyDescent="0.35">
      <c r="C257" s="382"/>
      <c r="D257" s="382"/>
      <c r="E257" s="382"/>
      <c r="F257" s="382"/>
      <c r="G257" s="382"/>
      <c r="H257" s="382"/>
      <c r="I257" s="382"/>
      <c r="J257" s="382"/>
      <c r="K257" s="382"/>
      <c r="L257" s="382"/>
      <c r="M257" s="382"/>
      <c r="N257" s="382"/>
      <c r="O257" s="382"/>
      <c r="P257" s="382"/>
      <c r="Q257" s="382"/>
      <c r="R257" s="382"/>
      <c r="S257" s="382"/>
      <c r="T257" s="382"/>
    </row>
    <row r="258" spans="3:20" ht="18" x14ac:dyDescent="0.35">
      <c r="C258" s="382"/>
      <c r="D258" s="382"/>
      <c r="E258" s="382"/>
      <c r="F258" s="382"/>
      <c r="G258" s="382"/>
      <c r="H258" s="382"/>
      <c r="I258" s="382"/>
      <c r="J258" s="382"/>
      <c r="K258" s="382"/>
      <c r="L258" s="382"/>
      <c r="M258" s="382"/>
      <c r="N258" s="382"/>
      <c r="O258" s="382"/>
      <c r="P258" s="382"/>
      <c r="Q258" s="382"/>
      <c r="R258" s="382"/>
      <c r="S258" s="382"/>
      <c r="T258" s="382"/>
    </row>
    <row r="259" spans="3:20" ht="18" x14ac:dyDescent="0.35">
      <c r="C259" s="382"/>
      <c r="D259" s="382"/>
      <c r="E259" s="382"/>
      <c r="F259" s="382"/>
      <c r="G259" s="382"/>
      <c r="H259" s="382"/>
      <c r="I259" s="382"/>
      <c r="J259" s="382"/>
      <c r="K259" s="382"/>
      <c r="L259" s="382"/>
      <c r="M259" s="382"/>
      <c r="N259" s="382"/>
      <c r="O259" s="382"/>
      <c r="P259" s="382"/>
      <c r="Q259" s="382"/>
      <c r="R259" s="382"/>
      <c r="S259" s="382"/>
      <c r="T259" s="382"/>
    </row>
    <row r="260" spans="3:20" ht="18" x14ac:dyDescent="0.35">
      <c r="C260" s="382"/>
      <c r="D260" s="382"/>
      <c r="E260" s="382"/>
      <c r="F260" s="382"/>
      <c r="G260" s="382"/>
      <c r="H260" s="382"/>
      <c r="I260" s="382"/>
      <c r="J260" s="382"/>
      <c r="K260" s="382"/>
      <c r="L260" s="382"/>
      <c r="M260" s="382"/>
      <c r="N260" s="382"/>
      <c r="O260" s="382"/>
      <c r="P260" s="382"/>
      <c r="Q260" s="382"/>
      <c r="R260" s="382"/>
      <c r="S260" s="382"/>
      <c r="T260" s="382"/>
    </row>
    <row r="261" spans="3:20" ht="18" x14ac:dyDescent="0.35">
      <c r="C261" s="382"/>
      <c r="D261" s="382"/>
      <c r="E261" s="382"/>
      <c r="F261" s="382"/>
      <c r="G261" s="382"/>
      <c r="H261" s="382"/>
      <c r="I261" s="382"/>
      <c r="J261" s="382"/>
      <c r="K261" s="382"/>
      <c r="L261" s="382"/>
      <c r="M261" s="382"/>
      <c r="N261" s="382"/>
      <c r="O261" s="382"/>
      <c r="P261" s="382"/>
      <c r="Q261" s="382"/>
      <c r="R261" s="382"/>
      <c r="S261" s="382"/>
      <c r="T261" s="382"/>
    </row>
    <row r="262" spans="3:20" ht="18" x14ac:dyDescent="0.35">
      <c r="C262" s="382"/>
      <c r="D262" s="382"/>
      <c r="E262" s="382"/>
      <c r="F262" s="382"/>
      <c r="G262" s="382"/>
      <c r="H262" s="382"/>
      <c r="I262" s="382"/>
      <c r="J262" s="382"/>
      <c r="K262" s="382"/>
      <c r="L262" s="382"/>
      <c r="M262" s="382"/>
      <c r="N262" s="382"/>
      <c r="O262" s="382"/>
      <c r="P262" s="382"/>
      <c r="Q262" s="382"/>
      <c r="R262" s="382"/>
      <c r="S262" s="382"/>
      <c r="T262" s="382"/>
    </row>
    <row r="263" spans="3:20" ht="18" x14ac:dyDescent="0.35">
      <c r="C263" s="382"/>
      <c r="D263" s="382"/>
      <c r="E263" s="382"/>
      <c r="F263" s="382"/>
      <c r="G263" s="382"/>
      <c r="H263" s="382"/>
      <c r="I263" s="382"/>
      <c r="J263" s="382"/>
      <c r="K263" s="382"/>
      <c r="L263" s="382"/>
      <c r="M263" s="382"/>
      <c r="N263" s="382"/>
      <c r="O263" s="382"/>
      <c r="P263" s="382"/>
      <c r="Q263" s="382"/>
      <c r="R263" s="382"/>
      <c r="S263" s="382"/>
      <c r="T263" s="382"/>
    </row>
    <row r="264" spans="3:20" ht="18" x14ac:dyDescent="0.35">
      <c r="C264" s="382"/>
      <c r="D264" s="382"/>
      <c r="E264" s="382"/>
      <c r="F264" s="382"/>
      <c r="G264" s="382"/>
      <c r="H264" s="382"/>
      <c r="I264" s="382"/>
      <c r="J264" s="382"/>
      <c r="K264" s="382"/>
      <c r="L264" s="382"/>
      <c r="M264" s="382"/>
      <c r="N264" s="382"/>
      <c r="O264" s="382"/>
      <c r="P264" s="382"/>
      <c r="Q264" s="382"/>
      <c r="R264" s="382"/>
      <c r="S264" s="382"/>
      <c r="T264" s="382"/>
    </row>
    <row r="265" spans="3:20" ht="18" x14ac:dyDescent="0.35">
      <c r="C265" s="382"/>
      <c r="D265" s="382"/>
      <c r="E265" s="382"/>
      <c r="F265" s="382"/>
      <c r="G265" s="382"/>
      <c r="H265" s="382"/>
      <c r="I265" s="382"/>
      <c r="J265" s="382"/>
      <c r="K265" s="382"/>
      <c r="L265" s="382"/>
      <c r="M265" s="382"/>
      <c r="N265" s="382"/>
      <c r="O265" s="382"/>
      <c r="P265" s="382"/>
      <c r="Q265" s="382"/>
      <c r="R265" s="382"/>
      <c r="S265" s="382"/>
      <c r="T265" s="382"/>
    </row>
    <row r="266" spans="3:20" ht="18" x14ac:dyDescent="0.35">
      <c r="C266" s="382"/>
      <c r="D266" s="382"/>
      <c r="E266" s="382"/>
      <c r="F266" s="382"/>
      <c r="G266" s="382"/>
      <c r="H266" s="382"/>
      <c r="I266" s="382"/>
      <c r="J266" s="382"/>
      <c r="K266" s="382"/>
      <c r="L266" s="382"/>
      <c r="M266" s="382"/>
      <c r="N266" s="382"/>
      <c r="O266" s="382"/>
      <c r="P266" s="382"/>
      <c r="Q266" s="382"/>
      <c r="R266" s="382"/>
      <c r="S266" s="382"/>
      <c r="T266" s="382"/>
    </row>
    <row r="267" spans="3:20" ht="18" x14ac:dyDescent="0.35">
      <c r="C267" s="382"/>
      <c r="D267" s="382"/>
      <c r="E267" s="382"/>
      <c r="F267" s="382"/>
      <c r="G267" s="382"/>
      <c r="H267" s="382"/>
      <c r="I267" s="382"/>
      <c r="J267" s="382"/>
      <c r="K267" s="382"/>
      <c r="L267" s="382"/>
      <c r="M267" s="382"/>
      <c r="N267" s="382"/>
      <c r="O267" s="382"/>
      <c r="P267" s="382"/>
      <c r="Q267" s="382"/>
      <c r="R267" s="382"/>
      <c r="S267" s="382"/>
      <c r="T267" s="382"/>
    </row>
    <row r="268" spans="3:20" ht="18" x14ac:dyDescent="0.35">
      <c r="C268" s="382"/>
      <c r="D268" s="382"/>
      <c r="E268" s="382"/>
      <c r="F268" s="382"/>
      <c r="G268" s="382"/>
      <c r="H268" s="382"/>
      <c r="I268" s="382"/>
      <c r="J268" s="382"/>
      <c r="K268" s="382"/>
      <c r="L268" s="382"/>
      <c r="M268" s="382"/>
      <c r="N268" s="382"/>
      <c r="O268" s="382"/>
      <c r="P268" s="382"/>
      <c r="Q268" s="382"/>
      <c r="R268" s="382"/>
      <c r="S268" s="382"/>
      <c r="T268" s="382"/>
    </row>
    <row r="269" spans="3:20" ht="18" x14ac:dyDescent="0.35">
      <c r="C269" s="382"/>
      <c r="D269" s="382"/>
      <c r="E269" s="382"/>
      <c r="F269" s="382"/>
      <c r="G269" s="382"/>
      <c r="H269" s="382"/>
      <c r="I269" s="382"/>
      <c r="J269" s="382"/>
      <c r="K269" s="382"/>
      <c r="L269" s="382"/>
      <c r="M269" s="382"/>
      <c r="N269" s="382"/>
      <c r="O269" s="382"/>
      <c r="P269" s="382"/>
      <c r="Q269" s="382"/>
      <c r="R269" s="382"/>
      <c r="S269" s="382"/>
      <c r="T269" s="382"/>
    </row>
    <row r="270" spans="3:20" ht="18" x14ac:dyDescent="0.35">
      <c r="C270" s="382"/>
      <c r="D270" s="382"/>
      <c r="E270" s="382"/>
      <c r="F270" s="382"/>
      <c r="G270" s="382"/>
      <c r="H270" s="382"/>
      <c r="I270" s="382"/>
      <c r="J270" s="382"/>
      <c r="K270" s="382"/>
      <c r="L270" s="382"/>
      <c r="M270" s="382"/>
      <c r="N270" s="382"/>
      <c r="O270" s="382"/>
      <c r="P270" s="382"/>
      <c r="Q270" s="382"/>
      <c r="R270" s="382"/>
      <c r="S270" s="382"/>
      <c r="T270" s="382"/>
    </row>
    <row r="271" spans="3:20" ht="18" x14ac:dyDescent="0.35">
      <c r="C271" s="382"/>
      <c r="D271" s="382"/>
      <c r="E271" s="382"/>
      <c r="F271" s="382"/>
      <c r="G271" s="382"/>
      <c r="H271" s="382"/>
      <c r="I271" s="382"/>
      <c r="J271" s="382"/>
      <c r="K271" s="382"/>
      <c r="L271" s="382"/>
      <c r="M271" s="382"/>
      <c r="N271" s="382"/>
      <c r="O271" s="382"/>
      <c r="P271" s="382"/>
      <c r="Q271" s="382"/>
      <c r="R271" s="382"/>
      <c r="S271" s="382"/>
      <c r="T271" s="382"/>
    </row>
    <row r="272" spans="3:20" ht="18" x14ac:dyDescent="0.35">
      <c r="C272" s="382"/>
      <c r="D272" s="382"/>
      <c r="E272" s="382"/>
      <c r="F272" s="382"/>
      <c r="G272" s="382"/>
      <c r="H272" s="382"/>
      <c r="I272" s="382"/>
      <c r="J272" s="382"/>
      <c r="K272" s="382"/>
      <c r="L272" s="382"/>
      <c r="M272" s="382"/>
      <c r="N272" s="382"/>
      <c r="O272" s="382"/>
      <c r="P272" s="382"/>
      <c r="Q272" s="382"/>
      <c r="R272" s="382"/>
      <c r="S272" s="382"/>
      <c r="T272" s="382"/>
    </row>
    <row r="273" spans="3:20" ht="18" x14ac:dyDescent="0.35">
      <c r="C273" s="382"/>
      <c r="D273" s="382"/>
      <c r="E273" s="382"/>
      <c r="F273" s="382"/>
      <c r="G273" s="382"/>
      <c r="H273" s="382"/>
      <c r="I273" s="382"/>
      <c r="J273" s="382"/>
      <c r="K273" s="382"/>
      <c r="L273" s="382"/>
      <c r="M273" s="382"/>
      <c r="N273" s="382"/>
      <c r="O273" s="382"/>
      <c r="P273" s="382"/>
      <c r="Q273" s="382"/>
      <c r="R273" s="382"/>
      <c r="S273" s="382"/>
      <c r="T273" s="382"/>
    </row>
    <row r="274" spans="3:20" ht="18" x14ac:dyDescent="0.35">
      <c r="C274" s="382"/>
      <c r="D274" s="382"/>
      <c r="E274" s="382"/>
      <c r="F274" s="382"/>
      <c r="G274" s="382"/>
      <c r="H274" s="382"/>
      <c r="I274" s="382"/>
      <c r="J274" s="382"/>
      <c r="K274" s="382"/>
      <c r="L274" s="382"/>
      <c r="M274" s="382"/>
      <c r="N274" s="382"/>
      <c r="O274" s="382"/>
      <c r="P274" s="382"/>
      <c r="Q274" s="382"/>
      <c r="R274" s="382"/>
      <c r="S274" s="382"/>
      <c r="T274" s="382"/>
    </row>
    <row r="275" spans="3:20" ht="18" x14ac:dyDescent="0.35">
      <c r="C275" s="382"/>
      <c r="D275" s="382"/>
      <c r="E275" s="382"/>
      <c r="F275" s="382"/>
      <c r="G275" s="382"/>
      <c r="H275" s="382"/>
      <c r="I275" s="382"/>
      <c r="J275" s="382"/>
      <c r="K275" s="382"/>
      <c r="L275" s="382"/>
      <c r="M275" s="382"/>
      <c r="N275" s="382"/>
      <c r="O275" s="382"/>
      <c r="P275" s="382"/>
      <c r="Q275" s="382"/>
      <c r="R275" s="382"/>
      <c r="S275" s="382"/>
      <c r="T275" s="382"/>
    </row>
    <row r="276" spans="3:20" ht="18" x14ac:dyDescent="0.35">
      <c r="C276" s="382"/>
      <c r="D276" s="382"/>
      <c r="E276" s="382"/>
      <c r="F276" s="382"/>
      <c r="G276" s="382"/>
      <c r="H276" s="382"/>
      <c r="I276" s="382"/>
      <c r="J276" s="382"/>
      <c r="K276" s="382"/>
      <c r="L276" s="382"/>
      <c r="M276" s="382"/>
      <c r="N276" s="382"/>
      <c r="O276" s="382"/>
      <c r="P276" s="382"/>
      <c r="Q276" s="382"/>
      <c r="R276" s="382"/>
      <c r="S276" s="382"/>
      <c r="T276" s="382"/>
    </row>
    <row r="277" spans="3:20" ht="18" x14ac:dyDescent="0.35">
      <c r="C277" s="382"/>
      <c r="D277" s="382"/>
      <c r="E277" s="382"/>
      <c r="F277" s="382"/>
      <c r="G277" s="382"/>
      <c r="H277" s="382"/>
      <c r="I277" s="382"/>
      <c r="J277" s="382"/>
      <c r="K277" s="382"/>
      <c r="L277" s="382"/>
      <c r="M277" s="382"/>
      <c r="N277" s="382"/>
      <c r="O277" s="382"/>
      <c r="P277" s="382"/>
      <c r="Q277" s="382"/>
      <c r="R277" s="382"/>
      <c r="S277" s="382"/>
      <c r="T277" s="382"/>
    </row>
    <row r="278" spans="3:20" ht="18" x14ac:dyDescent="0.35">
      <c r="C278" s="382"/>
      <c r="D278" s="382"/>
      <c r="E278" s="382"/>
      <c r="F278" s="382"/>
      <c r="G278" s="382"/>
      <c r="H278" s="382"/>
      <c r="I278" s="382"/>
      <c r="J278" s="382"/>
      <c r="K278" s="382"/>
      <c r="L278" s="382"/>
      <c r="M278" s="382"/>
      <c r="N278" s="382"/>
      <c r="O278" s="382"/>
      <c r="P278" s="382"/>
      <c r="Q278" s="382"/>
      <c r="R278" s="382"/>
      <c r="S278" s="382"/>
      <c r="T278" s="382"/>
    </row>
    <row r="279" spans="3:20" ht="18" x14ac:dyDescent="0.35">
      <c r="C279" s="382"/>
      <c r="D279" s="382"/>
      <c r="E279" s="382"/>
      <c r="F279" s="382"/>
      <c r="G279" s="382"/>
      <c r="H279" s="382"/>
      <c r="I279" s="382"/>
      <c r="J279" s="382"/>
      <c r="K279" s="382"/>
      <c r="L279" s="382"/>
      <c r="M279" s="382"/>
      <c r="N279" s="382"/>
      <c r="O279" s="382"/>
      <c r="P279" s="382"/>
      <c r="Q279" s="382"/>
      <c r="R279" s="382"/>
      <c r="S279" s="382"/>
      <c r="T279" s="382"/>
    </row>
    <row r="280" spans="3:20" ht="18" x14ac:dyDescent="0.35">
      <c r="C280" s="382"/>
      <c r="D280" s="382"/>
      <c r="E280" s="382"/>
      <c r="F280" s="382"/>
      <c r="G280" s="382"/>
      <c r="H280" s="382"/>
      <c r="I280" s="382"/>
      <c r="J280" s="382"/>
      <c r="K280" s="382"/>
      <c r="L280" s="382"/>
      <c r="M280" s="382"/>
      <c r="N280" s="382"/>
      <c r="O280" s="382"/>
      <c r="P280" s="382"/>
      <c r="Q280" s="382"/>
      <c r="R280" s="382"/>
      <c r="S280" s="382"/>
      <c r="T280" s="382"/>
    </row>
    <row r="281" spans="3:20" ht="18" x14ac:dyDescent="0.35">
      <c r="C281" s="382"/>
      <c r="D281" s="382"/>
      <c r="E281" s="382"/>
      <c r="F281" s="382"/>
      <c r="G281" s="382"/>
      <c r="H281" s="382"/>
      <c r="I281" s="382"/>
      <c r="J281" s="382"/>
      <c r="K281" s="382"/>
      <c r="L281" s="382"/>
      <c r="M281" s="382"/>
      <c r="N281" s="382"/>
      <c r="O281" s="382"/>
      <c r="P281" s="382"/>
      <c r="Q281" s="382"/>
      <c r="R281" s="382"/>
      <c r="S281" s="382"/>
      <c r="T281" s="382"/>
    </row>
    <row r="282" spans="3:20" ht="18" x14ac:dyDescent="0.35">
      <c r="C282" s="382"/>
      <c r="D282" s="382"/>
      <c r="E282" s="382"/>
      <c r="F282" s="382"/>
      <c r="G282" s="382"/>
      <c r="H282" s="382"/>
      <c r="I282" s="382"/>
      <c r="J282" s="382"/>
      <c r="K282" s="382"/>
      <c r="L282" s="382"/>
      <c r="M282" s="382"/>
      <c r="N282" s="382"/>
      <c r="O282" s="382"/>
      <c r="P282" s="382"/>
      <c r="Q282" s="382"/>
      <c r="R282" s="382"/>
      <c r="S282" s="382"/>
      <c r="T282" s="382"/>
    </row>
    <row r="283" spans="3:20" ht="18" x14ac:dyDescent="0.35">
      <c r="C283" s="382"/>
      <c r="D283" s="382"/>
      <c r="E283" s="382"/>
      <c r="F283" s="382"/>
      <c r="G283" s="382"/>
      <c r="H283" s="382"/>
      <c r="I283" s="382"/>
      <c r="J283" s="382"/>
      <c r="K283" s="382"/>
      <c r="L283" s="382"/>
      <c r="M283" s="382"/>
      <c r="N283" s="382"/>
      <c r="O283" s="382"/>
      <c r="P283" s="382"/>
      <c r="Q283" s="382"/>
      <c r="R283" s="382"/>
      <c r="S283" s="382"/>
      <c r="T283" s="382"/>
    </row>
    <row r="284" spans="3:20" ht="18" x14ac:dyDescent="0.35">
      <c r="C284" s="382"/>
      <c r="D284" s="382"/>
      <c r="E284" s="382"/>
      <c r="F284" s="382"/>
      <c r="G284" s="382"/>
      <c r="H284" s="382"/>
      <c r="I284" s="382"/>
      <c r="J284" s="382"/>
      <c r="K284" s="382"/>
      <c r="L284" s="382"/>
      <c r="M284" s="382"/>
      <c r="N284" s="382"/>
      <c r="O284" s="382"/>
      <c r="P284" s="382"/>
      <c r="Q284" s="382"/>
      <c r="R284" s="382"/>
      <c r="S284" s="382"/>
      <c r="T284" s="382"/>
    </row>
    <row r="285" spans="3:20" ht="18" x14ac:dyDescent="0.35">
      <c r="C285" s="382"/>
      <c r="D285" s="382"/>
      <c r="E285" s="382"/>
      <c r="F285" s="382"/>
      <c r="G285" s="382"/>
      <c r="H285" s="382"/>
      <c r="I285" s="382"/>
      <c r="J285" s="382"/>
      <c r="K285" s="382"/>
      <c r="L285" s="382"/>
      <c r="M285" s="382"/>
      <c r="N285" s="382"/>
      <c r="O285" s="382"/>
      <c r="P285" s="382"/>
      <c r="Q285" s="382"/>
      <c r="R285" s="382"/>
      <c r="S285" s="382"/>
      <c r="T285" s="382"/>
    </row>
    <row r="286" spans="3:20" ht="18" x14ac:dyDescent="0.35">
      <c r="C286" s="382"/>
      <c r="D286" s="382"/>
      <c r="E286" s="382"/>
      <c r="F286" s="382"/>
      <c r="G286" s="382"/>
      <c r="H286" s="382"/>
      <c r="I286" s="382"/>
      <c r="J286" s="382"/>
      <c r="K286" s="382"/>
      <c r="L286" s="382"/>
      <c r="M286" s="382"/>
      <c r="N286" s="382"/>
      <c r="O286" s="382"/>
      <c r="P286" s="382"/>
      <c r="Q286" s="382"/>
      <c r="R286" s="382"/>
      <c r="S286" s="382"/>
      <c r="T286" s="382"/>
    </row>
    <row r="287" spans="3:20" ht="18" x14ac:dyDescent="0.35">
      <c r="C287" s="382"/>
      <c r="D287" s="382"/>
      <c r="E287" s="382"/>
      <c r="F287" s="382"/>
      <c r="G287" s="382"/>
      <c r="H287" s="382"/>
      <c r="I287" s="382"/>
      <c r="J287" s="382"/>
      <c r="K287" s="382"/>
      <c r="L287" s="382"/>
      <c r="M287" s="382"/>
      <c r="N287" s="382"/>
      <c r="O287" s="382"/>
      <c r="P287" s="382"/>
      <c r="Q287" s="382"/>
      <c r="R287" s="382"/>
      <c r="S287" s="382"/>
      <c r="T287" s="382"/>
    </row>
    <row r="288" spans="3:20" ht="18" x14ac:dyDescent="0.35">
      <c r="C288" s="382"/>
      <c r="D288" s="382"/>
      <c r="E288" s="382"/>
      <c r="F288" s="382"/>
      <c r="G288" s="382"/>
      <c r="H288" s="382"/>
      <c r="I288" s="382"/>
      <c r="J288" s="382"/>
      <c r="K288" s="382"/>
      <c r="L288" s="382"/>
      <c r="M288" s="382"/>
      <c r="N288" s="382"/>
      <c r="O288" s="382"/>
      <c r="P288" s="382"/>
      <c r="Q288" s="382"/>
      <c r="R288" s="382"/>
      <c r="S288" s="382"/>
      <c r="T288" s="382"/>
    </row>
    <row r="289" spans="3:20" ht="18" x14ac:dyDescent="0.35">
      <c r="C289" s="382"/>
      <c r="D289" s="382"/>
      <c r="E289" s="382"/>
      <c r="F289" s="382"/>
      <c r="G289" s="382"/>
      <c r="H289" s="382"/>
      <c r="I289" s="382"/>
      <c r="J289" s="382"/>
      <c r="K289" s="382"/>
      <c r="L289" s="382"/>
      <c r="M289" s="382"/>
      <c r="N289" s="382"/>
      <c r="O289" s="382"/>
      <c r="P289" s="382"/>
      <c r="Q289" s="382"/>
      <c r="R289" s="382"/>
      <c r="S289" s="382"/>
      <c r="T289" s="382"/>
    </row>
    <row r="290" spans="3:20" ht="18" x14ac:dyDescent="0.35">
      <c r="C290" s="382"/>
      <c r="D290" s="382"/>
      <c r="E290" s="382"/>
      <c r="F290" s="382"/>
      <c r="G290" s="382"/>
      <c r="H290" s="382"/>
      <c r="I290" s="382"/>
      <c r="J290" s="382"/>
      <c r="K290" s="382"/>
      <c r="L290" s="382"/>
      <c r="M290" s="382"/>
      <c r="N290" s="382"/>
      <c r="O290" s="382"/>
      <c r="P290" s="382"/>
      <c r="Q290" s="382"/>
      <c r="R290" s="382"/>
      <c r="S290" s="382"/>
      <c r="T290" s="382"/>
    </row>
    <row r="291" spans="3:20" ht="18" x14ac:dyDescent="0.35">
      <c r="C291" s="382"/>
      <c r="D291" s="382"/>
      <c r="E291" s="382"/>
      <c r="F291" s="382"/>
      <c r="G291" s="382"/>
      <c r="H291" s="382"/>
      <c r="I291" s="382"/>
      <c r="J291" s="382"/>
      <c r="K291" s="382"/>
      <c r="L291" s="382"/>
      <c r="M291" s="382"/>
      <c r="N291" s="382"/>
      <c r="O291" s="382"/>
      <c r="P291" s="382"/>
      <c r="Q291" s="382"/>
      <c r="R291" s="382"/>
      <c r="S291" s="382"/>
      <c r="T291" s="382"/>
    </row>
    <row r="292" spans="3:20" ht="18" x14ac:dyDescent="0.35">
      <c r="C292" s="382"/>
      <c r="D292" s="382"/>
      <c r="E292" s="382"/>
      <c r="F292" s="382"/>
      <c r="G292" s="382"/>
      <c r="H292" s="382"/>
      <c r="I292" s="382"/>
      <c r="J292" s="382"/>
      <c r="K292" s="382"/>
      <c r="L292" s="382"/>
      <c r="M292" s="382"/>
      <c r="N292" s="382"/>
      <c r="O292" s="382"/>
      <c r="P292" s="382"/>
      <c r="Q292" s="382"/>
      <c r="R292" s="382"/>
      <c r="S292" s="382"/>
      <c r="T292" s="382"/>
    </row>
    <row r="293" spans="3:20" ht="18" x14ac:dyDescent="0.35">
      <c r="C293" s="382"/>
      <c r="D293" s="382"/>
      <c r="E293" s="382"/>
      <c r="F293" s="382"/>
      <c r="G293" s="382"/>
      <c r="H293" s="382"/>
      <c r="I293" s="382"/>
      <c r="J293" s="382"/>
      <c r="K293" s="382"/>
      <c r="L293" s="382"/>
      <c r="M293" s="382"/>
      <c r="N293" s="382"/>
      <c r="O293" s="382"/>
      <c r="P293" s="382"/>
      <c r="Q293" s="382"/>
      <c r="R293" s="382"/>
      <c r="S293" s="382"/>
      <c r="T293" s="382"/>
    </row>
    <row r="294" spans="3:20" ht="18" x14ac:dyDescent="0.35">
      <c r="C294" s="382"/>
      <c r="D294" s="382"/>
      <c r="E294" s="382"/>
      <c r="F294" s="382"/>
      <c r="G294" s="382"/>
      <c r="H294" s="382"/>
      <c r="I294" s="382"/>
      <c r="J294" s="382"/>
      <c r="K294" s="382"/>
      <c r="L294" s="382"/>
      <c r="M294" s="382"/>
      <c r="N294" s="382"/>
      <c r="O294" s="382"/>
      <c r="P294" s="382"/>
      <c r="Q294" s="382"/>
      <c r="R294" s="382"/>
      <c r="S294" s="382"/>
      <c r="T294" s="382"/>
    </row>
    <row r="295" spans="3:20" ht="18" x14ac:dyDescent="0.35">
      <c r="C295" s="382"/>
      <c r="D295" s="382"/>
      <c r="E295" s="382"/>
      <c r="F295" s="382"/>
      <c r="G295" s="382"/>
      <c r="H295" s="382"/>
      <c r="I295" s="382"/>
      <c r="J295" s="382"/>
      <c r="K295" s="382"/>
      <c r="L295" s="382"/>
      <c r="M295" s="382"/>
      <c r="N295" s="382"/>
      <c r="O295" s="382"/>
      <c r="P295" s="382"/>
      <c r="Q295" s="382"/>
      <c r="R295" s="382"/>
      <c r="S295" s="382"/>
      <c r="T295" s="382"/>
    </row>
    <row r="296" spans="3:20" ht="18" x14ac:dyDescent="0.35">
      <c r="C296" s="382"/>
      <c r="D296" s="382"/>
      <c r="E296" s="382"/>
      <c r="F296" s="382"/>
      <c r="G296" s="382"/>
      <c r="H296" s="382"/>
      <c r="I296" s="382"/>
      <c r="J296" s="382"/>
      <c r="K296" s="382"/>
      <c r="L296" s="382"/>
      <c r="M296" s="382"/>
      <c r="N296" s="382"/>
      <c r="O296" s="382"/>
      <c r="P296" s="382"/>
      <c r="Q296" s="382"/>
      <c r="R296" s="382"/>
      <c r="S296" s="382"/>
      <c r="T296" s="382"/>
    </row>
    <row r="297" spans="3:20" ht="18" x14ac:dyDescent="0.35">
      <c r="C297" s="382"/>
      <c r="D297" s="382"/>
      <c r="E297" s="382"/>
      <c r="F297" s="382"/>
      <c r="G297" s="382"/>
      <c r="H297" s="382"/>
      <c r="I297" s="382"/>
      <c r="J297" s="382"/>
      <c r="K297" s="382"/>
      <c r="L297" s="382"/>
      <c r="M297" s="382"/>
      <c r="N297" s="382"/>
      <c r="O297" s="382"/>
      <c r="P297" s="382"/>
      <c r="Q297" s="382"/>
      <c r="R297" s="382"/>
      <c r="S297" s="382"/>
      <c r="T297" s="382"/>
    </row>
    <row r="298" spans="3:20" ht="18" x14ac:dyDescent="0.35">
      <c r="C298" s="382"/>
      <c r="D298" s="382"/>
      <c r="E298" s="382"/>
      <c r="F298" s="382"/>
      <c r="G298" s="382"/>
      <c r="H298" s="382"/>
      <c r="I298" s="382"/>
      <c r="J298" s="382"/>
      <c r="K298" s="382"/>
      <c r="L298" s="382"/>
      <c r="M298" s="382"/>
      <c r="N298" s="382"/>
      <c r="O298" s="382"/>
      <c r="P298" s="382"/>
      <c r="Q298" s="382"/>
      <c r="R298" s="382"/>
      <c r="S298" s="382"/>
      <c r="T298" s="382"/>
    </row>
    <row r="299" spans="3:20" ht="18" x14ac:dyDescent="0.35">
      <c r="C299" s="382"/>
      <c r="D299" s="382"/>
      <c r="E299" s="382"/>
      <c r="F299" s="382"/>
      <c r="G299" s="382"/>
      <c r="H299" s="382"/>
      <c r="I299" s="382"/>
      <c r="J299" s="382"/>
      <c r="K299" s="382"/>
      <c r="L299" s="382"/>
      <c r="M299" s="382"/>
      <c r="N299" s="382"/>
      <c r="O299" s="382"/>
      <c r="P299" s="382"/>
      <c r="Q299" s="382"/>
      <c r="R299" s="382"/>
      <c r="S299" s="382"/>
      <c r="T299" s="382"/>
    </row>
    <row r="300" spans="3:20" ht="18" x14ac:dyDescent="0.35">
      <c r="C300" s="382"/>
      <c r="D300" s="382"/>
      <c r="E300" s="382"/>
      <c r="F300" s="382"/>
      <c r="G300" s="382"/>
      <c r="H300" s="382"/>
      <c r="I300" s="382"/>
      <c r="J300" s="382"/>
      <c r="K300" s="382"/>
      <c r="L300" s="382"/>
      <c r="M300" s="382"/>
      <c r="N300" s="382"/>
      <c r="O300" s="382"/>
      <c r="P300" s="382"/>
      <c r="Q300" s="382"/>
      <c r="R300" s="382"/>
      <c r="S300" s="382"/>
      <c r="T300" s="382"/>
    </row>
    <row r="301" spans="3:20" ht="18" x14ac:dyDescent="0.35">
      <c r="C301" s="382"/>
      <c r="D301" s="382"/>
      <c r="E301" s="382"/>
      <c r="F301" s="382"/>
      <c r="G301" s="382"/>
      <c r="H301" s="382"/>
      <c r="I301" s="382"/>
      <c r="J301" s="382"/>
      <c r="K301" s="382"/>
      <c r="L301" s="382"/>
      <c r="M301" s="382"/>
      <c r="N301" s="382"/>
      <c r="O301" s="382"/>
      <c r="P301" s="382"/>
      <c r="Q301" s="382"/>
      <c r="R301" s="382"/>
      <c r="S301" s="382"/>
      <c r="T301" s="382"/>
    </row>
    <row r="302" spans="3:20" ht="18" x14ac:dyDescent="0.35">
      <c r="C302" s="382"/>
      <c r="D302" s="382"/>
      <c r="E302" s="382"/>
      <c r="F302" s="382"/>
      <c r="G302" s="382"/>
      <c r="H302" s="382"/>
      <c r="I302" s="382"/>
      <c r="J302" s="382"/>
      <c r="K302" s="382"/>
      <c r="L302" s="382"/>
      <c r="M302" s="382"/>
      <c r="N302" s="382"/>
      <c r="O302" s="382"/>
      <c r="P302" s="382"/>
      <c r="Q302" s="382"/>
      <c r="R302" s="382"/>
      <c r="S302" s="382"/>
      <c r="T302" s="382"/>
    </row>
    <row r="303" spans="3:20" ht="18" x14ac:dyDescent="0.35">
      <c r="C303" s="382"/>
      <c r="D303" s="382"/>
      <c r="E303" s="382"/>
      <c r="F303" s="382"/>
      <c r="G303" s="382"/>
      <c r="H303" s="382"/>
      <c r="I303" s="382"/>
      <c r="J303" s="382"/>
      <c r="K303" s="382"/>
      <c r="L303" s="382"/>
      <c r="M303" s="382"/>
      <c r="N303" s="382"/>
      <c r="O303" s="382"/>
      <c r="P303" s="382"/>
      <c r="Q303" s="382"/>
      <c r="R303" s="382"/>
      <c r="S303" s="382"/>
      <c r="T303" s="382"/>
    </row>
    <row r="304" spans="3:20" ht="18" x14ac:dyDescent="0.35">
      <c r="C304" s="382"/>
      <c r="D304" s="382"/>
      <c r="E304" s="382"/>
      <c r="F304" s="382"/>
      <c r="G304" s="382"/>
      <c r="H304" s="382"/>
      <c r="I304" s="382"/>
      <c r="J304" s="382"/>
      <c r="K304" s="382"/>
      <c r="L304" s="382"/>
      <c r="M304" s="382"/>
      <c r="N304" s="382"/>
      <c r="O304" s="382"/>
      <c r="P304" s="382"/>
      <c r="Q304" s="382"/>
      <c r="R304" s="382"/>
      <c r="S304" s="382"/>
      <c r="T304" s="382"/>
    </row>
    <row r="305" spans="3:20" ht="18" x14ac:dyDescent="0.35">
      <c r="C305" s="382"/>
      <c r="D305" s="382"/>
      <c r="E305" s="382"/>
      <c r="F305" s="382"/>
      <c r="G305" s="382"/>
      <c r="H305" s="382"/>
      <c r="I305" s="382"/>
      <c r="J305" s="382"/>
      <c r="K305" s="382"/>
      <c r="L305" s="382"/>
      <c r="M305" s="382"/>
      <c r="N305" s="382"/>
      <c r="O305" s="382"/>
      <c r="P305" s="382"/>
      <c r="Q305" s="382"/>
      <c r="R305" s="382"/>
      <c r="S305" s="382"/>
      <c r="T305" s="382"/>
    </row>
    <row r="306" spans="3:20" ht="18" x14ac:dyDescent="0.35">
      <c r="C306" s="382"/>
      <c r="D306" s="382"/>
      <c r="E306" s="382"/>
      <c r="F306" s="382"/>
      <c r="G306" s="382"/>
      <c r="H306" s="382"/>
      <c r="I306" s="382"/>
      <c r="J306" s="382"/>
      <c r="K306" s="382"/>
      <c r="L306" s="382"/>
      <c r="M306" s="382"/>
      <c r="N306" s="382"/>
      <c r="O306" s="382"/>
      <c r="P306" s="382"/>
      <c r="Q306" s="382"/>
      <c r="R306" s="382"/>
      <c r="S306" s="382"/>
      <c r="T306" s="382"/>
    </row>
    <row r="307" spans="3:20" ht="18" x14ac:dyDescent="0.35">
      <c r="C307" s="382"/>
      <c r="D307" s="382"/>
      <c r="E307" s="382"/>
      <c r="F307" s="382"/>
      <c r="G307" s="382"/>
      <c r="H307" s="382"/>
      <c r="I307" s="382"/>
      <c r="J307" s="382"/>
      <c r="K307" s="382"/>
      <c r="L307" s="382"/>
      <c r="M307" s="382"/>
      <c r="N307" s="382"/>
      <c r="O307" s="382"/>
      <c r="P307" s="382"/>
      <c r="Q307" s="382"/>
      <c r="R307" s="382"/>
      <c r="S307" s="382"/>
      <c r="T307" s="382"/>
    </row>
    <row r="308" spans="3:20" ht="18" x14ac:dyDescent="0.35">
      <c r="C308" s="382"/>
      <c r="D308" s="382"/>
      <c r="E308" s="382"/>
      <c r="F308" s="382"/>
      <c r="G308" s="382"/>
      <c r="H308" s="382"/>
      <c r="I308" s="382"/>
      <c r="J308" s="382"/>
      <c r="K308" s="382"/>
      <c r="L308" s="382"/>
      <c r="M308" s="382"/>
      <c r="N308" s="382"/>
      <c r="O308" s="382"/>
      <c r="P308" s="382"/>
      <c r="Q308" s="382"/>
      <c r="R308" s="382"/>
      <c r="S308" s="382"/>
      <c r="T308" s="382"/>
    </row>
    <row r="309" spans="3:20" ht="18" x14ac:dyDescent="0.35">
      <c r="C309" s="382"/>
      <c r="D309" s="382"/>
      <c r="E309" s="382"/>
      <c r="F309" s="382"/>
      <c r="G309" s="382"/>
      <c r="H309" s="382"/>
      <c r="I309" s="382"/>
      <c r="J309" s="382"/>
      <c r="K309" s="382"/>
      <c r="L309" s="382"/>
      <c r="M309" s="382"/>
      <c r="N309" s="382"/>
      <c r="O309" s="382"/>
      <c r="P309" s="382"/>
      <c r="Q309" s="382"/>
      <c r="R309" s="382"/>
      <c r="S309" s="382"/>
      <c r="T309" s="382"/>
    </row>
    <row r="310" spans="3:20" ht="18" x14ac:dyDescent="0.35">
      <c r="C310" s="382"/>
      <c r="D310" s="382"/>
      <c r="E310" s="382"/>
      <c r="F310" s="382"/>
      <c r="G310" s="382"/>
      <c r="H310" s="382"/>
      <c r="I310" s="382"/>
      <c r="J310" s="382"/>
      <c r="K310" s="382"/>
      <c r="L310" s="382"/>
      <c r="M310" s="382"/>
      <c r="N310" s="382"/>
      <c r="O310" s="382"/>
      <c r="P310" s="382"/>
      <c r="Q310" s="382"/>
      <c r="R310" s="382"/>
      <c r="S310" s="382"/>
      <c r="T310" s="382"/>
    </row>
    <row r="311" spans="3:20" ht="18" x14ac:dyDescent="0.35">
      <c r="C311" s="382"/>
      <c r="D311" s="382"/>
      <c r="E311" s="382"/>
      <c r="F311" s="382"/>
      <c r="G311" s="382"/>
      <c r="H311" s="382"/>
      <c r="I311" s="382"/>
      <c r="J311" s="382"/>
      <c r="K311" s="382"/>
      <c r="L311" s="382"/>
      <c r="M311" s="382"/>
      <c r="N311" s="382"/>
      <c r="O311" s="382"/>
      <c r="P311" s="382"/>
      <c r="Q311" s="382"/>
      <c r="R311" s="382"/>
      <c r="S311" s="382"/>
      <c r="T311" s="382"/>
    </row>
    <row r="312" spans="3:20" ht="18" x14ac:dyDescent="0.35">
      <c r="C312" s="382"/>
      <c r="D312" s="382"/>
      <c r="E312" s="382"/>
      <c r="F312" s="382"/>
      <c r="G312" s="382"/>
      <c r="H312" s="382"/>
      <c r="I312" s="382"/>
      <c r="J312" s="382"/>
      <c r="K312" s="382"/>
      <c r="L312" s="382"/>
      <c r="M312" s="382"/>
      <c r="N312" s="382"/>
      <c r="O312" s="382"/>
      <c r="P312" s="382"/>
      <c r="Q312" s="382"/>
      <c r="R312" s="382"/>
      <c r="S312" s="382"/>
      <c r="T312" s="382"/>
    </row>
    <row r="313" spans="3:20" ht="18" x14ac:dyDescent="0.35">
      <c r="C313" s="382"/>
      <c r="D313" s="382"/>
      <c r="E313" s="382"/>
      <c r="F313" s="382"/>
      <c r="G313" s="382"/>
      <c r="H313" s="382"/>
      <c r="I313" s="382"/>
      <c r="J313" s="382"/>
      <c r="K313" s="382"/>
      <c r="L313" s="382"/>
      <c r="M313" s="382"/>
      <c r="N313" s="382"/>
      <c r="O313" s="382"/>
      <c r="P313" s="382"/>
      <c r="Q313" s="382"/>
      <c r="R313" s="382"/>
      <c r="S313" s="382"/>
      <c r="T313" s="382"/>
    </row>
    <row r="314" spans="3:20" ht="18" x14ac:dyDescent="0.35">
      <c r="C314" s="382"/>
      <c r="D314" s="382"/>
      <c r="E314" s="382"/>
      <c r="F314" s="382"/>
      <c r="G314" s="382"/>
      <c r="H314" s="382"/>
      <c r="I314" s="382"/>
      <c r="J314" s="382"/>
      <c r="K314" s="382"/>
      <c r="L314" s="382"/>
      <c r="M314" s="382"/>
      <c r="N314" s="382"/>
      <c r="O314" s="382"/>
      <c r="P314" s="382"/>
      <c r="Q314" s="382"/>
      <c r="R314" s="382"/>
      <c r="S314" s="382"/>
      <c r="T314" s="382"/>
    </row>
    <row r="315" spans="3:20" ht="18" x14ac:dyDescent="0.35">
      <c r="C315" s="382"/>
      <c r="D315" s="382"/>
      <c r="E315" s="382"/>
      <c r="F315" s="382"/>
      <c r="G315" s="382"/>
      <c r="H315" s="382"/>
      <c r="I315" s="382"/>
      <c r="J315" s="382"/>
      <c r="K315" s="382"/>
      <c r="L315" s="382"/>
      <c r="M315" s="382"/>
      <c r="N315" s="382"/>
      <c r="O315" s="382"/>
      <c r="P315" s="382"/>
      <c r="Q315" s="382"/>
      <c r="R315" s="382"/>
      <c r="S315" s="382"/>
      <c r="T315" s="382"/>
    </row>
    <row r="316" spans="3:20" ht="18" x14ac:dyDescent="0.35">
      <c r="C316" s="382"/>
      <c r="D316" s="382"/>
      <c r="E316" s="382"/>
      <c r="F316" s="382"/>
      <c r="G316" s="382"/>
      <c r="H316" s="382"/>
      <c r="I316" s="382"/>
      <c r="J316" s="382"/>
      <c r="K316" s="382"/>
      <c r="L316" s="382"/>
      <c r="M316" s="382"/>
      <c r="N316" s="382"/>
      <c r="O316" s="382"/>
      <c r="P316" s="382"/>
      <c r="Q316" s="382"/>
      <c r="R316" s="382"/>
      <c r="S316" s="382"/>
      <c r="T316" s="382"/>
    </row>
    <row r="317" spans="3:20" ht="18" x14ac:dyDescent="0.35">
      <c r="C317" s="382"/>
      <c r="D317" s="382"/>
      <c r="E317" s="382"/>
      <c r="F317" s="382"/>
      <c r="G317" s="382"/>
      <c r="H317" s="382"/>
      <c r="I317" s="382"/>
      <c r="J317" s="382"/>
      <c r="K317" s="382"/>
      <c r="L317" s="382"/>
      <c r="M317" s="382"/>
      <c r="N317" s="382"/>
      <c r="O317" s="382"/>
      <c r="P317" s="382"/>
      <c r="Q317" s="382"/>
      <c r="R317" s="382"/>
      <c r="S317" s="382"/>
      <c r="T317" s="382"/>
    </row>
    <row r="318" spans="3:20" ht="18" x14ac:dyDescent="0.35">
      <c r="C318" s="382"/>
      <c r="D318" s="382"/>
      <c r="E318" s="382"/>
      <c r="F318" s="382"/>
      <c r="G318" s="382"/>
      <c r="H318" s="382"/>
      <c r="I318" s="382"/>
      <c r="J318" s="382"/>
      <c r="K318" s="382"/>
      <c r="L318" s="382"/>
      <c r="M318" s="382"/>
      <c r="N318" s="382"/>
      <c r="O318" s="382"/>
      <c r="P318" s="382"/>
      <c r="Q318" s="382"/>
      <c r="R318" s="382"/>
      <c r="S318" s="382"/>
      <c r="T318" s="382"/>
    </row>
    <row r="319" spans="3:20" ht="18" x14ac:dyDescent="0.35">
      <c r="C319" s="382"/>
      <c r="D319" s="382"/>
      <c r="E319" s="382"/>
      <c r="F319" s="382"/>
      <c r="G319" s="382"/>
      <c r="H319" s="382"/>
      <c r="I319" s="382"/>
      <c r="J319" s="382"/>
      <c r="K319" s="382"/>
      <c r="L319" s="382"/>
      <c r="M319" s="382"/>
      <c r="N319" s="382"/>
      <c r="O319" s="382"/>
      <c r="P319" s="382"/>
      <c r="Q319" s="382"/>
      <c r="R319" s="382"/>
      <c r="S319" s="382"/>
      <c r="T319" s="382"/>
    </row>
    <row r="320" spans="3:20" ht="18" x14ac:dyDescent="0.35">
      <c r="C320" s="382"/>
      <c r="D320" s="382"/>
      <c r="E320" s="382"/>
      <c r="F320" s="382"/>
      <c r="G320" s="382"/>
      <c r="H320" s="382"/>
      <c r="I320" s="382"/>
      <c r="J320" s="382"/>
      <c r="K320" s="382"/>
      <c r="L320" s="382"/>
      <c r="M320" s="382"/>
      <c r="N320" s="382"/>
      <c r="O320" s="382"/>
      <c r="P320" s="382"/>
      <c r="Q320" s="382"/>
      <c r="R320" s="382"/>
      <c r="S320" s="382"/>
      <c r="T320" s="382"/>
    </row>
    <row r="321" spans="3:20" ht="18" x14ac:dyDescent="0.35">
      <c r="C321" s="382"/>
      <c r="D321" s="382"/>
      <c r="E321" s="382"/>
      <c r="F321" s="382"/>
      <c r="G321" s="382"/>
      <c r="H321" s="382"/>
      <c r="I321" s="382"/>
      <c r="J321" s="382"/>
      <c r="K321" s="382"/>
      <c r="L321" s="382"/>
      <c r="M321" s="382"/>
      <c r="N321" s="382"/>
      <c r="O321" s="382"/>
      <c r="P321" s="382"/>
      <c r="Q321" s="382"/>
      <c r="R321" s="382"/>
      <c r="S321" s="382"/>
      <c r="T321" s="382"/>
    </row>
    <row r="322" spans="3:20" ht="18" x14ac:dyDescent="0.35">
      <c r="C322" s="382"/>
      <c r="D322" s="382"/>
      <c r="E322" s="382"/>
      <c r="F322" s="382"/>
      <c r="G322" s="382"/>
      <c r="H322" s="382"/>
      <c r="I322" s="382"/>
      <c r="J322" s="382"/>
      <c r="K322" s="382"/>
      <c r="L322" s="382"/>
      <c r="M322" s="382"/>
      <c r="N322" s="382"/>
      <c r="O322" s="382"/>
      <c r="P322" s="382"/>
      <c r="Q322" s="382"/>
      <c r="R322" s="382"/>
      <c r="S322" s="382"/>
      <c r="T322" s="382"/>
    </row>
    <row r="323" spans="3:20" ht="18" x14ac:dyDescent="0.35">
      <c r="C323" s="382"/>
      <c r="D323" s="382"/>
      <c r="E323" s="382"/>
      <c r="F323" s="382"/>
      <c r="G323" s="382"/>
      <c r="H323" s="382"/>
      <c r="I323" s="382"/>
      <c r="J323" s="382"/>
      <c r="K323" s="382"/>
      <c r="L323" s="382"/>
      <c r="M323" s="382"/>
      <c r="N323" s="382"/>
      <c r="O323" s="382"/>
      <c r="P323" s="382"/>
      <c r="Q323" s="382"/>
      <c r="R323" s="382"/>
      <c r="S323" s="382"/>
      <c r="T323" s="382"/>
    </row>
    <row r="324" spans="3:20" ht="18" x14ac:dyDescent="0.35">
      <c r="C324" s="382"/>
      <c r="D324" s="382"/>
      <c r="E324" s="382"/>
      <c r="F324" s="382"/>
      <c r="G324" s="382"/>
      <c r="H324" s="382"/>
      <c r="I324" s="382"/>
      <c r="J324" s="382"/>
      <c r="K324" s="382"/>
      <c r="L324" s="382"/>
      <c r="M324" s="382"/>
      <c r="N324" s="382"/>
      <c r="O324" s="382"/>
      <c r="P324" s="382"/>
      <c r="Q324" s="382"/>
      <c r="R324" s="382"/>
      <c r="S324" s="382"/>
      <c r="T324" s="382"/>
    </row>
    <row r="325" spans="3:20" ht="18" x14ac:dyDescent="0.35">
      <c r="C325" s="382"/>
      <c r="D325" s="382"/>
      <c r="E325" s="382"/>
      <c r="F325" s="382"/>
      <c r="G325" s="382"/>
      <c r="H325" s="382"/>
      <c r="I325" s="382"/>
      <c r="J325" s="382"/>
      <c r="K325" s="382"/>
      <c r="L325" s="382"/>
      <c r="M325" s="382"/>
      <c r="N325" s="382"/>
      <c r="O325" s="382"/>
      <c r="P325" s="382"/>
      <c r="Q325" s="382"/>
      <c r="R325" s="382"/>
      <c r="S325" s="382"/>
      <c r="T325" s="382"/>
    </row>
    <row r="326" spans="3:20" ht="18" x14ac:dyDescent="0.35">
      <c r="C326" s="382"/>
      <c r="D326" s="382"/>
      <c r="E326" s="382"/>
      <c r="F326" s="382"/>
      <c r="G326" s="382"/>
      <c r="H326" s="382"/>
      <c r="I326" s="382"/>
      <c r="J326" s="382"/>
      <c r="K326" s="382"/>
      <c r="L326" s="382"/>
      <c r="M326" s="382"/>
      <c r="N326" s="382"/>
      <c r="O326" s="382"/>
      <c r="P326" s="382"/>
      <c r="Q326" s="382"/>
      <c r="R326" s="382"/>
      <c r="S326" s="382"/>
      <c r="T326" s="382"/>
    </row>
    <row r="327" spans="3:20" ht="18" x14ac:dyDescent="0.35">
      <c r="C327" s="382"/>
      <c r="D327" s="382"/>
      <c r="E327" s="382"/>
      <c r="F327" s="382"/>
      <c r="G327" s="382"/>
      <c r="H327" s="382"/>
      <c r="I327" s="382"/>
      <c r="J327" s="382"/>
      <c r="K327" s="382"/>
      <c r="L327" s="382"/>
      <c r="M327" s="382"/>
      <c r="N327" s="382"/>
      <c r="O327" s="382"/>
      <c r="P327" s="382"/>
      <c r="Q327" s="382"/>
      <c r="R327" s="382"/>
      <c r="S327" s="382"/>
      <c r="T327" s="382"/>
    </row>
    <row r="328" spans="3:20" ht="18" x14ac:dyDescent="0.35">
      <c r="C328" s="382"/>
      <c r="D328" s="382"/>
      <c r="E328" s="382"/>
      <c r="F328" s="382"/>
      <c r="G328" s="382"/>
      <c r="H328" s="382"/>
      <c r="I328" s="382"/>
      <c r="J328" s="382"/>
      <c r="K328" s="382"/>
      <c r="L328" s="382"/>
      <c r="M328" s="382"/>
      <c r="N328" s="382"/>
      <c r="O328" s="382"/>
      <c r="P328" s="382"/>
      <c r="Q328" s="382"/>
      <c r="R328" s="382"/>
      <c r="S328" s="382"/>
      <c r="T328" s="382"/>
    </row>
    <row r="329" spans="3:20" ht="18" x14ac:dyDescent="0.35">
      <c r="C329" s="382"/>
      <c r="D329" s="382"/>
      <c r="E329" s="382"/>
      <c r="F329" s="382"/>
      <c r="G329" s="382"/>
      <c r="H329" s="382"/>
      <c r="I329" s="382"/>
      <c r="J329" s="382"/>
      <c r="K329" s="382"/>
      <c r="L329" s="382"/>
      <c r="M329" s="382"/>
      <c r="N329" s="382"/>
      <c r="O329" s="382"/>
      <c r="P329" s="382"/>
      <c r="Q329" s="382"/>
      <c r="R329" s="382"/>
      <c r="S329" s="382"/>
      <c r="T329" s="382"/>
    </row>
    <row r="330" spans="3:20" ht="18" x14ac:dyDescent="0.35">
      <c r="C330" s="382"/>
      <c r="D330" s="382"/>
      <c r="E330" s="382"/>
      <c r="F330" s="382"/>
      <c r="G330" s="382"/>
      <c r="H330" s="382"/>
      <c r="I330" s="382"/>
      <c r="J330" s="382"/>
      <c r="K330" s="382"/>
      <c r="L330" s="382"/>
      <c r="M330" s="382"/>
      <c r="N330" s="382"/>
      <c r="O330" s="382"/>
      <c r="P330" s="382"/>
      <c r="Q330" s="382"/>
      <c r="R330" s="382"/>
      <c r="S330" s="382"/>
      <c r="T330" s="382"/>
    </row>
    <row r="331" spans="3:20" ht="18" x14ac:dyDescent="0.35">
      <c r="C331" s="382"/>
      <c r="D331" s="382"/>
      <c r="E331" s="382"/>
      <c r="F331" s="382"/>
      <c r="G331" s="382"/>
      <c r="H331" s="382"/>
      <c r="I331" s="382"/>
      <c r="J331" s="382"/>
      <c r="K331" s="382"/>
      <c r="L331" s="382"/>
      <c r="M331" s="382"/>
      <c r="N331" s="382"/>
      <c r="O331" s="382"/>
      <c r="P331" s="382"/>
      <c r="Q331" s="382"/>
      <c r="R331" s="382"/>
      <c r="S331" s="382"/>
      <c r="T331" s="382"/>
    </row>
    <row r="332" spans="3:20" ht="18" x14ac:dyDescent="0.35">
      <c r="C332" s="382"/>
      <c r="D332" s="382"/>
      <c r="E332" s="382"/>
      <c r="F332" s="382"/>
      <c r="G332" s="382"/>
      <c r="H332" s="382"/>
      <c r="I332" s="382"/>
      <c r="J332" s="382"/>
      <c r="K332" s="382"/>
      <c r="L332" s="382"/>
      <c r="M332" s="382"/>
      <c r="N332" s="382"/>
      <c r="O332" s="382"/>
      <c r="P332" s="382"/>
      <c r="Q332" s="382"/>
      <c r="R332" s="382"/>
      <c r="S332" s="382"/>
      <c r="T332" s="382"/>
    </row>
    <row r="333" spans="3:20" ht="18" x14ac:dyDescent="0.35">
      <c r="C333" s="382"/>
      <c r="D333" s="382"/>
      <c r="E333" s="382"/>
      <c r="F333" s="382"/>
      <c r="G333" s="382"/>
      <c r="H333" s="382"/>
      <c r="I333" s="382"/>
      <c r="J333" s="382"/>
      <c r="K333" s="382"/>
      <c r="L333" s="382"/>
      <c r="M333" s="382"/>
      <c r="N333" s="382"/>
      <c r="O333" s="382"/>
      <c r="P333" s="382"/>
      <c r="Q333" s="382"/>
      <c r="R333" s="382"/>
      <c r="S333" s="382"/>
      <c r="T333" s="382"/>
    </row>
    <row r="334" spans="3:20" ht="18" x14ac:dyDescent="0.35">
      <c r="C334" s="382"/>
      <c r="D334" s="382"/>
      <c r="E334" s="382"/>
      <c r="F334" s="382"/>
      <c r="G334" s="382"/>
      <c r="H334" s="382"/>
      <c r="I334" s="382"/>
      <c r="J334" s="382"/>
      <c r="K334" s="382"/>
      <c r="L334" s="382"/>
      <c r="M334" s="382"/>
      <c r="N334" s="382"/>
      <c r="O334" s="382"/>
      <c r="P334" s="382"/>
      <c r="Q334" s="382"/>
      <c r="R334" s="382"/>
      <c r="S334" s="382"/>
      <c r="T334" s="382"/>
    </row>
    <row r="335" spans="3:20" ht="18" x14ac:dyDescent="0.35">
      <c r="C335" s="382"/>
      <c r="D335" s="382"/>
      <c r="E335" s="382"/>
      <c r="F335" s="382"/>
      <c r="G335" s="382"/>
      <c r="H335" s="382"/>
      <c r="I335" s="382"/>
      <c r="J335" s="382"/>
      <c r="K335" s="382"/>
      <c r="L335" s="382"/>
      <c r="M335" s="382"/>
      <c r="N335" s="382"/>
      <c r="O335" s="382"/>
      <c r="P335" s="382"/>
      <c r="Q335" s="382"/>
      <c r="R335" s="382"/>
      <c r="S335" s="382"/>
      <c r="T335" s="382"/>
    </row>
    <row r="336" spans="3:20" ht="18" x14ac:dyDescent="0.35">
      <c r="C336" s="382"/>
      <c r="D336" s="382"/>
      <c r="E336" s="382"/>
      <c r="F336" s="382"/>
      <c r="G336" s="382"/>
      <c r="H336" s="382"/>
      <c r="I336" s="382"/>
      <c r="J336" s="382"/>
      <c r="K336" s="382"/>
      <c r="L336" s="382"/>
      <c r="M336" s="382"/>
      <c r="N336" s="382"/>
      <c r="O336" s="382"/>
      <c r="P336" s="382"/>
      <c r="Q336" s="382"/>
      <c r="R336" s="382"/>
      <c r="S336" s="382"/>
      <c r="T336" s="382"/>
    </row>
    <row r="337" spans="3:20" ht="18" x14ac:dyDescent="0.35">
      <c r="C337" s="382"/>
      <c r="D337" s="382"/>
      <c r="E337" s="382"/>
      <c r="F337" s="382"/>
      <c r="G337" s="382"/>
      <c r="H337" s="382"/>
      <c r="I337" s="382"/>
      <c r="J337" s="382"/>
      <c r="K337" s="382"/>
      <c r="L337" s="382"/>
      <c r="M337" s="382"/>
      <c r="N337" s="382"/>
      <c r="O337" s="382"/>
      <c r="P337" s="382"/>
      <c r="Q337" s="382"/>
      <c r="R337" s="382"/>
      <c r="S337" s="382"/>
      <c r="T337" s="382"/>
    </row>
    <row r="338" spans="3:20" ht="18" x14ac:dyDescent="0.35">
      <c r="C338" s="382"/>
      <c r="D338" s="382"/>
      <c r="E338" s="382"/>
      <c r="F338" s="382"/>
      <c r="G338" s="382"/>
      <c r="H338" s="382"/>
      <c r="I338" s="382"/>
      <c r="J338" s="382"/>
      <c r="K338" s="382"/>
      <c r="L338" s="382"/>
      <c r="M338" s="382"/>
      <c r="N338" s="382"/>
      <c r="O338" s="382"/>
      <c r="P338" s="382"/>
      <c r="Q338" s="382"/>
      <c r="R338" s="382"/>
      <c r="S338" s="382"/>
      <c r="T338" s="382"/>
    </row>
    <row r="339" spans="3:20" ht="18" x14ac:dyDescent="0.35">
      <c r="C339" s="382"/>
      <c r="D339" s="382"/>
      <c r="E339" s="382"/>
      <c r="F339" s="382"/>
      <c r="G339" s="382"/>
      <c r="H339" s="382"/>
      <c r="I339" s="382"/>
      <c r="J339" s="382"/>
      <c r="K339" s="382"/>
      <c r="L339" s="382"/>
      <c r="M339" s="382"/>
      <c r="N339" s="382"/>
      <c r="O339" s="382"/>
      <c r="P339" s="382"/>
      <c r="Q339" s="382"/>
      <c r="R339" s="382"/>
      <c r="S339" s="382"/>
      <c r="T339" s="382"/>
    </row>
    <row r="340" spans="3:20" ht="18" x14ac:dyDescent="0.35">
      <c r="C340" s="382"/>
      <c r="D340" s="382"/>
      <c r="E340" s="382"/>
      <c r="F340" s="382"/>
      <c r="G340" s="382"/>
      <c r="H340" s="382"/>
      <c r="I340" s="382"/>
      <c r="J340" s="382"/>
      <c r="K340" s="382"/>
      <c r="L340" s="382"/>
      <c r="M340" s="382"/>
      <c r="N340" s="382"/>
      <c r="O340" s="382"/>
      <c r="P340" s="382"/>
      <c r="Q340" s="382"/>
      <c r="R340" s="382"/>
      <c r="S340" s="382"/>
      <c r="T340" s="382"/>
    </row>
    <row r="341" spans="3:20" ht="18" x14ac:dyDescent="0.35">
      <c r="C341" s="382"/>
      <c r="D341" s="382"/>
      <c r="E341" s="382"/>
      <c r="F341" s="382"/>
      <c r="G341" s="382"/>
      <c r="H341" s="382"/>
      <c r="I341" s="382"/>
      <c r="J341" s="382"/>
      <c r="K341" s="382"/>
      <c r="L341" s="382"/>
      <c r="M341" s="382"/>
      <c r="N341" s="382"/>
      <c r="O341" s="382"/>
      <c r="P341" s="382"/>
      <c r="Q341" s="382"/>
      <c r="R341" s="382"/>
      <c r="S341" s="382"/>
      <c r="T341" s="382"/>
    </row>
    <row r="342" spans="3:20" ht="18" x14ac:dyDescent="0.35">
      <c r="C342" s="382"/>
      <c r="D342" s="382"/>
      <c r="E342" s="382"/>
      <c r="F342" s="382"/>
      <c r="G342" s="382"/>
      <c r="H342" s="382"/>
      <c r="I342" s="382"/>
      <c r="J342" s="382"/>
      <c r="K342" s="382"/>
      <c r="L342" s="382"/>
      <c r="M342" s="382"/>
      <c r="N342" s="382"/>
      <c r="O342" s="382"/>
      <c r="P342" s="382"/>
      <c r="Q342" s="382"/>
      <c r="R342" s="382"/>
      <c r="S342" s="382"/>
      <c r="T342" s="382"/>
    </row>
    <row r="343" spans="3:20" ht="18" x14ac:dyDescent="0.35">
      <c r="C343" s="382"/>
      <c r="D343" s="382"/>
      <c r="E343" s="382"/>
      <c r="F343" s="382"/>
      <c r="G343" s="382"/>
      <c r="H343" s="382"/>
      <c r="I343" s="382"/>
      <c r="J343" s="382"/>
      <c r="K343" s="382"/>
      <c r="L343" s="382"/>
      <c r="M343" s="382"/>
      <c r="N343" s="382"/>
      <c r="O343" s="382"/>
      <c r="P343" s="382"/>
      <c r="Q343" s="382"/>
      <c r="R343" s="382"/>
      <c r="S343" s="382"/>
      <c r="T343" s="382"/>
    </row>
    <row r="344" spans="3:20" ht="18" x14ac:dyDescent="0.35">
      <c r="C344" s="382"/>
      <c r="D344" s="382"/>
      <c r="E344" s="382"/>
      <c r="F344" s="382"/>
      <c r="G344" s="382"/>
      <c r="H344" s="382"/>
      <c r="I344" s="382"/>
      <c r="J344" s="382"/>
      <c r="K344" s="382"/>
      <c r="L344" s="382"/>
      <c r="M344" s="382"/>
      <c r="N344" s="382"/>
      <c r="O344" s="382"/>
      <c r="P344" s="382"/>
      <c r="Q344" s="382"/>
      <c r="R344" s="382"/>
      <c r="S344" s="382"/>
      <c r="T344" s="382"/>
    </row>
    <row r="345" spans="3:20" ht="18" x14ac:dyDescent="0.35">
      <c r="C345" s="382"/>
      <c r="D345" s="382"/>
      <c r="E345" s="382"/>
      <c r="F345" s="382"/>
      <c r="G345" s="382"/>
      <c r="H345" s="382"/>
      <c r="I345" s="382"/>
      <c r="J345" s="382"/>
      <c r="K345" s="382"/>
      <c r="L345" s="382"/>
      <c r="M345" s="382"/>
      <c r="N345" s="382"/>
      <c r="O345" s="382"/>
      <c r="P345" s="382"/>
      <c r="Q345" s="382"/>
      <c r="R345" s="382"/>
      <c r="S345" s="382"/>
      <c r="T345" s="382"/>
    </row>
    <row r="346" spans="3:20" ht="18" x14ac:dyDescent="0.35">
      <c r="C346" s="382"/>
      <c r="D346" s="382"/>
      <c r="E346" s="382"/>
      <c r="F346" s="382"/>
      <c r="G346" s="382"/>
      <c r="H346" s="382"/>
      <c r="I346" s="382"/>
      <c r="J346" s="382"/>
      <c r="K346" s="382"/>
      <c r="L346" s="382"/>
      <c r="M346" s="382"/>
      <c r="N346" s="382"/>
      <c r="O346" s="382"/>
      <c r="P346" s="382"/>
      <c r="Q346" s="382"/>
      <c r="R346" s="382"/>
      <c r="S346" s="382"/>
      <c r="T346" s="382"/>
    </row>
    <row r="347" spans="3:20" ht="18" x14ac:dyDescent="0.35">
      <c r="C347" s="382"/>
      <c r="D347" s="382"/>
      <c r="E347" s="382"/>
      <c r="F347" s="382"/>
      <c r="G347" s="382"/>
      <c r="H347" s="382"/>
      <c r="I347" s="382"/>
      <c r="J347" s="382"/>
      <c r="K347" s="382"/>
      <c r="L347" s="382"/>
      <c r="M347" s="382"/>
      <c r="N347" s="382"/>
      <c r="O347" s="382"/>
      <c r="P347" s="382"/>
      <c r="Q347" s="382"/>
      <c r="R347" s="382"/>
      <c r="S347" s="382"/>
      <c r="T347" s="382"/>
    </row>
    <row r="348" spans="3:20" ht="18" x14ac:dyDescent="0.35">
      <c r="C348" s="382"/>
      <c r="D348" s="382"/>
      <c r="E348" s="382"/>
      <c r="F348" s="382"/>
      <c r="G348" s="382"/>
      <c r="H348" s="382"/>
      <c r="I348" s="382"/>
      <c r="J348" s="382"/>
      <c r="K348" s="382"/>
      <c r="L348" s="382"/>
      <c r="M348" s="382"/>
      <c r="N348" s="382"/>
      <c r="O348" s="382"/>
      <c r="P348" s="382"/>
      <c r="Q348" s="382"/>
      <c r="R348" s="382"/>
      <c r="S348" s="382"/>
      <c r="T348" s="382"/>
    </row>
    <row r="349" spans="3:20" ht="18" x14ac:dyDescent="0.35">
      <c r="C349" s="382"/>
      <c r="D349" s="382"/>
      <c r="E349" s="382"/>
      <c r="F349" s="382"/>
      <c r="G349" s="382"/>
      <c r="H349" s="382"/>
      <c r="I349" s="382"/>
      <c r="J349" s="382"/>
      <c r="K349" s="382"/>
      <c r="L349" s="382"/>
      <c r="M349" s="382"/>
      <c r="N349" s="382"/>
      <c r="O349" s="382"/>
      <c r="P349" s="382"/>
      <c r="Q349" s="382"/>
      <c r="R349" s="382"/>
      <c r="S349" s="382"/>
      <c r="T349" s="382"/>
    </row>
    <row r="350" spans="3:20" ht="18" x14ac:dyDescent="0.35">
      <c r="C350" s="382"/>
      <c r="D350" s="382"/>
      <c r="E350" s="382"/>
      <c r="F350" s="382"/>
      <c r="G350" s="382"/>
      <c r="H350" s="382"/>
      <c r="I350" s="382"/>
      <c r="J350" s="382"/>
      <c r="K350" s="382"/>
      <c r="L350" s="382"/>
      <c r="M350" s="382"/>
      <c r="N350" s="382"/>
      <c r="O350" s="382"/>
      <c r="P350" s="382"/>
      <c r="Q350" s="382"/>
      <c r="R350" s="382"/>
      <c r="S350" s="382"/>
      <c r="T350" s="382"/>
    </row>
    <row r="351" spans="3:20" ht="18" x14ac:dyDescent="0.35">
      <c r="C351" s="382"/>
      <c r="D351" s="382"/>
      <c r="E351" s="382"/>
      <c r="F351" s="382"/>
      <c r="G351" s="382"/>
      <c r="H351" s="382"/>
      <c r="I351" s="382"/>
      <c r="J351" s="382"/>
      <c r="K351" s="382"/>
      <c r="L351" s="382"/>
      <c r="M351" s="382"/>
      <c r="N351" s="382"/>
      <c r="O351" s="382"/>
      <c r="P351" s="382"/>
      <c r="Q351" s="382"/>
      <c r="R351" s="382"/>
      <c r="S351" s="382"/>
      <c r="T351" s="382"/>
    </row>
    <row r="352" spans="3:20" ht="18" x14ac:dyDescent="0.35">
      <c r="C352" s="382"/>
      <c r="D352" s="382"/>
      <c r="E352" s="382"/>
      <c r="F352" s="382"/>
      <c r="G352" s="382"/>
      <c r="H352" s="382"/>
      <c r="I352" s="382"/>
      <c r="J352" s="382"/>
      <c r="K352" s="382"/>
      <c r="L352" s="382"/>
      <c r="M352" s="382"/>
      <c r="N352" s="382"/>
      <c r="O352" s="382"/>
      <c r="P352" s="382"/>
      <c r="Q352" s="382"/>
      <c r="R352" s="382"/>
      <c r="S352" s="382"/>
      <c r="T352" s="382"/>
    </row>
    <row r="353" spans="3:20" ht="18" x14ac:dyDescent="0.35">
      <c r="C353" s="382"/>
      <c r="D353" s="382"/>
      <c r="E353" s="382"/>
      <c r="F353" s="382"/>
      <c r="G353" s="382"/>
      <c r="H353" s="382"/>
      <c r="I353" s="382"/>
      <c r="J353" s="382"/>
      <c r="K353" s="382"/>
      <c r="L353" s="382"/>
      <c r="M353" s="382"/>
      <c r="N353" s="382"/>
      <c r="O353" s="382"/>
      <c r="P353" s="382"/>
      <c r="Q353" s="382"/>
      <c r="R353" s="382"/>
      <c r="S353" s="382"/>
      <c r="T353" s="382"/>
    </row>
    <row r="354" spans="3:20" ht="18" x14ac:dyDescent="0.35">
      <c r="C354" s="382"/>
      <c r="D354" s="382"/>
      <c r="E354" s="382"/>
      <c r="F354" s="382"/>
      <c r="G354" s="382"/>
      <c r="H354" s="382"/>
      <c r="I354" s="382"/>
      <c r="J354" s="382"/>
      <c r="K354" s="382"/>
      <c r="L354" s="382"/>
      <c r="M354" s="382"/>
      <c r="N354" s="382"/>
      <c r="O354" s="382"/>
      <c r="P354" s="382"/>
      <c r="Q354" s="382"/>
      <c r="R354" s="382"/>
      <c r="S354" s="382"/>
      <c r="T354" s="382"/>
    </row>
    <row r="355" spans="3:20" ht="18" x14ac:dyDescent="0.35">
      <c r="C355" s="382"/>
      <c r="D355" s="382"/>
      <c r="E355" s="382"/>
      <c r="F355" s="382"/>
      <c r="G355" s="382"/>
      <c r="H355" s="382"/>
      <c r="I355" s="382"/>
      <c r="J355" s="382"/>
      <c r="K355" s="382"/>
      <c r="L355" s="382"/>
      <c r="M355" s="382"/>
      <c r="N355" s="382"/>
      <c r="O355" s="382"/>
      <c r="P355" s="382"/>
      <c r="Q355" s="382"/>
      <c r="R355" s="382"/>
      <c r="S355" s="382"/>
      <c r="T355" s="382"/>
    </row>
    <row r="356" spans="3:20" ht="18" x14ac:dyDescent="0.35">
      <c r="C356" s="382"/>
      <c r="D356" s="382"/>
      <c r="E356" s="382"/>
      <c r="F356" s="382"/>
      <c r="G356" s="382"/>
      <c r="H356" s="382"/>
      <c r="I356" s="382"/>
      <c r="J356" s="382"/>
      <c r="K356" s="382"/>
      <c r="L356" s="382"/>
      <c r="M356" s="382"/>
      <c r="N356" s="382"/>
      <c r="O356" s="382"/>
      <c r="P356" s="382"/>
      <c r="Q356" s="382"/>
      <c r="R356" s="382"/>
      <c r="S356" s="382"/>
      <c r="T356" s="382"/>
    </row>
    <row r="357" spans="3:20" ht="18" x14ac:dyDescent="0.35">
      <c r="C357" s="382"/>
      <c r="D357" s="382"/>
      <c r="E357" s="382"/>
      <c r="F357" s="382"/>
      <c r="G357" s="382"/>
      <c r="H357" s="382"/>
      <c r="I357" s="382"/>
      <c r="J357" s="382"/>
      <c r="K357" s="382"/>
      <c r="L357" s="382"/>
      <c r="M357" s="382"/>
      <c r="N357" s="382"/>
      <c r="O357" s="382"/>
      <c r="P357" s="382"/>
      <c r="Q357" s="382"/>
      <c r="R357" s="382"/>
      <c r="S357" s="382"/>
      <c r="T357" s="382"/>
    </row>
    <row r="358" spans="3:20" ht="18" x14ac:dyDescent="0.35">
      <c r="C358" s="382"/>
      <c r="D358" s="382"/>
      <c r="E358" s="382"/>
      <c r="F358" s="382"/>
      <c r="G358" s="382"/>
      <c r="H358" s="382"/>
      <c r="I358" s="382"/>
      <c r="J358" s="382"/>
      <c r="K358" s="382"/>
      <c r="L358" s="382"/>
      <c r="M358" s="382"/>
      <c r="N358" s="382"/>
      <c r="O358" s="382"/>
      <c r="P358" s="382"/>
      <c r="Q358" s="382"/>
      <c r="R358" s="382"/>
      <c r="S358" s="382"/>
      <c r="T358" s="382"/>
    </row>
    <row r="359" spans="3:20" ht="18" x14ac:dyDescent="0.35">
      <c r="C359" s="382"/>
      <c r="D359" s="382"/>
      <c r="E359" s="382"/>
      <c r="F359" s="382"/>
      <c r="G359" s="382"/>
      <c r="H359" s="382"/>
      <c r="I359" s="382"/>
      <c r="J359" s="382"/>
      <c r="K359" s="382"/>
      <c r="L359" s="382"/>
      <c r="M359" s="382"/>
      <c r="N359" s="382"/>
      <c r="O359" s="382"/>
      <c r="P359" s="382"/>
      <c r="Q359" s="382"/>
      <c r="R359" s="382"/>
      <c r="S359" s="382"/>
      <c r="T359" s="382"/>
    </row>
    <row r="360" spans="3:20" ht="18" x14ac:dyDescent="0.35">
      <c r="C360" s="382"/>
      <c r="D360" s="382"/>
      <c r="E360" s="382"/>
      <c r="F360" s="382"/>
      <c r="G360" s="382"/>
      <c r="H360" s="382"/>
      <c r="I360" s="382"/>
      <c r="J360" s="382"/>
      <c r="K360" s="382"/>
      <c r="L360" s="382"/>
      <c r="M360" s="382"/>
      <c r="N360" s="382"/>
      <c r="O360" s="382"/>
      <c r="P360" s="382"/>
      <c r="Q360" s="382"/>
      <c r="R360" s="382"/>
      <c r="S360" s="382"/>
      <c r="T360" s="382"/>
    </row>
    <row r="361" spans="3:20" ht="18" x14ac:dyDescent="0.35">
      <c r="C361" s="382"/>
      <c r="D361" s="382"/>
      <c r="E361" s="382"/>
      <c r="F361" s="382"/>
      <c r="G361" s="382"/>
      <c r="H361" s="382"/>
      <c r="I361" s="382"/>
      <c r="J361" s="382"/>
      <c r="K361" s="382"/>
      <c r="L361" s="382"/>
      <c r="M361" s="382"/>
      <c r="N361" s="382"/>
      <c r="O361" s="382"/>
      <c r="P361" s="382"/>
      <c r="Q361" s="382"/>
      <c r="R361" s="382"/>
      <c r="S361" s="382"/>
      <c r="T361" s="382"/>
    </row>
    <row r="362" spans="3:20" ht="18" x14ac:dyDescent="0.35">
      <c r="C362" s="382"/>
      <c r="D362" s="382"/>
      <c r="E362" s="382"/>
      <c r="F362" s="382"/>
      <c r="G362" s="382"/>
      <c r="H362" s="382"/>
      <c r="I362" s="382"/>
      <c r="J362" s="382"/>
      <c r="K362" s="382"/>
      <c r="L362" s="382"/>
      <c r="M362" s="382"/>
      <c r="N362" s="382"/>
      <c r="O362" s="382"/>
      <c r="P362" s="382"/>
      <c r="Q362" s="382"/>
      <c r="R362" s="382"/>
      <c r="S362" s="382"/>
      <c r="T362" s="382"/>
    </row>
    <row r="363" spans="3:20" ht="18" x14ac:dyDescent="0.35">
      <c r="C363" s="382"/>
      <c r="D363" s="382"/>
      <c r="E363" s="382"/>
      <c r="F363" s="382"/>
      <c r="G363" s="382"/>
      <c r="H363" s="382"/>
      <c r="I363" s="382"/>
      <c r="J363" s="382"/>
      <c r="K363" s="382"/>
      <c r="L363" s="382"/>
      <c r="M363" s="382"/>
      <c r="N363" s="382"/>
      <c r="O363" s="382"/>
      <c r="P363" s="382"/>
      <c r="Q363" s="382"/>
      <c r="R363" s="382"/>
      <c r="S363" s="382"/>
      <c r="T363" s="382"/>
    </row>
    <row r="364" spans="3:20" ht="18" x14ac:dyDescent="0.35">
      <c r="C364" s="382"/>
      <c r="D364" s="382"/>
      <c r="E364" s="382"/>
      <c r="F364" s="382"/>
      <c r="G364" s="382"/>
      <c r="H364" s="382"/>
      <c r="I364" s="382"/>
      <c r="J364" s="382"/>
      <c r="K364" s="382"/>
      <c r="L364" s="382"/>
      <c r="M364" s="382"/>
      <c r="N364" s="382"/>
      <c r="O364" s="382"/>
      <c r="P364" s="382"/>
      <c r="Q364" s="382"/>
      <c r="R364" s="382"/>
      <c r="S364" s="382"/>
      <c r="T364" s="382"/>
    </row>
    <row r="365" spans="3:20" ht="18" x14ac:dyDescent="0.35">
      <c r="C365" s="382"/>
      <c r="D365" s="382"/>
      <c r="E365" s="382"/>
      <c r="F365" s="382"/>
      <c r="G365" s="382"/>
      <c r="H365" s="382"/>
      <c r="I365" s="382"/>
      <c r="J365" s="382"/>
      <c r="K365" s="382"/>
      <c r="L365" s="382"/>
      <c r="M365" s="382"/>
      <c r="N365" s="382"/>
      <c r="O365" s="382"/>
      <c r="P365" s="382"/>
      <c r="Q365" s="382"/>
      <c r="R365" s="382"/>
      <c r="S365" s="382"/>
      <c r="T365" s="382"/>
    </row>
    <row r="366" spans="3:20" ht="18" x14ac:dyDescent="0.35">
      <c r="C366" s="382"/>
      <c r="D366" s="382"/>
      <c r="E366" s="382"/>
      <c r="F366" s="382"/>
      <c r="G366" s="382"/>
      <c r="H366" s="382"/>
      <c r="I366" s="382"/>
      <c r="J366" s="382"/>
      <c r="K366" s="382"/>
      <c r="L366" s="382"/>
      <c r="M366" s="382"/>
      <c r="N366" s="382"/>
      <c r="O366" s="382"/>
      <c r="P366" s="382"/>
      <c r="Q366" s="382"/>
      <c r="R366" s="382"/>
      <c r="S366" s="382"/>
      <c r="T366" s="382"/>
    </row>
    <row r="367" spans="3:20" ht="18" x14ac:dyDescent="0.35">
      <c r="C367" s="382"/>
      <c r="D367" s="382"/>
      <c r="E367" s="382"/>
      <c r="F367" s="382"/>
      <c r="G367" s="382"/>
      <c r="H367" s="382"/>
      <c r="I367" s="382"/>
      <c r="J367" s="382"/>
      <c r="K367" s="382"/>
      <c r="L367" s="382"/>
      <c r="M367" s="382"/>
      <c r="N367" s="382"/>
      <c r="O367" s="382"/>
      <c r="P367" s="382"/>
      <c r="Q367" s="382"/>
      <c r="R367" s="382"/>
      <c r="S367" s="382"/>
      <c r="T367" s="382"/>
    </row>
    <row r="368" spans="3:20" ht="18" x14ac:dyDescent="0.35">
      <c r="C368" s="382"/>
      <c r="D368" s="382"/>
      <c r="E368" s="382"/>
      <c r="F368" s="382"/>
      <c r="G368" s="382"/>
      <c r="H368" s="382"/>
      <c r="I368" s="382"/>
      <c r="J368" s="382"/>
      <c r="K368" s="382"/>
      <c r="L368" s="382"/>
      <c r="M368" s="382"/>
      <c r="N368" s="382"/>
      <c r="O368" s="382"/>
      <c r="P368" s="382"/>
      <c r="Q368" s="382"/>
      <c r="R368" s="382"/>
      <c r="S368" s="382"/>
      <c r="T368" s="382"/>
    </row>
    <row r="369" spans="3:20" ht="18" x14ac:dyDescent="0.35">
      <c r="C369" s="382"/>
      <c r="D369" s="382"/>
      <c r="E369" s="382"/>
      <c r="F369" s="382"/>
      <c r="G369" s="382"/>
      <c r="H369" s="382"/>
      <c r="I369" s="382"/>
      <c r="J369" s="382"/>
      <c r="K369" s="382"/>
      <c r="L369" s="382"/>
      <c r="M369" s="382"/>
      <c r="N369" s="382"/>
      <c r="O369" s="382"/>
      <c r="P369" s="382"/>
      <c r="Q369" s="382"/>
      <c r="R369" s="382"/>
      <c r="S369" s="382"/>
      <c r="T369" s="382"/>
    </row>
    <row r="370" spans="3:20" ht="18" x14ac:dyDescent="0.35">
      <c r="C370" s="382"/>
      <c r="D370" s="382"/>
      <c r="E370" s="382"/>
      <c r="F370" s="382"/>
      <c r="G370" s="382"/>
      <c r="H370" s="382"/>
      <c r="I370" s="382"/>
      <c r="J370" s="382"/>
      <c r="K370" s="382"/>
      <c r="L370" s="382"/>
      <c r="M370" s="382"/>
      <c r="N370" s="382"/>
      <c r="O370" s="382"/>
      <c r="P370" s="382"/>
      <c r="Q370" s="382"/>
      <c r="R370" s="382"/>
      <c r="S370" s="382"/>
      <c r="T370" s="382"/>
    </row>
    <row r="371" spans="3:20" ht="18" x14ac:dyDescent="0.35">
      <c r="C371" s="382"/>
      <c r="D371" s="382"/>
      <c r="E371" s="382"/>
      <c r="F371" s="382"/>
      <c r="G371" s="382"/>
      <c r="H371" s="382"/>
      <c r="I371" s="382"/>
      <c r="J371" s="382"/>
      <c r="K371" s="382"/>
      <c r="L371" s="382"/>
      <c r="M371" s="382"/>
      <c r="N371" s="382"/>
      <c r="O371" s="382"/>
      <c r="P371" s="382"/>
      <c r="Q371" s="382"/>
      <c r="R371" s="382"/>
      <c r="S371" s="382"/>
      <c r="T371" s="382"/>
    </row>
    <row r="372" spans="3:20" ht="18" x14ac:dyDescent="0.35">
      <c r="C372" s="382"/>
      <c r="D372" s="382"/>
      <c r="E372" s="382"/>
      <c r="F372" s="382"/>
      <c r="G372" s="382"/>
      <c r="H372" s="382"/>
      <c r="I372" s="382"/>
      <c r="J372" s="382"/>
      <c r="K372" s="382"/>
      <c r="L372" s="382"/>
      <c r="M372" s="382"/>
      <c r="N372" s="382"/>
      <c r="O372" s="382"/>
      <c r="P372" s="382"/>
      <c r="Q372" s="382"/>
      <c r="R372" s="382"/>
      <c r="S372" s="382"/>
      <c r="T372" s="382"/>
    </row>
    <row r="373" spans="3:20" ht="18" x14ac:dyDescent="0.35">
      <c r="C373" s="382"/>
      <c r="D373" s="382"/>
      <c r="E373" s="382"/>
      <c r="F373" s="382"/>
      <c r="G373" s="382"/>
      <c r="H373" s="382"/>
      <c r="I373" s="382"/>
      <c r="J373" s="382"/>
      <c r="K373" s="382"/>
      <c r="L373" s="382"/>
      <c r="M373" s="382"/>
      <c r="N373" s="382"/>
      <c r="O373" s="382"/>
      <c r="P373" s="382"/>
      <c r="Q373" s="382"/>
      <c r="R373" s="382"/>
      <c r="S373" s="382"/>
      <c r="T373" s="382"/>
    </row>
    <row r="374" spans="3:20" ht="18" x14ac:dyDescent="0.35">
      <c r="C374" s="382"/>
      <c r="D374" s="382"/>
      <c r="E374" s="382"/>
      <c r="F374" s="382"/>
      <c r="G374" s="382"/>
      <c r="H374" s="382"/>
      <c r="I374" s="382"/>
      <c r="J374" s="382"/>
      <c r="K374" s="382"/>
      <c r="L374" s="382"/>
      <c r="M374" s="382"/>
      <c r="N374" s="382"/>
      <c r="O374" s="382"/>
      <c r="P374" s="382"/>
      <c r="Q374" s="382"/>
      <c r="R374" s="382"/>
      <c r="S374" s="382"/>
      <c r="T374" s="382"/>
    </row>
    <row r="375" spans="3:20" ht="18" x14ac:dyDescent="0.35">
      <c r="C375" s="382"/>
      <c r="D375" s="382"/>
      <c r="E375" s="382"/>
      <c r="F375" s="382"/>
      <c r="G375" s="382"/>
      <c r="H375" s="382"/>
      <c r="I375" s="382"/>
      <c r="J375" s="382"/>
      <c r="K375" s="382"/>
      <c r="L375" s="382"/>
      <c r="M375" s="382"/>
      <c r="N375" s="382"/>
      <c r="O375" s="382"/>
      <c r="P375" s="382"/>
      <c r="Q375" s="382"/>
      <c r="R375" s="382"/>
      <c r="S375" s="382"/>
      <c r="T375" s="382"/>
    </row>
    <row r="376" spans="3:20" ht="18" x14ac:dyDescent="0.35">
      <c r="C376" s="382"/>
      <c r="D376" s="382"/>
      <c r="E376" s="382"/>
      <c r="F376" s="382"/>
      <c r="G376" s="382"/>
      <c r="H376" s="382"/>
      <c r="I376" s="382"/>
      <c r="J376" s="382"/>
      <c r="K376" s="382"/>
      <c r="L376" s="382"/>
      <c r="M376" s="382"/>
      <c r="N376" s="382"/>
      <c r="O376" s="382"/>
      <c r="P376" s="382"/>
      <c r="Q376" s="382"/>
      <c r="R376" s="382"/>
      <c r="S376" s="382"/>
      <c r="T376" s="382"/>
    </row>
    <row r="377" spans="3:20" ht="18" x14ac:dyDescent="0.35">
      <c r="C377" s="382"/>
      <c r="D377" s="382"/>
      <c r="E377" s="382"/>
      <c r="F377" s="382"/>
      <c r="G377" s="382"/>
      <c r="H377" s="382"/>
      <c r="I377" s="382"/>
      <c r="J377" s="382"/>
      <c r="K377" s="382"/>
      <c r="L377" s="382"/>
      <c r="M377" s="382"/>
      <c r="N377" s="382"/>
      <c r="O377" s="382"/>
      <c r="P377" s="382"/>
      <c r="Q377" s="382"/>
      <c r="R377" s="382"/>
      <c r="S377" s="382"/>
      <c r="T377" s="382"/>
    </row>
    <row r="378" spans="3:20" ht="18" x14ac:dyDescent="0.35">
      <c r="C378" s="382"/>
      <c r="D378" s="382"/>
      <c r="E378" s="382"/>
      <c r="F378" s="382"/>
      <c r="G378" s="382"/>
      <c r="H378" s="382"/>
      <c r="I378" s="382"/>
      <c r="J378" s="382"/>
      <c r="K378" s="382"/>
      <c r="L378" s="382"/>
      <c r="M378" s="382"/>
      <c r="N378" s="382"/>
      <c r="O378" s="382"/>
      <c r="P378" s="382"/>
      <c r="Q378" s="382"/>
      <c r="R378" s="382"/>
      <c r="S378" s="382"/>
      <c r="T378" s="382"/>
    </row>
    <row r="379" spans="3:20" ht="18" x14ac:dyDescent="0.35">
      <c r="C379" s="382"/>
      <c r="D379" s="382"/>
      <c r="E379" s="382"/>
      <c r="F379" s="382"/>
      <c r="G379" s="382"/>
      <c r="H379" s="382"/>
      <c r="I379" s="382"/>
      <c r="J379" s="382"/>
      <c r="K379" s="382"/>
      <c r="L379" s="382"/>
      <c r="M379" s="382"/>
      <c r="N379" s="382"/>
      <c r="O379" s="382"/>
      <c r="P379" s="382"/>
      <c r="Q379" s="382"/>
      <c r="R379" s="382"/>
      <c r="S379" s="382"/>
      <c r="T379" s="382"/>
    </row>
    <row r="380" spans="3:20" ht="18" x14ac:dyDescent="0.35">
      <c r="C380" s="382"/>
      <c r="D380" s="382"/>
      <c r="E380" s="382"/>
      <c r="F380" s="382"/>
      <c r="G380" s="382"/>
      <c r="H380" s="382"/>
      <c r="I380" s="382"/>
      <c r="J380" s="382"/>
      <c r="K380" s="382"/>
      <c r="L380" s="382"/>
      <c r="M380" s="382"/>
      <c r="N380" s="382"/>
      <c r="O380" s="382"/>
      <c r="P380" s="382"/>
      <c r="Q380" s="382"/>
      <c r="R380" s="382"/>
      <c r="S380" s="382"/>
      <c r="T380" s="382"/>
    </row>
    <row r="381" spans="3:20" ht="18" x14ac:dyDescent="0.35">
      <c r="C381" s="382"/>
      <c r="D381" s="382"/>
      <c r="E381" s="382"/>
      <c r="F381" s="382"/>
      <c r="G381" s="382"/>
      <c r="H381" s="382"/>
      <c r="I381" s="382"/>
      <c r="J381" s="382"/>
      <c r="K381" s="382"/>
      <c r="L381" s="382"/>
      <c r="M381" s="382"/>
      <c r="N381" s="382"/>
      <c r="O381" s="382"/>
      <c r="P381" s="382"/>
      <c r="Q381" s="382"/>
      <c r="R381" s="382"/>
      <c r="S381" s="382"/>
      <c r="T381" s="382"/>
    </row>
    <row r="382" spans="3:20" ht="18" x14ac:dyDescent="0.35">
      <c r="C382" s="382"/>
      <c r="D382" s="382"/>
      <c r="E382" s="382"/>
      <c r="F382" s="382"/>
      <c r="G382" s="382"/>
      <c r="H382" s="382"/>
      <c r="I382" s="382"/>
      <c r="J382" s="382"/>
      <c r="K382" s="382"/>
      <c r="L382" s="382"/>
      <c r="M382" s="382"/>
      <c r="N382" s="382"/>
      <c r="O382" s="382"/>
      <c r="P382" s="382"/>
      <c r="Q382" s="382"/>
      <c r="R382" s="382"/>
      <c r="S382" s="382"/>
      <c r="T382" s="382"/>
    </row>
    <row r="383" spans="3:20" ht="18" x14ac:dyDescent="0.35">
      <c r="C383" s="382"/>
      <c r="D383" s="382"/>
      <c r="E383" s="382"/>
      <c r="F383" s="382"/>
      <c r="G383" s="382"/>
      <c r="H383" s="382"/>
      <c r="I383" s="382"/>
      <c r="J383" s="382"/>
      <c r="K383" s="382"/>
      <c r="L383" s="382"/>
      <c r="M383" s="382"/>
      <c r="N383" s="382"/>
      <c r="O383" s="382"/>
      <c r="P383" s="382"/>
      <c r="Q383" s="382"/>
      <c r="R383" s="382"/>
      <c r="S383" s="382"/>
      <c r="T383" s="382"/>
    </row>
    <row r="384" spans="3:20" ht="18" x14ac:dyDescent="0.35">
      <c r="C384" s="382"/>
      <c r="D384" s="382"/>
      <c r="E384" s="382"/>
      <c r="F384" s="382"/>
      <c r="G384" s="382"/>
      <c r="H384" s="382"/>
      <c r="I384" s="382"/>
      <c r="J384" s="382"/>
      <c r="K384" s="382"/>
      <c r="L384" s="382"/>
      <c r="M384" s="382"/>
      <c r="N384" s="382"/>
      <c r="O384" s="382"/>
      <c r="P384" s="382"/>
      <c r="Q384" s="382"/>
      <c r="R384" s="382"/>
      <c r="S384" s="382"/>
      <c r="T384" s="382"/>
    </row>
    <row r="385" spans="3:20" ht="18" x14ac:dyDescent="0.35">
      <c r="C385" s="382"/>
      <c r="D385" s="382"/>
      <c r="E385" s="382"/>
      <c r="F385" s="382"/>
      <c r="G385" s="382"/>
      <c r="H385" s="382"/>
      <c r="I385" s="382"/>
      <c r="J385" s="382"/>
      <c r="K385" s="382"/>
      <c r="L385" s="382"/>
      <c r="M385" s="382"/>
      <c r="N385" s="382"/>
      <c r="O385" s="382"/>
      <c r="P385" s="382"/>
      <c r="Q385" s="382"/>
      <c r="R385" s="382"/>
      <c r="S385" s="382"/>
      <c r="T385" s="382"/>
    </row>
    <row r="386" spans="3:20" ht="18" x14ac:dyDescent="0.35">
      <c r="C386" s="382"/>
      <c r="D386" s="382"/>
      <c r="E386" s="382"/>
      <c r="F386" s="382"/>
      <c r="G386" s="382"/>
      <c r="H386" s="382"/>
      <c r="I386" s="382"/>
      <c r="J386" s="382"/>
      <c r="K386" s="382"/>
      <c r="L386" s="382"/>
      <c r="M386" s="382"/>
      <c r="N386" s="382"/>
      <c r="O386" s="382"/>
      <c r="P386" s="382"/>
      <c r="Q386" s="382"/>
      <c r="R386" s="382"/>
      <c r="S386" s="382"/>
      <c r="T386" s="382"/>
    </row>
    <row r="387" spans="3:20" ht="18" x14ac:dyDescent="0.35">
      <c r="C387" s="382"/>
      <c r="D387" s="382"/>
      <c r="E387" s="382"/>
      <c r="F387" s="382"/>
      <c r="G387" s="382"/>
      <c r="H387" s="382"/>
      <c r="I387" s="382"/>
      <c r="J387" s="382"/>
      <c r="K387" s="382"/>
      <c r="L387" s="382"/>
      <c r="M387" s="382"/>
      <c r="N387" s="382"/>
      <c r="O387" s="382"/>
      <c r="P387" s="382"/>
      <c r="Q387" s="382"/>
      <c r="R387" s="382"/>
      <c r="S387" s="382"/>
      <c r="T387" s="382"/>
    </row>
    <row r="388" spans="3:20" ht="18" x14ac:dyDescent="0.35">
      <c r="C388" s="382"/>
      <c r="D388" s="382"/>
      <c r="E388" s="382"/>
      <c r="F388" s="382"/>
      <c r="G388" s="382"/>
      <c r="H388" s="382"/>
      <c r="I388" s="382"/>
      <c r="J388" s="382"/>
      <c r="K388" s="382"/>
      <c r="L388" s="382"/>
      <c r="M388" s="382"/>
      <c r="N388" s="382"/>
      <c r="O388" s="382"/>
      <c r="P388" s="382"/>
      <c r="Q388" s="382"/>
      <c r="R388" s="382"/>
      <c r="S388" s="382"/>
      <c r="T388" s="382"/>
    </row>
    <row r="389" spans="3:20" ht="18" x14ac:dyDescent="0.35">
      <c r="C389" s="382"/>
      <c r="D389" s="382"/>
      <c r="E389" s="382"/>
      <c r="F389" s="382"/>
      <c r="G389" s="382"/>
      <c r="H389" s="382"/>
      <c r="I389" s="382"/>
      <c r="J389" s="382"/>
      <c r="K389" s="382"/>
      <c r="L389" s="382"/>
      <c r="M389" s="382"/>
      <c r="N389" s="382"/>
      <c r="O389" s="382"/>
      <c r="P389" s="382"/>
      <c r="Q389" s="382"/>
      <c r="R389" s="382"/>
      <c r="S389" s="382"/>
      <c r="T389" s="382"/>
    </row>
    <row r="390" spans="3:20" ht="18" x14ac:dyDescent="0.35">
      <c r="C390" s="382"/>
      <c r="D390" s="382"/>
      <c r="E390" s="382"/>
      <c r="F390" s="382"/>
      <c r="G390" s="382"/>
      <c r="H390" s="382"/>
      <c r="I390" s="382"/>
      <c r="J390" s="382"/>
      <c r="K390" s="382"/>
      <c r="L390" s="382"/>
      <c r="M390" s="382"/>
      <c r="N390" s="382"/>
      <c r="O390" s="382"/>
      <c r="P390" s="382"/>
      <c r="Q390" s="382"/>
      <c r="R390" s="382"/>
      <c r="S390" s="382"/>
      <c r="T390" s="382"/>
    </row>
    <row r="391" spans="3:20" ht="18" x14ac:dyDescent="0.35">
      <c r="C391" s="382"/>
      <c r="D391" s="382"/>
      <c r="E391" s="382"/>
      <c r="F391" s="382"/>
      <c r="G391" s="382"/>
      <c r="H391" s="382"/>
      <c r="I391" s="382"/>
      <c r="J391" s="382"/>
      <c r="K391" s="382"/>
      <c r="L391" s="382"/>
      <c r="M391" s="382"/>
      <c r="N391" s="382"/>
      <c r="O391" s="382"/>
      <c r="P391" s="382"/>
      <c r="Q391" s="382"/>
      <c r="R391" s="382"/>
      <c r="S391" s="382"/>
      <c r="T391" s="382"/>
    </row>
    <row r="392" spans="3:20" ht="18" x14ac:dyDescent="0.35">
      <c r="C392" s="382"/>
      <c r="D392" s="382"/>
      <c r="E392" s="382"/>
      <c r="F392" s="382"/>
      <c r="G392" s="382"/>
      <c r="H392" s="382"/>
      <c r="I392" s="382"/>
      <c r="J392" s="382"/>
      <c r="K392" s="382"/>
      <c r="L392" s="382"/>
      <c r="M392" s="382"/>
      <c r="N392" s="382"/>
      <c r="O392" s="382"/>
      <c r="P392" s="382"/>
      <c r="Q392" s="382"/>
      <c r="R392" s="382"/>
      <c r="S392" s="382"/>
      <c r="T392" s="382"/>
    </row>
    <row r="393" spans="3:20" ht="18" x14ac:dyDescent="0.35">
      <c r="C393" s="382"/>
      <c r="D393" s="382"/>
      <c r="E393" s="382"/>
      <c r="F393" s="382"/>
      <c r="G393" s="382"/>
      <c r="H393" s="382"/>
      <c r="I393" s="382"/>
      <c r="J393" s="382"/>
      <c r="K393" s="382"/>
      <c r="L393" s="382"/>
      <c r="M393" s="382"/>
      <c r="N393" s="382"/>
      <c r="O393" s="382"/>
      <c r="P393" s="382"/>
      <c r="Q393" s="382"/>
      <c r="R393" s="382"/>
      <c r="S393" s="382"/>
      <c r="T393" s="382"/>
    </row>
    <row r="394" spans="3:20" ht="18" x14ac:dyDescent="0.35">
      <c r="C394" s="382"/>
      <c r="D394" s="382"/>
      <c r="E394" s="382"/>
      <c r="F394" s="382"/>
      <c r="G394" s="382"/>
      <c r="H394" s="382"/>
      <c r="I394" s="382"/>
      <c r="J394" s="382"/>
      <c r="K394" s="382"/>
      <c r="L394" s="382"/>
      <c r="M394" s="382"/>
      <c r="N394" s="382"/>
      <c r="O394" s="382"/>
      <c r="P394" s="382"/>
      <c r="Q394" s="382"/>
      <c r="R394" s="382"/>
      <c r="S394" s="382"/>
      <c r="T394" s="382"/>
    </row>
    <row r="395" spans="3:20" ht="18" x14ac:dyDescent="0.35">
      <c r="C395" s="382"/>
      <c r="D395" s="382"/>
      <c r="E395" s="382"/>
      <c r="F395" s="382"/>
      <c r="G395" s="382"/>
      <c r="H395" s="382"/>
      <c r="I395" s="382"/>
      <c r="J395" s="382"/>
      <c r="K395" s="382"/>
      <c r="L395" s="382"/>
      <c r="M395" s="382"/>
      <c r="N395" s="382"/>
      <c r="O395" s="382"/>
      <c r="P395" s="382"/>
      <c r="Q395" s="382"/>
      <c r="R395" s="382"/>
      <c r="S395" s="382"/>
      <c r="T395" s="382"/>
    </row>
    <row r="396" spans="3:20" ht="18" x14ac:dyDescent="0.35">
      <c r="C396" s="382"/>
      <c r="D396" s="382"/>
      <c r="E396" s="382"/>
      <c r="F396" s="382"/>
      <c r="G396" s="382"/>
      <c r="H396" s="382"/>
      <c r="I396" s="382"/>
      <c r="J396" s="382"/>
      <c r="K396" s="382"/>
      <c r="L396" s="382"/>
      <c r="M396" s="382"/>
      <c r="N396" s="382"/>
      <c r="O396" s="382"/>
      <c r="P396" s="382"/>
      <c r="Q396" s="382"/>
      <c r="R396" s="382"/>
      <c r="S396" s="382"/>
      <c r="T396" s="382"/>
    </row>
    <row r="397" spans="3:20" ht="18" x14ac:dyDescent="0.35">
      <c r="C397" s="382"/>
      <c r="D397" s="382"/>
      <c r="E397" s="382"/>
      <c r="F397" s="382"/>
      <c r="G397" s="382"/>
      <c r="H397" s="382"/>
      <c r="I397" s="382"/>
      <c r="J397" s="382"/>
      <c r="K397" s="382"/>
      <c r="L397" s="382"/>
      <c r="M397" s="382"/>
      <c r="N397" s="382"/>
      <c r="O397" s="382"/>
      <c r="P397" s="382"/>
      <c r="Q397" s="382"/>
      <c r="R397" s="382"/>
      <c r="S397" s="382"/>
      <c r="T397" s="382"/>
    </row>
    <row r="398" spans="3:20" ht="18" x14ac:dyDescent="0.35">
      <c r="C398" s="382"/>
      <c r="D398" s="382"/>
      <c r="E398" s="382"/>
      <c r="F398" s="382"/>
      <c r="G398" s="382"/>
      <c r="H398" s="382"/>
      <c r="I398" s="382"/>
      <c r="J398" s="382"/>
      <c r="K398" s="382"/>
      <c r="L398" s="382"/>
      <c r="M398" s="382"/>
      <c r="N398" s="382"/>
      <c r="O398" s="382"/>
      <c r="P398" s="382"/>
      <c r="Q398" s="382"/>
      <c r="R398" s="382"/>
      <c r="S398" s="382"/>
      <c r="T398" s="382"/>
    </row>
    <row r="399" spans="3:20" ht="18" x14ac:dyDescent="0.35">
      <c r="C399" s="382"/>
      <c r="D399" s="382"/>
      <c r="E399" s="382"/>
      <c r="F399" s="382"/>
      <c r="G399" s="382"/>
      <c r="H399" s="382"/>
      <c r="I399" s="382"/>
      <c r="J399" s="382"/>
      <c r="K399" s="382"/>
      <c r="L399" s="382"/>
      <c r="M399" s="382"/>
      <c r="N399" s="382"/>
      <c r="O399" s="382"/>
      <c r="P399" s="382"/>
      <c r="Q399" s="382"/>
      <c r="R399" s="382"/>
      <c r="S399" s="382"/>
      <c r="T399" s="382"/>
    </row>
    <row r="400" spans="3:20" ht="18" x14ac:dyDescent="0.35">
      <c r="C400" s="382"/>
      <c r="D400" s="382"/>
      <c r="E400" s="382"/>
      <c r="F400" s="382"/>
      <c r="G400" s="382"/>
      <c r="H400" s="382"/>
      <c r="I400" s="382"/>
      <c r="J400" s="382"/>
      <c r="K400" s="382"/>
      <c r="L400" s="382"/>
      <c r="M400" s="382"/>
      <c r="N400" s="382"/>
      <c r="O400" s="382"/>
      <c r="P400" s="382"/>
      <c r="Q400" s="382"/>
      <c r="R400" s="382"/>
      <c r="S400" s="382"/>
      <c r="T400" s="382"/>
    </row>
    <row r="401" spans="3:20" ht="18" x14ac:dyDescent="0.35">
      <c r="C401" s="382"/>
      <c r="D401" s="382"/>
      <c r="E401" s="382"/>
      <c r="F401" s="382"/>
      <c r="G401" s="382"/>
      <c r="H401" s="382"/>
      <c r="I401" s="382"/>
      <c r="J401" s="382"/>
      <c r="K401" s="382"/>
      <c r="L401" s="382"/>
      <c r="M401" s="382"/>
      <c r="N401" s="382"/>
      <c r="O401" s="382"/>
      <c r="P401" s="382"/>
      <c r="Q401" s="382"/>
      <c r="R401" s="382"/>
      <c r="S401" s="382"/>
      <c r="T401" s="382"/>
    </row>
    <row r="402" spans="3:20" ht="18" x14ac:dyDescent="0.35">
      <c r="C402" s="382"/>
      <c r="D402" s="382"/>
      <c r="E402" s="382"/>
      <c r="F402" s="382"/>
      <c r="G402" s="382"/>
      <c r="H402" s="382"/>
      <c r="I402" s="382"/>
      <c r="J402" s="382"/>
      <c r="K402" s="382"/>
      <c r="L402" s="382"/>
      <c r="M402" s="382"/>
      <c r="N402" s="382"/>
      <c r="O402" s="382"/>
      <c r="P402" s="382"/>
      <c r="Q402" s="382"/>
      <c r="R402" s="382"/>
      <c r="S402" s="382"/>
      <c r="T402" s="382"/>
    </row>
    <row r="403" spans="3:20" ht="18" x14ac:dyDescent="0.35">
      <c r="C403" s="382"/>
      <c r="D403" s="382"/>
      <c r="E403" s="382"/>
      <c r="F403" s="382"/>
      <c r="G403" s="382"/>
      <c r="H403" s="382"/>
      <c r="I403" s="382"/>
      <c r="J403" s="382"/>
      <c r="K403" s="382"/>
      <c r="L403" s="382"/>
      <c r="M403" s="382"/>
      <c r="N403" s="382"/>
      <c r="O403" s="382"/>
      <c r="P403" s="382"/>
      <c r="Q403" s="382"/>
      <c r="R403" s="382"/>
      <c r="S403" s="382"/>
      <c r="T403" s="382"/>
    </row>
    <row r="404" spans="3:20" ht="18" x14ac:dyDescent="0.35">
      <c r="C404" s="382"/>
      <c r="D404" s="382"/>
      <c r="E404" s="382"/>
      <c r="F404" s="382"/>
      <c r="G404" s="382"/>
      <c r="H404" s="382"/>
      <c r="I404" s="382"/>
      <c r="J404" s="382"/>
      <c r="K404" s="382"/>
      <c r="L404" s="382"/>
      <c r="M404" s="382"/>
      <c r="N404" s="382"/>
      <c r="O404" s="382"/>
      <c r="P404" s="382"/>
      <c r="Q404" s="382"/>
      <c r="R404" s="382"/>
      <c r="S404" s="382"/>
      <c r="T404" s="382"/>
    </row>
    <row r="405" spans="3:20" ht="18" x14ac:dyDescent="0.35">
      <c r="C405" s="382"/>
      <c r="D405" s="382"/>
      <c r="E405" s="382"/>
      <c r="F405" s="382"/>
      <c r="G405" s="382"/>
      <c r="H405" s="382"/>
      <c r="I405" s="382"/>
      <c r="J405" s="382"/>
      <c r="K405" s="382"/>
      <c r="L405" s="382"/>
      <c r="M405" s="382"/>
      <c r="N405" s="382"/>
      <c r="O405" s="382"/>
      <c r="P405" s="382"/>
      <c r="Q405" s="382"/>
      <c r="R405" s="382"/>
      <c r="S405" s="382"/>
      <c r="T405" s="382"/>
    </row>
    <row r="406" spans="3:20" ht="18" x14ac:dyDescent="0.35">
      <c r="C406" s="382"/>
      <c r="D406" s="382"/>
      <c r="E406" s="382"/>
      <c r="F406" s="382"/>
      <c r="G406" s="382"/>
      <c r="H406" s="382"/>
      <c r="I406" s="382"/>
      <c r="J406" s="382"/>
      <c r="K406" s="382"/>
      <c r="L406" s="382"/>
      <c r="M406" s="382"/>
      <c r="N406" s="382"/>
      <c r="O406" s="382"/>
      <c r="P406" s="382"/>
      <c r="Q406" s="382"/>
      <c r="R406" s="382"/>
      <c r="S406" s="382"/>
      <c r="T406" s="382"/>
    </row>
    <row r="407" spans="3:20" ht="18" x14ac:dyDescent="0.35">
      <c r="C407" s="382"/>
      <c r="D407" s="382"/>
      <c r="E407" s="382"/>
      <c r="F407" s="382"/>
      <c r="G407" s="382"/>
      <c r="H407" s="382"/>
      <c r="I407" s="382"/>
      <c r="J407" s="382"/>
      <c r="K407" s="382"/>
      <c r="L407" s="382"/>
      <c r="M407" s="382"/>
      <c r="N407" s="382"/>
      <c r="O407" s="382"/>
      <c r="P407" s="382"/>
      <c r="Q407" s="382"/>
      <c r="R407" s="382"/>
      <c r="S407" s="382"/>
      <c r="T407" s="382"/>
    </row>
    <row r="408" spans="3:20" ht="18" x14ac:dyDescent="0.35">
      <c r="C408" s="382"/>
      <c r="D408" s="382"/>
      <c r="E408" s="382"/>
      <c r="F408" s="382"/>
      <c r="G408" s="382"/>
      <c r="H408" s="382"/>
      <c r="I408" s="382"/>
      <c r="J408" s="382"/>
      <c r="K408" s="382"/>
      <c r="L408" s="382"/>
      <c r="M408" s="382"/>
      <c r="N408" s="382"/>
      <c r="O408" s="382"/>
      <c r="P408" s="382"/>
      <c r="Q408" s="382"/>
      <c r="R408" s="382"/>
      <c r="S408" s="382"/>
      <c r="T408" s="382"/>
    </row>
    <row r="409" spans="3:20" ht="18" x14ac:dyDescent="0.35">
      <c r="C409" s="382"/>
      <c r="D409" s="382"/>
      <c r="E409" s="382"/>
      <c r="F409" s="382"/>
      <c r="G409" s="382"/>
      <c r="H409" s="382"/>
      <c r="I409" s="382"/>
      <c r="J409" s="382"/>
      <c r="K409" s="382"/>
      <c r="L409" s="382"/>
      <c r="M409" s="382"/>
      <c r="N409" s="382"/>
      <c r="O409" s="382"/>
      <c r="P409" s="382"/>
      <c r="Q409" s="382"/>
      <c r="R409" s="382"/>
      <c r="S409" s="382"/>
      <c r="T409" s="382"/>
    </row>
    <row r="410" spans="3:20" ht="18" x14ac:dyDescent="0.35">
      <c r="C410" s="382"/>
      <c r="D410" s="382"/>
      <c r="E410" s="382"/>
      <c r="F410" s="382"/>
      <c r="G410" s="382"/>
      <c r="H410" s="382"/>
      <c r="I410" s="382"/>
      <c r="J410" s="382"/>
      <c r="K410" s="382"/>
      <c r="L410" s="382"/>
      <c r="M410" s="382"/>
      <c r="N410" s="382"/>
      <c r="O410" s="382"/>
      <c r="P410" s="382"/>
      <c r="Q410" s="382"/>
      <c r="R410" s="382"/>
      <c r="S410" s="382"/>
      <c r="T410" s="382"/>
    </row>
    <row r="411" spans="3:20" ht="18" x14ac:dyDescent="0.35">
      <c r="C411" s="382"/>
      <c r="D411" s="382"/>
      <c r="E411" s="382"/>
      <c r="F411" s="382"/>
      <c r="G411" s="382"/>
      <c r="H411" s="382"/>
      <c r="I411" s="382"/>
      <c r="J411" s="382"/>
      <c r="K411" s="382"/>
      <c r="L411" s="382"/>
      <c r="M411" s="382"/>
      <c r="N411" s="382"/>
      <c r="O411" s="382"/>
      <c r="P411" s="382"/>
      <c r="Q411" s="382"/>
      <c r="R411" s="382"/>
      <c r="S411" s="382"/>
      <c r="T411" s="382"/>
    </row>
    <row r="412" spans="3:20" ht="18" x14ac:dyDescent="0.35">
      <c r="C412" s="382"/>
      <c r="D412" s="382"/>
      <c r="E412" s="382"/>
      <c r="F412" s="382"/>
      <c r="G412" s="382"/>
      <c r="H412" s="382"/>
      <c r="I412" s="382"/>
      <c r="J412" s="382"/>
      <c r="K412" s="382"/>
      <c r="L412" s="382"/>
      <c r="M412" s="382"/>
      <c r="N412" s="382"/>
      <c r="O412" s="382"/>
      <c r="P412" s="382"/>
      <c r="Q412" s="382"/>
      <c r="R412" s="382"/>
      <c r="S412" s="382"/>
      <c r="T412" s="382"/>
    </row>
    <row r="413" spans="3:20" ht="18" x14ac:dyDescent="0.35">
      <c r="C413" s="382"/>
      <c r="D413" s="382"/>
      <c r="E413" s="382"/>
      <c r="F413" s="382"/>
      <c r="G413" s="382"/>
      <c r="H413" s="382"/>
      <c r="I413" s="382"/>
      <c r="J413" s="382"/>
      <c r="K413" s="382"/>
      <c r="L413" s="382"/>
      <c r="M413" s="382"/>
      <c r="N413" s="382"/>
      <c r="O413" s="382"/>
      <c r="P413" s="382"/>
      <c r="Q413" s="382"/>
      <c r="R413" s="382"/>
      <c r="S413" s="382"/>
      <c r="T413" s="382"/>
    </row>
    <row r="414" spans="3:20" ht="18" x14ac:dyDescent="0.35">
      <c r="C414" s="382"/>
      <c r="D414" s="382"/>
      <c r="E414" s="382"/>
      <c r="F414" s="382"/>
      <c r="G414" s="382"/>
      <c r="H414" s="382"/>
      <c r="I414" s="382"/>
      <c r="J414" s="382"/>
      <c r="K414" s="382"/>
      <c r="L414" s="382"/>
      <c r="M414" s="382"/>
      <c r="N414" s="382"/>
      <c r="O414" s="382"/>
      <c r="P414" s="382"/>
      <c r="Q414" s="382"/>
      <c r="R414" s="382"/>
      <c r="S414" s="382"/>
      <c r="T414" s="382"/>
    </row>
    <row r="415" spans="3:20" ht="18" x14ac:dyDescent="0.35">
      <c r="C415" s="382"/>
      <c r="D415" s="382"/>
      <c r="E415" s="382"/>
      <c r="F415" s="382"/>
      <c r="G415" s="382"/>
      <c r="H415" s="382"/>
      <c r="I415" s="382"/>
      <c r="J415" s="382"/>
      <c r="K415" s="382"/>
      <c r="L415" s="382"/>
      <c r="M415" s="382"/>
      <c r="N415" s="382"/>
      <c r="O415" s="382"/>
      <c r="P415" s="382"/>
      <c r="Q415" s="382"/>
      <c r="R415" s="382"/>
      <c r="S415" s="382"/>
      <c r="T415" s="382"/>
    </row>
    <row r="416" spans="3:20" ht="18" x14ac:dyDescent="0.35">
      <c r="C416" s="382"/>
      <c r="D416" s="382"/>
      <c r="E416" s="382"/>
      <c r="F416" s="382"/>
      <c r="G416" s="382"/>
      <c r="H416" s="382"/>
      <c r="I416" s="382"/>
      <c r="J416" s="382"/>
      <c r="K416" s="382"/>
      <c r="L416" s="382"/>
      <c r="M416" s="382"/>
      <c r="N416" s="382"/>
      <c r="O416" s="382"/>
      <c r="P416" s="382"/>
      <c r="Q416" s="382"/>
      <c r="R416" s="382"/>
      <c r="S416" s="382"/>
      <c r="T416" s="382"/>
    </row>
    <row r="417" spans="3:20" ht="18" x14ac:dyDescent="0.35">
      <c r="C417" s="382"/>
      <c r="D417" s="382"/>
      <c r="E417" s="382"/>
      <c r="F417" s="382"/>
      <c r="G417" s="382"/>
      <c r="H417" s="382"/>
      <c r="I417" s="382"/>
      <c r="J417" s="382"/>
      <c r="K417" s="382"/>
      <c r="L417" s="382"/>
      <c r="M417" s="382"/>
      <c r="N417" s="382"/>
      <c r="O417" s="382"/>
      <c r="P417" s="382"/>
      <c r="Q417" s="382"/>
      <c r="R417" s="382"/>
      <c r="S417" s="382"/>
      <c r="T417" s="382"/>
    </row>
    <row r="418" spans="3:20" ht="18" x14ac:dyDescent="0.35">
      <c r="C418" s="382"/>
      <c r="D418" s="382"/>
      <c r="E418" s="382"/>
      <c r="F418" s="382"/>
      <c r="G418" s="382"/>
      <c r="H418" s="382"/>
      <c r="I418" s="382"/>
      <c r="J418" s="382"/>
      <c r="K418" s="382"/>
      <c r="L418" s="382"/>
      <c r="M418" s="382"/>
      <c r="N418" s="382"/>
      <c r="O418" s="382"/>
      <c r="P418" s="382"/>
      <c r="Q418" s="382"/>
      <c r="R418" s="382"/>
      <c r="S418" s="382"/>
      <c r="T418" s="382"/>
    </row>
    <row r="419" spans="3:20" ht="18" x14ac:dyDescent="0.35">
      <c r="C419" s="382"/>
      <c r="D419" s="382"/>
      <c r="E419" s="382"/>
      <c r="F419" s="382"/>
      <c r="G419" s="382"/>
      <c r="H419" s="382"/>
      <c r="I419" s="382"/>
      <c r="J419" s="382"/>
      <c r="K419" s="382"/>
      <c r="L419" s="382"/>
      <c r="M419" s="382"/>
      <c r="N419" s="382"/>
      <c r="O419" s="382"/>
      <c r="P419" s="382"/>
      <c r="Q419" s="382"/>
      <c r="R419" s="382"/>
      <c r="S419" s="382"/>
      <c r="T419" s="382"/>
    </row>
    <row r="420" spans="3:20" ht="18" x14ac:dyDescent="0.35">
      <c r="C420" s="382"/>
      <c r="D420" s="382"/>
      <c r="E420" s="382"/>
      <c r="F420" s="382"/>
      <c r="G420" s="382"/>
      <c r="H420" s="382"/>
      <c r="I420" s="382"/>
      <c r="J420" s="382"/>
      <c r="K420" s="382"/>
      <c r="L420" s="382"/>
      <c r="M420" s="382"/>
      <c r="N420" s="382"/>
      <c r="O420" s="382"/>
      <c r="P420" s="382"/>
      <c r="Q420" s="382"/>
      <c r="R420" s="382"/>
      <c r="S420" s="382"/>
      <c r="T420" s="382"/>
    </row>
    <row r="421" spans="3:20" ht="18" x14ac:dyDescent="0.35">
      <c r="C421" s="382"/>
      <c r="D421" s="382"/>
      <c r="E421" s="382"/>
      <c r="F421" s="382"/>
      <c r="G421" s="382"/>
      <c r="H421" s="382"/>
      <c r="I421" s="382"/>
      <c r="J421" s="382"/>
      <c r="K421" s="382"/>
      <c r="L421" s="382"/>
      <c r="M421" s="382"/>
      <c r="N421" s="382"/>
      <c r="O421" s="382"/>
      <c r="P421" s="382"/>
      <c r="Q421" s="382"/>
      <c r="R421" s="382"/>
      <c r="S421" s="382"/>
      <c r="T421" s="382"/>
    </row>
    <row r="422" spans="3:20" ht="18" x14ac:dyDescent="0.35">
      <c r="C422" s="382"/>
      <c r="D422" s="382"/>
      <c r="E422" s="382"/>
      <c r="F422" s="382"/>
      <c r="G422" s="382"/>
      <c r="H422" s="382"/>
      <c r="I422" s="382"/>
      <c r="J422" s="382"/>
      <c r="K422" s="382"/>
      <c r="L422" s="382"/>
      <c r="M422" s="382"/>
      <c r="N422" s="382"/>
      <c r="O422" s="382"/>
      <c r="P422" s="382"/>
      <c r="Q422" s="382"/>
      <c r="R422" s="382"/>
      <c r="S422" s="382"/>
      <c r="T422" s="382"/>
    </row>
    <row r="423" spans="3:20" ht="18" x14ac:dyDescent="0.35">
      <c r="C423" s="382"/>
      <c r="D423" s="382"/>
      <c r="E423" s="382"/>
      <c r="F423" s="382"/>
      <c r="G423" s="382"/>
      <c r="H423" s="382"/>
      <c r="I423" s="382"/>
      <c r="J423" s="382"/>
      <c r="K423" s="382"/>
      <c r="L423" s="382"/>
      <c r="M423" s="382"/>
      <c r="N423" s="382"/>
      <c r="O423" s="382"/>
      <c r="P423" s="382"/>
      <c r="Q423" s="382"/>
      <c r="R423" s="382"/>
      <c r="S423" s="382"/>
      <c r="T423" s="382"/>
    </row>
    <row r="424" spans="3:20" ht="18" x14ac:dyDescent="0.35">
      <c r="C424" s="382"/>
      <c r="D424" s="382"/>
      <c r="E424" s="382"/>
      <c r="F424" s="382"/>
      <c r="G424" s="382"/>
      <c r="H424" s="382"/>
      <c r="I424" s="382"/>
      <c r="J424" s="382"/>
      <c r="K424" s="382"/>
      <c r="L424" s="382"/>
      <c r="M424" s="382"/>
      <c r="N424" s="382"/>
      <c r="O424" s="382"/>
      <c r="P424" s="382"/>
      <c r="Q424" s="382"/>
      <c r="R424" s="382"/>
      <c r="S424" s="382"/>
      <c r="T424" s="382"/>
    </row>
    <row r="425" spans="3:20" ht="18" x14ac:dyDescent="0.35">
      <c r="C425" s="382"/>
      <c r="D425" s="382"/>
      <c r="E425" s="382"/>
      <c r="F425" s="382"/>
      <c r="G425" s="382"/>
      <c r="H425" s="382"/>
      <c r="I425" s="382"/>
      <c r="J425" s="382"/>
      <c r="K425" s="382"/>
      <c r="L425" s="382"/>
      <c r="M425" s="382"/>
      <c r="N425" s="382"/>
      <c r="O425" s="382"/>
      <c r="P425" s="382"/>
      <c r="Q425" s="382"/>
      <c r="R425" s="382"/>
      <c r="S425" s="382"/>
      <c r="T425" s="382"/>
    </row>
    <row r="426" spans="3:20" ht="18" x14ac:dyDescent="0.35">
      <c r="C426" s="382"/>
      <c r="D426" s="382"/>
      <c r="E426" s="382"/>
      <c r="F426" s="382"/>
      <c r="G426" s="382"/>
      <c r="H426" s="382"/>
      <c r="I426" s="382"/>
      <c r="J426" s="382"/>
      <c r="K426" s="382"/>
      <c r="L426" s="382"/>
      <c r="M426" s="382"/>
      <c r="N426" s="382"/>
      <c r="O426" s="382"/>
      <c r="P426" s="382"/>
      <c r="Q426" s="382"/>
      <c r="R426" s="382"/>
      <c r="S426" s="382"/>
      <c r="T426" s="382"/>
    </row>
    <row r="427" spans="3:20" ht="18" x14ac:dyDescent="0.35">
      <c r="C427" s="382"/>
      <c r="D427" s="382"/>
      <c r="E427" s="382"/>
      <c r="F427" s="382"/>
      <c r="G427" s="382"/>
      <c r="H427" s="382"/>
      <c r="I427" s="382"/>
      <c r="J427" s="382"/>
      <c r="K427" s="382"/>
      <c r="L427" s="382"/>
      <c r="M427" s="382"/>
      <c r="N427" s="382"/>
      <c r="O427" s="382"/>
      <c r="P427" s="382"/>
      <c r="Q427" s="382"/>
      <c r="R427" s="382"/>
      <c r="S427" s="382"/>
      <c r="T427" s="382"/>
    </row>
    <row r="428" spans="3:20" ht="18" x14ac:dyDescent="0.35">
      <c r="C428" s="382"/>
      <c r="D428" s="382"/>
      <c r="E428" s="382"/>
      <c r="F428" s="382"/>
      <c r="G428" s="382"/>
      <c r="H428" s="382"/>
      <c r="I428" s="382"/>
      <c r="J428" s="382"/>
      <c r="K428" s="382"/>
      <c r="L428" s="382"/>
      <c r="M428" s="382"/>
      <c r="N428" s="382"/>
      <c r="O428" s="382"/>
      <c r="P428" s="382"/>
      <c r="Q428" s="382"/>
      <c r="R428" s="382"/>
      <c r="S428" s="382"/>
      <c r="T428" s="382"/>
    </row>
    <row r="429" spans="3:20" ht="18" x14ac:dyDescent="0.35">
      <c r="C429" s="382"/>
      <c r="D429" s="382"/>
      <c r="E429" s="382"/>
      <c r="F429" s="382"/>
      <c r="G429" s="382"/>
      <c r="H429" s="382"/>
      <c r="I429" s="382"/>
      <c r="J429" s="382"/>
      <c r="K429" s="382"/>
      <c r="L429" s="382"/>
      <c r="M429" s="382"/>
      <c r="N429" s="382"/>
      <c r="O429" s="382"/>
      <c r="P429" s="382"/>
      <c r="Q429" s="382"/>
      <c r="R429" s="382"/>
      <c r="S429" s="382"/>
      <c r="T429" s="382"/>
    </row>
    <row r="430" spans="3:20" ht="18" x14ac:dyDescent="0.35">
      <c r="C430" s="382"/>
      <c r="D430" s="382"/>
      <c r="E430" s="382"/>
      <c r="F430" s="382"/>
      <c r="G430" s="382"/>
      <c r="H430" s="382"/>
      <c r="I430" s="382"/>
      <c r="J430" s="382"/>
      <c r="K430" s="382"/>
      <c r="L430" s="382"/>
      <c r="M430" s="382"/>
      <c r="N430" s="382"/>
      <c r="O430" s="382"/>
      <c r="P430" s="382"/>
      <c r="Q430" s="382"/>
      <c r="R430" s="382"/>
      <c r="S430" s="382"/>
      <c r="T430" s="382"/>
    </row>
    <row r="431" spans="3:20" ht="18" x14ac:dyDescent="0.35">
      <c r="C431" s="382"/>
      <c r="D431" s="382"/>
      <c r="E431" s="382"/>
      <c r="F431" s="382"/>
      <c r="G431" s="382"/>
      <c r="H431" s="382"/>
      <c r="I431" s="382"/>
      <c r="J431" s="382"/>
      <c r="K431" s="382"/>
      <c r="L431" s="382"/>
      <c r="M431" s="382"/>
      <c r="N431" s="382"/>
      <c r="O431" s="382"/>
      <c r="P431" s="382"/>
      <c r="Q431" s="382"/>
      <c r="R431" s="382"/>
      <c r="S431" s="382"/>
      <c r="T431" s="382"/>
    </row>
    <row r="432" spans="3:20" ht="18" x14ac:dyDescent="0.35">
      <c r="C432" s="382"/>
      <c r="D432" s="382"/>
      <c r="E432" s="382"/>
      <c r="F432" s="382"/>
      <c r="G432" s="382"/>
      <c r="H432" s="382"/>
      <c r="I432" s="382"/>
      <c r="J432" s="382"/>
      <c r="K432" s="382"/>
      <c r="L432" s="382"/>
      <c r="M432" s="382"/>
      <c r="N432" s="382"/>
      <c r="O432" s="382"/>
      <c r="P432" s="382"/>
      <c r="Q432" s="382"/>
      <c r="R432" s="382"/>
      <c r="S432" s="382"/>
      <c r="T432" s="382"/>
    </row>
    <row r="433" spans="3:20" ht="18" x14ac:dyDescent="0.35">
      <c r="C433" s="382"/>
      <c r="D433" s="382"/>
      <c r="E433" s="382"/>
      <c r="F433" s="382"/>
      <c r="G433" s="382"/>
      <c r="H433" s="382"/>
      <c r="I433" s="382"/>
      <c r="J433" s="382"/>
      <c r="K433" s="382"/>
      <c r="L433" s="382"/>
      <c r="M433" s="382"/>
      <c r="N433" s="382"/>
      <c r="O433" s="382"/>
      <c r="P433" s="382"/>
      <c r="Q433" s="382"/>
      <c r="R433" s="382"/>
      <c r="S433" s="382"/>
      <c r="T433" s="382"/>
    </row>
    <row r="434" spans="3:20" ht="18" x14ac:dyDescent="0.35">
      <c r="C434" s="382"/>
      <c r="D434" s="382"/>
      <c r="E434" s="382"/>
      <c r="F434" s="382"/>
      <c r="G434" s="382"/>
      <c r="H434" s="382"/>
      <c r="I434" s="382"/>
      <c r="J434" s="382"/>
      <c r="K434" s="382"/>
      <c r="L434" s="382"/>
      <c r="M434" s="382"/>
      <c r="N434" s="382"/>
      <c r="O434" s="382"/>
      <c r="P434" s="382"/>
      <c r="Q434" s="382"/>
      <c r="R434" s="382"/>
      <c r="S434" s="382"/>
      <c r="T434" s="382"/>
    </row>
    <row r="435" spans="3:20" ht="18" x14ac:dyDescent="0.35">
      <c r="C435" s="382"/>
      <c r="D435" s="382"/>
      <c r="E435" s="382"/>
      <c r="F435" s="382"/>
      <c r="G435" s="382"/>
      <c r="H435" s="382"/>
      <c r="I435" s="382"/>
      <c r="J435" s="382"/>
      <c r="K435" s="382"/>
      <c r="L435" s="382"/>
      <c r="M435" s="382"/>
      <c r="N435" s="382"/>
      <c r="O435" s="382"/>
      <c r="P435" s="382"/>
      <c r="Q435" s="382"/>
      <c r="R435" s="382"/>
      <c r="S435" s="382"/>
      <c r="T435" s="382"/>
    </row>
    <row r="436" spans="3:20" ht="18" x14ac:dyDescent="0.35">
      <c r="C436" s="382"/>
      <c r="D436" s="382"/>
      <c r="E436" s="382"/>
      <c r="F436" s="382"/>
      <c r="G436" s="382"/>
      <c r="H436" s="382"/>
      <c r="I436" s="382"/>
      <c r="J436" s="382"/>
      <c r="K436" s="382"/>
      <c r="L436" s="382"/>
      <c r="M436" s="382"/>
      <c r="N436" s="382"/>
      <c r="O436" s="382"/>
      <c r="P436" s="382"/>
      <c r="Q436" s="382"/>
      <c r="R436" s="382"/>
      <c r="S436" s="382"/>
      <c r="T436" s="382"/>
    </row>
    <row r="437" spans="3:20" ht="18" x14ac:dyDescent="0.35">
      <c r="C437" s="382"/>
      <c r="D437" s="382"/>
      <c r="E437" s="382"/>
      <c r="F437" s="382"/>
      <c r="G437" s="382"/>
      <c r="H437" s="382"/>
      <c r="I437" s="382"/>
      <c r="J437" s="382"/>
      <c r="K437" s="382"/>
      <c r="L437" s="382"/>
      <c r="M437" s="382"/>
      <c r="N437" s="382"/>
      <c r="O437" s="382"/>
      <c r="P437" s="382"/>
      <c r="Q437" s="382"/>
      <c r="R437" s="382"/>
      <c r="S437" s="382"/>
      <c r="T437" s="382"/>
    </row>
    <row r="438" spans="3:20" ht="18" x14ac:dyDescent="0.35">
      <c r="C438" s="382"/>
      <c r="D438" s="382"/>
      <c r="E438" s="382"/>
      <c r="F438" s="382"/>
      <c r="G438" s="382"/>
      <c r="H438" s="382"/>
      <c r="I438" s="382"/>
      <c r="J438" s="382"/>
      <c r="K438" s="382"/>
      <c r="L438" s="382"/>
      <c r="M438" s="382"/>
      <c r="N438" s="382"/>
      <c r="O438" s="382"/>
      <c r="P438" s="382"/>
      <c r="Q438" s="382"/>
      <c r="R438" s="382"/>
      <c r="S438" s="382"/>
      <c r="T438" s="382"/>
    </row>
    <row r="439" spans="3:20" ht="18" x14ac:dyDescent="0.35">
      <c r="C439" s="382"/>
      <c r="D439" s="382"/>
      <c r="E439" s="382"/>
      <c r="F439" s="382"/>
      <c r="G439" s="382"/>
      <c r="H439" s="382"/>
      <c r="I439" s="382"/>
      <c r="J439" s="382"/>
      <c r="K439" s="382"/>
      <c r="L439" s="382"/>
      <c r="M439" s="382"/>
      <c r="N439" s="382"/>
      <c r="O439" s="382"/>
      <c r="P439" s="382"/>
      <c r="Q439" s="382"/>
      <c r="R439" s="382"/>
      <c r="S439" s="382"/>
      <c r="T439" s="382"/>
    </row>
    <row r="440" spans="3:20" ht="18" x14ac:dyDescent="0.35">
      <c r="C440" s="382"/>
      <c r="D440" s="382"/>
      <c r="E440" s="382"/>
      <c r="F440" s="382"/>
      <c r="G440" s="382"/>
      <c r="H440" s="382"/>
      <c r="I440" s="382"/>
      <c r="J440" s="382"/>
      <c r="K440" s="382"/>
      <c r="L440" s="382"/>
      <c r="M440" s="382"/>
      <c r="N440" s="382"/>
      <c r="O440" s="382"/>
      <c r="P440" s="382"/>
      <c r="Q440" s="382"/>
      <c r="R440" s="382"/>
      <c r="S440" s="382"/>
      <c r="T440" s="382"/>
    </row>
    <row r="441" spans="3:20" ht="18" x14ac:dyDescent="0.35">
      <c r="C441" s="382"/>
      <c r="D441" s="382"/>
      <c r="E441" s="382"/>
      <c r="F441" s="382"/>
      <c r="G441" s="382"/>
      <c r="H441" s="382"/>
      <c r="I441" s="382"/>
      <c r="J441" s="382"/>
      <c r="K441" s="382"/>
      <c r="L441" s="382"/>
      <c r="M441" s="382"/>
      <c r="N441" s="382"/>
      <c r="O441" s="382"/>
      <c r="P441" s="382"/>
      <c r="Q441" s="382"/>
      <c r="R441" s="382"/>
      <c r="S441" s="382"/>
      <c r="T441" s="382"/>
    </row>
    <row r="442" spans="3:20" ht="18" x14ac:dyDescent="0.35">
      <c r="C442" s="382"/>
      <c r="D442" s="382"/>
      <c r="E442" s="382"/>
      <c r="F442" s="382"/>
      <c r="G442" s="382"/>
      <c r="H442" s="382"/>
      <c r="I442" s="382"/>
      <c r="J442" s="382"/>
      <c r="K442" s="382"/>
      <c r="L442" s="382"/>
      <c r="M442" s="382"/>
      <c r="N442" s="382"/>
      <c r="O442" s="382"/>
      <c r="P442" s="382"/>
      <c r="Q442" s="382"/>
      <c r="R442" s="382"/>
      <c r="S442" s="382"/>
      <c r="T442" s="382"/>
    </row>
    <row r="443" spans="3:20" ht="18" x14ac:dyDescent="0.35">
      <c r="C443" s="382"/>
      <c r="D443" s="382"/>
      <c r="E443" s="382"/>
      <c r="F443" s="382"/>
      <c r="G443" s="382"/>
      <c r="H443" s="382"/>
      <c r="I443" s="382"/>
      <c r="J443" s="382"/>
      <c r="K443" s="382"/>
      <c r="L443" s="382"/>
      <c r="M443" s="382"/>
      <c r="N443" s="382"/>
      <c r="O443" s="382"/>
      <c r="P443" s="382"/>
      <c r="Q443" s="382"/>
      <c r="R443" s="382"/>
      <c r="S443" s="382"/>
      <c r="T443" s="382"/>
    </row>
    <row r="444" spans="3:20" ht="18" x14ac:dyDescent="0.35">
      <c r="C444" s="382"/>
      <c r="D444" s="382"/>
      <c r="E444" s="382"/>
      <c r="F444" s="382"/>
      <c r="G444" s="382"/>
      <c r="H444" s="382"/>
      <c r="I444" s="382"/>
      <c r="J444" s="382"/>
      <c r="K444" s="382"/>
      <c r="L444" s="382"/>
      <c r="M444" s="382"/>
      <c r="N444" s="382"/>
      <c r="O444" s="382"/>
      <c r="P444" s="382"/>
      <c r="Q444" s="382"/>
      <c r="R444" s="382"/>
      <c r="S444" s="382"/>
      <c r="T444" s="382"/>
    </row>
    <row r="445" spans="3:20" ht="18" x14ac:dyDescent="0.35">
      <c r="C445" s="382"/>
      <c r="D445" s="382"/>
      <c r="E445" s="382"/>
      <c r="F445" s="382"/>
      <c r="G445" s="382"/>
      <c r="H445" s="382"/>
      <c r="I445" s="382"/>
      <c r="J445" s="382"/>
      <c r="K445" s="382"/>
      <c r="L445" s="382"/>
      <c r="M445" s="382"/>
      <c r="N445" s="382"/>
      <c r="O445" s="382"/>
      <c r="P445" s="382"/>
      <c r="Q445" s="382"/>
      <c r="R445" s="382"/>
      <c r="S445" s="382"/>
      <c r="T445" s="382"/>
    </row>
    <row r="446" spans="3:20" ht="18" x14ac:dyDescent="0.35">
      <c r="C446" s="382"/>
      <c r="D446" s="382"/>
      <c r="E446" s="382"/>
      <c r="F446" s="382"/>
      <c r="G446" s="382"/>
      <c r="H446" s="382"/>
      <c r="I446" s="382"/>
      <c r="J446" s="382"/>
      <c r="K446" s="382"/>
      <c r="L446" s="382"/>
      <c r="M446" s="382"/>
      <c r="N446" s="382"/>
      <c r="O446" s="382"/>
      <c r="P446" s="382"/>
      <c r="Q446" s="382"/>
      <c r="R446" s="382"/>
      <c r="S446" s="382"/>
      <c r="T446" s="382"/>
    </row>
    <row r="447" spans="3:20" ht="18" x14ac:dyDescent="0.35">
      <c r="C447" s="382"/>
      <c r="D447" s="382"/>
      <c r="E447" s="382"/>
      <c r="F447" s="382"/>
      <c r="G447" s="382"/>
      <c r="H447" s="382"/>
      <c r="I447" s="382"/>
      <c r="J447" s="382"/>
      <c r="K447" s="382"/>
      <c r="L447" s="382"/>
      <c r="M447" s="382"/>
      <c r="N447" s="382"/>
      <c r="O447" s="382"/>
      <c r="P447" s="382"/>
      <c r="Q447" s="382"/>
      <c r="R447" s="382"/>
      <c r="S447" s="382"/>
      <c r="T447" s="382"/>
    </row>
    <row r="448" spans="3:20" ht="18" x14ac:dyDescent="0.35">
      <c r="C448" s="382"/>
      <c r="D448" s="382"/>
      <c r="E448" s="382"/>
      <c r="F448" s="382"/>
      <c r="G448" s="382"/>
      <c r="H448" s="382"/>
      <c r="I448" s="382"/>
      <c r="J448" s="382"/>
      <c r="K448" s="382"/>
      <c r="L448" s="382"/>
      <c r="M448" s="382"/>
      <c r="N448" s="382"/>
      <c r="O448" s="382"/>
      <c r="P448" s="382"/>
      <c r="Q448" s="382"/>
      <c r="R448" s="382"/>
      <c r="S448" s="382"/>
      <c r="T448" s="382"/>
    </row>
    <row r="449" spans="3:20" ht="18" x14ac:dyDescent="0.35">
      <c r="C449" s="382"/>
      <c r="D449" s="382"/>
      <c r="E449" s="382"/>
      <c r="F449" s="382"/>
      <c r="G449" s="382"/>
      <c r="H449" s="382"/>
      <c r="I449" s="382"/>
      <c r="J449" s="382"/>
      <c r="K449" s="382"/>
      <c r="L449" s="382"/>
      <c r="M449" s="382"/>
      <c r="N449" s="382"/>
      <c r="O449" s="382"/>
      <c r="P449" s="382"/>
      <c r="Q449" s="382"/>
      <c r="R449" s="382"/>
      <c r="S449" s="382"/>
      <c r="T449" s="382"/>
    </row>
    <row r="450" spans="3:20" ht="18" x14ac:dyDescent="0.35">
      <c r="C450" s="382"/>
      <c r="D450" s="382"/>
      <c r="E450" s="382"/>
      <c r="F450" s="382"/>
      <c r="G450" s="382"/>
      <c r="H450" s="382"/>
      <c r="I450" s="382"/>
      <c r="J450" s="382"/>
      <c r="K450" s="382"/>
      <c r="L450" s="382"/>
      <c r="M450" s="382"/>
      <c r="N450" s="382"/>
      <c r="O450" s="382"/>
      <c r="P450" s="382"/>
      <c r="Q450" s="382"/>
      <c r="R450" s="382"/>
      <c r="S450" s="382"/>
      <c r="T450" s="382"/>
    </row>
    <row r="451" spans="3:20" ht="18" x14ac:dyDescent="0.35">
      <c r="C451" s="382"/>
      <c r="D451" s="382"/>
      <c r="E451" s="382"/>
      <c r="F451" s="382"/>
      <c r="G451" s="382"/>
      <c r="H451" s="382"/>
      <c r="I451" s="382"/>
      <c r="J451" s="382"/>
      <c r="K451" s="382"/>
      <c r="L451" s="382"/>
      <c r="M451" s="382"/>
      <c r="N451" s="382"/>
      <c r="O451" s="382"/>
      <c r="P451" s="382"/>
      <c r="Q451" s="382"/>
      <c r="R451" s="382"/>
      <c r="S451" s="382"/>
      <c r="T451" s="382"/>
    </row>
    <row r="452" spans="3:20" ht="18" x14ac:dyDescent="0.35">
      <c r="C452" s="382"/>
      <c r="D452" s="382"/>
      <c r="E452" s="382"/>
      <c r="F452" s="382"/>
      <c r="G452" s="382"/>
      <c r="H452" s="382"/>
      <c r="I452" s="382"/>
      <c r="J452" s="382"/>
      <c r="K452" s="382"/>
      <c r="L452" s="382"/>
      <c r="M452" s="382"/>
      <c r="N452" s="382"/>
      <c r="O452" s="382"/>
      <c r="P452" s="382"/>
      <c r="Q452" s="382"/>
      <c r="R452" s="382"/>
      <c r="S452" s="382"/>
      <c r="T452" s="382"/>
    </row>
    <row r="453" spans="3:20" ht="18" x14ac:dyDescent="0.35">
      <c r="C453" s="382"/>
      <c r="D453" s="382"/>
      <c r="E453" s="382"/>
      <c r="F453" s="382"/>
      <c r="G453" s="382"/>
      <c r="H453" s="382"/>
      <c r="I453" s="382"/>
      <c r="J453" s="382"/>
      <c r="K453" s="382"/>
      <c r="L453" s="382"/>
      <c r="M453" s="382"/>
      <c r="N453" s="382"/>
      <c r="O453" s="382"/>
      <c r="P453" s="382"/>
      <c r="Q453" s="382"/>
      <c r="R453" s="382"/>
      <c r="S453" s="382"/>
      <c r="T453" s="382"/>
    </row>
    <row r="454" spans="3:20" ht="18" x14ac:dyDescent="0.35">
      <c r="C454" s="382"/>
      <c r="D454" s="382"/>
      <c r="E454" s="382"/>
      <c r="F454" s="382"/>
      <c r="G454" s="382"/>
      <c r="H454" s="382"/>
      <c r="I454" s="382"/>
      <c r="J454" s="382"/>
      <c r="K454" s="382"/>
      <c r="L454" s="382"/>
      <c r="M454" s="382"/>
      <c r="N454" s="382"/>
      <c r="O454" s="382"/>
      <c r="P454" s="382"/>
      <c r="Q454" s="382"/>
      <c r="R454" s="382"/>
      <c r="S454" s="382"/>
      <c r="T454" s="382"/>
    </row>
    <row r="455" spans="3:20" ht="18" x14ac:dyDescent="0.35">
      <c r="C455" s="382"/>
      <c r="D455" s="382"/>
      <c r="E455" s="382"/>
      <c r="F455" s="382"/>
      <c r="G455" s="382"/>
      <c r="H455" s="382"/>
      <c r="I455" s="382"/>
      <c r="J455" s="382"/>
      <c r="K455" s="382"/>
      <c r="L455" s="382"/>
      <c r="M455" s="382"/>
      <c r="N455" s="382"/>
      <c r="O455" s="382"/>
      <c r="P455" s="382"/>
      <c r="Q455" s="382"/>
      <c r="R455" s="382"/>
      <c r="S455" s="382"/>
      <c r="T455" s="382"/>
    </row>
    <row r="456" spans="3:20" ht="18" x14ac:dyDescent="0.35">
      <c r="C456" s="382"/>
      <c r="D456" s="382"/>
      <c r="E456" s="382"/>
      <c r="F456" s="382"/>
      <c r="G456" s="382"/>
      <c r="H456" s="382"/>
      <c r="I456" s="382"/>
      <c r="J456" s="382"/>
      <c r="K456" s="382"/>
      <c r="L456" s="382"/>
      <c r="M456" s="382"/>
      <c r="N456" s="382"/>
      <c r="O456" s="382"/>
      <c r="P456" s="382"/>
      <c r="Q456" s="382"/>
      <c r="R456" s="382"/>
      <c r="S456" s="382"/>
      <c r="T456" s="382"/>
    </row>
    <row r="457" spans="3:20" ht="18" x14ac:dyDescent="0.35">
      <c r="C457" s="382"/>
      <c r="D457" s="382"/>
      <c r="E457" s="382"/>
      <c r="F457" s="382"/>
      <c r="G457" s="382"/>
      <c r="H457" s="382"/>
      <c r="I457" s="382"/>
      <c r="J457" s="382"/>
      <c r="K457" s="382"/>
      <c r="L457" s="382"/>
      <c r="M457" s="382"/>
      <c r="N457" s="382"/>
      <c r="O457" s="382"/>
      <c r="P457" s="382"/>
      <c r="Q457" s="382"/>
      <c r="R457" s="382"/>
      <c r="S457" s="382"/>
      <c r="T457" s="382"/>
    </row>
    <row r="458" spans="3:20" ht="18" x14ac:dyDescent="0.35">
      <c r="C458" s="382"/>
      <c r="D458" s="382"/>
      <c r="E458" s="382"/>
      <c r="F458" s="382"/>
      <c r="G458" s="382"/>
      <c r="H458" s="382"/>
      <c r="I458" s="382"/>
      <c r="J458" s="382"/>
      <c r="K458" s="382"/>
      <c r="L458" s="382"/>
      <c r="M458" s="382"/>
      <c r="N458" s="382"/>
      <c r="O458" s="382"/>
      <c r="P458" s="382"/>
      <c r="Q458" s="382"/>
      <c r="R458" s="382"/>
      <c r="S458" s="382"/>
      <c r="T458" s="382"/>
    </row>
    <row r="459" spans="3:20" ht="18" x14ac:dyDescent="0.35">
      <c r="C459" s="382"/>
      <c r="D459" s="382"/>
      <c r="E459" s="382"/>
      <c r="F459" s="382"/>
      <c r="G459" s="382"/>
      <c r="H459" s="382"/>
      <c r="I459" s="382"/>
      <c r="J459" s="382"/>
      <c r="K459" s="382"/>
      <c r="L459" s="382"/>
      <c r="M459" s="382"/>
      <c r="N459" s="382"/>
      <c r="O459" s="382"/>
      <c r="P459" s="382"/>
      <c r="Q459" s="382"/>
      <c r="R459" s="382"/>
      <c r="S459" s="382"/>
      <c r="T459" s="382"/>
    </row>
    <row r="460" spans="3:20" ht="18" x14ac:dyDescent="0.35">
      <c r="C460" s="382"/>
      <c r="D460" s="382"/>
      <c r="E460" s="382"/>
      <c r="F460" s="382"/>
      <c r="G460" s="382"/>
      <c r="H460" s="382"/>
      <c r="I460" s="382"/>
      <c r="J460" s="382"/>
      <c r="K460" s="382"/>
      <c r="L460" s="382"/>
      <c r="M460" s="382"/>
      <c r="N460" s="382"/>
      <c r="O460" s="382"/>
      <c r="P460" s="382"/>
      <c r="Q460" s="382"/>
      <c r="R460" s="382"/>
      <c r="S460" s="382"/>
      <c r="T460" s="382"/>
    </row>
    <row r="461" spans="3:20" ht="18" x14ac:dyDescent="0.35">
      <c r="C461" s="382"/>
      <c r="D461" s="382"/>
      <c r="E461" s="382"/>
      <c r="F461" s="382"/>
      <c r="G461" s="382"/>
      <c r="H461" s="382"/>
      <c r="I461" s="382"/>
      <c r="J461" s="382"/>
      <c r="K461" s="382"/>
      <c r="L461" s="382"/>
      <c r="M461" s="382"/>
      <c r="N461" s="382"/>
      <c r="O461" s="382"/>
      <c r="P461" s="382"/>
      <c r="Q461" s="382"/>
      <c r="R461" s="382"/>
      <c r="S461" s="382"/>
      <c r="T461" s="382"/>
    </row>
    <row r="462" spans="3:20" ht="18" x14ac:dyDescent="0.35">
      <c r="C462" s="382"/>
      <c r="D462" s="382"/>
      <c r="E462" s="382"/>
      <c r="F462" s="382"/>
      <c r="G462" s="382"/>
      <c r="H462" s="382"/>
      <c r="I462" s="382"/>
      <c r="J462" s="382"/>
      <c r="K462" s="382"/>
      <c r="L462" s="382"/>
      <c r="M462" s="382"/>
      <c r="N462" s="382"/>
      <c r="O462" s="382"/>
      <c r="P462" s="382"/>
      <c r="Q462" s="382"/>
      <c r="R462" s="382"/>
      <c r="S462" s="382"/>
      <c r="T462" s="382"/>
    </row>
    <row r="463" spans="3:20" ht="18" x14ac:dyDescent="0.35">
      <c r="C463" s="382"/>
      <c r="D463" s="382"/>
      <c r="E463" s="382"/>
      <c r="F463" s="382"/>
      <c r="G463" s="382"/>
      <c r="H463" s="382"/>
      <c r="I463" s="382"/>
      <c r="J463" s="382"/>
      <c r="K463" s="382"/>
      <c r="L463" s="382"/>
      <c r="M463" s="382"/>
      <c r="N463" s="382"/>
      <c r="O463" s="382"/>
      <c r="P463" s="382"/>
      <c r="Q463" s="382"/>
      <c r="R463" s="382"/>
      <c r="S463" s="382"/>
      <c r="T463" s="382"/>
    </row>
    <row r="464" spans="3:20" ht="18" x14ac:dyDescent="0.35">
      <c r="C464" s="382"/>
      <c r="D464" s="382"/>
      <c r="E464" s="382"/>
      <c r="F464" s="382"/>
      <c r="G464" s="382"/>
      <c r="H464" s="382"/>
      <c r="I464" s="382"/>
      <c r="J464" s="382"/>
      <c r="K464" s="382"/>
      <c r="L464" s="382"/>
      <c r="M464" s="382"/>
      <c r="N464" s="382"/>
      <c r="O464" s="382"/>
      <c r="P464" s="382"/>
      <c r="Q464" s="382"/>
      <c r="R464" s="382"/>
      <c r="S464" s="382"/>
      <c r="T464" s="382"/>
    </row>
    <row r="465" spans="3:20" ht="18" x14ac:dyDescent="0.35">
      <c r="C465" s="382"/>
      <c r="D465" s="382"/>
      <c r="E465" s="382"/>
      <c r="F465" s="382"/>
      <c r="G465" s="382"/>
      <c r="H465" s="382"/>
      <c r="I465" s="382"/>
      <c r="J465" s="382"/>
      <c r="K465" s="382"/>
      <c r="L465" s="382"/>
      <c r="M465" s="382"/>
      <c r="N465" s="382"/>
      <c r="O465" s="382"/>
      <c r="P465" s="382"/>
      <c r="Q465" s="382"/>
      <c r="R465" s="382"/>
      <c r="S465" s="382"/>
      <c r="T465" s="382"/>
    </row>
    <row r="466" spans="3:20" ht="18" x14ac:dyDescent="0.35">
      <c r="C466" s="382"/>
      <c r="D466" s="382"/>
      <c r="E466" s="382"/>
      <c r="F466" s="382"/>
      <c r="G466" s="382"/>
      <c r="H466" s="382"/>
      <c r="I466" s="382"/>
      <c r="J466" s="382"/>
      <c r="K466" s="382"/>
      <c r="L466" s="382"/>
      <c r="M466" s="382"/>
      <c r="N466" s="382"/>
      <c r="O466" s="382"/>
      <c r="P466" s="382"/>
      <c r="Q466" s="382"/>
      <c r="R466" s="382"/>
      <c r="S466" s="382"/>
      <c r="T466" s="382"/>
    </row>
    <row r="467" spans="3:20" ht="18" x14ac:dyDescent="0.35">
      <c r="C467" s="382"/>
      <c r="D467" s="382"/>
      <c r="E467" s="382"/>
      <c r="F467" s="382"/>
      <c r="G467" s="382"/>
      <c r="H467" s="382"/>
      <c r="I467" s="382"/>
      <c r="J467" s="382"/>
      <c r="K467" s="382"/>
      <c r="L467" s="382"/>
      <c r="M467" s="382"/>
      <c r="N467" s="382"/>
      <c r="O467" s="382"/>
      <c r="P467" s="382"/>
      <c r="Q467" s="382"/>
      <c r="R467" s="382"/>
      <c r="S467" s="382"/>
      <c r="T467" s="382"/>
    </row>
    <row r="468" spans="3:20" ht="18" x14ac:dyDescent="0.35">
      <c r="C468" s="382"/>
      <c r="D468" s="382"/>
      <c r="E468" s="382"/>
      <c r="F468" s="382"/>
      <c r="G468" s="382"/>
      <c r="H468" s="382"/>
      <c r="I468" s="382"/>
      <c r="J468" s="382"/>
      <c r="K468" s="382"/>
      <c r="L468" s="382"/>
      <c r="M468" s="382"/>
      <c r="N468" s="382"/>
      <c r="O468" s="382"/>
      <c r="P468" s="382"/>
      <c r="Q468" s="382"/>
      <c r="R468" s="382"/>
      <c r="S468" s="382"/>
      <c r="T468" s="382"/>
    </row>
    <row r="469" spans="3:20" ht="18" x14ac:dyDescent="0.35">
      <c r="C469" s="382"/>
      <c r="D469" s="382"/>
      <c r="E469" s="382"/>
      <c r="F469" s="382"/>
      <c r="G469" s="382"/>
      <c r="H469" s="382"/>
      <c r="I469" s="382"/>
      <c r="J469" s="382"/>
      <c r="K469" s="382"/>
      <c r="L469" s="382"/>
      <c r="M469" s="382"/>
      <c r="N469" s="382"/>
      <c r="O469" s="382"/>
      <c r="P469" s="382"/>
      <c r="Q469" s="382"/>
      <c r="R469" s="382"/>
      <c r="S469" s="382"/>
      <c r="T469" s="382"/>
    </row>
    <row r="470" spans="3:20" ht="18" x14ac:dyDescent="0.35">
      <c r="C470" s="382"/>
      <c r="D470" s="382"/>
      <c r="E470" s="382"/>
      <c r="F470" s="382"/>
      <c r="G470" s="382"/>
      <c r="H470" s="382"/>
      <c r="I470" s="382"/>
      <c r="J470" s="382"/>
      <c r="K470" s="382"/>
      <c r="L470" s="382"/>
      <c r="M470" s="382"/>
      <c r="N470" s="382"/>
      <c r="O470" s="382"/>
      <c r="P470" s="382"/>
      <c r="Q470" s="382"/>
      <c r="R470" s="382"/>
      <c r="S470" s="382"/>
      <c r="T470" s="382"/>
    </row>
    <row r="471" spans="3:20" ht="18" x14ac:dyDescent="0.35">
      <c r="C471" s="382"/>
      <c r="D471" s="382"/>
      <c r="E471" s="382"/>
      <c r="F471" s="382"/>
      <c r="G471" s="382"/>
      <c r="H471" s="382"/>
      <c r="I471" s="382"/>
      <c r="J471" s="382"/>
      <c r="K471" s="382"/>
      <c r="L471" s="382"/>
      <c r="M471" s="382"/>
      <c r="N471" s="382"/>
      <c r="O471" s="382"/>
      <c r="P471" s="382"/>
      <c r="Q471" s="382"/>
      <c r="R471" s="382"/>
      <c r="S471" s="382"/>
      <c r="T471" s="382"/>
    </row>
    <row r="472" spans="3:20" ht="18" x14ac:dyDescent="0.35">
      <c r="C472" s="382"/>
      <c r="D472" s="382"/>
      <c r="E472" s="382"/>
      <c r="F472" s="382"/>
      <c r="G472" s="382"/>
      <c r="H472" s="382"/>
      <c r="I472" s="382"/>
      <c r="J472" s="382"/>
      <c r="K472" s="382"/>
      <c r="L472" s="382"/>
      <c r="M472" s="382"/>
      <c r="N472" s="382"/>
      <c r="O472" s="382"/>
      <c r="P472" s="382"/>
      <c r="Q472" s="382"/>
      <c r="R472" s="382"/>
      <c r="S472" s="382"/>
      <c r="T472" s="382"/>
    </row>
    <row r="473" spans="3:20" ht="18" x14ac:dyDescent="0.35">
      <c r="C473" s="382"/>
      <c r="D473" s="382"/>
      <c r="E473" s="382"/>
      <c r="F473" s="382"/>
      <c r="G473" s="382"/>
      <c r="H473" s="382"/>
      <c r="I473" s="382"/>
      <c r="J473" s="382"/>
      <c r="K473" s="382"/>
      <c r="L473" s="382"/>
      <c r="M473" s="382"/>
      <c r="N473" s="382"/>
      <c r="O473" s="382"/>
      <c r="P473" s="382"/>
      <c r="Q473" s="382"/>
      <c r="R473" s="382"/>
      <c r="S473" s="382"/>
      <c r="T473" s="382"/>
    </row>
    <row r="474" spans="3:20" ht="18" x14ac:dyDescent="0.35">
      <c r="C474" s="382"/>
      <c r="D474" s="382"/>
      <c r="E474" s="382"/>
      <c r="F474" s="382"/>
      <c r="G474" s="382"/>
      <c r="H474" s="382"/>
      <c r="I474" s="382"/>
      <c r="J474" s="382"/>
      <c r="K474" s="382"/>
      <c r="L474" s="382"/>
      <c r="M474" s="382"/>
      <c r="N474" s="382"/>
      <c r="O474" s="382"/>
      <c r="P474" s="382"/>
      <c r="Q474" s="382"/>
      <c r="R474" s="382"/>
      <c r="S474" s="382"/>
      <c r="T474" s="382"/>
    </row>
    <row r="475" spans="3:20" ht="18" x14ac:dyDescent="0.35">
      <c r="C475" s="382"/>
      <c r="D475" s="382"/>
      <c r="E475" s="382"/>
      <c r="F475" s="382"/>
      <c r="G475" s="382"/>
      <c r="H475" s="382"/>
      <c r="I475" s="382"/>
      <c r="J475" s="382"/>
      <c r="K475" s="382"/>
      <c r="L475" s="382"/>
      <c r="M475" s="382"/>
      <c r="N475" s="382"/>
      <c r="O475" s="382"/>
      <c r="P475" s="382"/>
      <c r="Q475" s="382"/>
      <c r="R475" s="382"/>
      <c r="S475" s="382"/>
      <c r="T475" s="382"/>
    </row>
    <row r="476" spans="3:20" ht="18" x14ac:dyDescent="0.35">
      <c r="C476" s="382"/>
      <c r="D476" s="382"/>
      <c r="E476" s="382"/>
      <c r="F476" s="382"/>
      <c r="G476" s="382"/>
      <c r="H476" s="382"/>
      <c r="I476" s="382"/>
      <c r="J476" s="382"/>
      <c r="K476" s="382"/>
      <c r="L476" s="382"/>
      <c r="M476" s="382"/>
      <c r="N476" s="382"/>
      <c r="O476" s="382"/>
      <c r="P476" s="382"/>
      <c r="Q476" s="382"/>
      <c r="R476" s="382"/>
      <c r="S476" s="382"/>
      <c r="T476" s="382"/>
    </row>
    <row r="477" spans="3:20" ht="18" x14ac:dyDescent="0.35">
      <c r="C477" s="382"/>
      <c r="D477" s="382"/>
      <c r="E477" s="382"/>
      <c r="F477" s="382"/>
      <c r="G477" s="382"/>
      <c r="H477" s="382"/>
      <c r="I477" s="382"/>
      <c r="J477" s="382"/>
      <c r="K477" s="382"/>
      <c r="L477" s="382"/>
      <c r="M477" s="382"/>
      <c r="N477" s="382"/>
      <c r="O477" s="382"/>
      <c r="P477" s="382"/>
      <c r="Q477" s="382"/>
      <c r="R477" s="382"/>
      <c r="S477" s="382"/>
      <c r="T477" s="382"/>
    </row>
    <row r="478" spans="3:20" ht="18" x14ac:dyDescent="0.35">
      <c r="C478" s="382"/>
      <c r="D478" s="382"/>
      <c r="E478" s="382"/>
      <c r="F478" s="382"/>
      <c r="G478" s="382"/>
      <c r="H478" s="382"/>
      <c r="I478" s="382"/>
      <c r="J478" s="382"/>
      <c r="K478" s="382"/>
      <c r="L478" s="382"/>
      <c r="M478" s="382"/>
      <c r="N478" s="382"/>
      <c r="O478" s="382"/>
      <c r="P478" s="382"/>
      <c r="Q478" s="382"/>
      <c r="R478" s="382"/>
      <c r="S478" s="382"/>
      <c r="T478" s="382"/>
    </row>
    <row r="479" spans="3:20" ht="18" x14ac:dyDescent="0.35">
      <c r="C479" s="382"/>
      <c r="D479" s="382"/>
      <c r="E479" s="382"/>
      <c r="F479" s="382"/>
      <c r="G479" s="382"/>
      <c r="H479" s="382"/>
      <c r="I479" s="382"/>
      <c r="J479" s="382"/>
      <c r="K479" s="382"/>
      <c r="L479" s="382"/>
      <c r="M479" s="382"/>
      <c r="N479" s="382"/>
      <c r="O479" s="382"/>
      <c r="P479" s="382"/>
      <c r="Q479" s="382"/>
      <c r="R479" s="382"/>
      <c r="S479" s="382"/>
      <c r="T479" s="382"/>
    </row>
    <row r="480" spans="3:20" ht="18" x14ac:dyDescent="0.35">
      <c r="C480" s="382"/>
      <c r="D480" s="382"/>
      <c r="E480" s="382"/>
      <c r="F480" s="382"/>
      <c r="G480" s="382"/>
      <c r="H480" s="382"/>
      <c r="I480" s="382"/>
      <c r="J480" s="382"/>
      <c r="K480" s="382"/>
      <c r="L480" s="382"/>
      <c r="M480" s="382"/>
      <c r="N480" s="382"/>
      <c r="O480" s="382"/>
      <c r="P480" s="382"/>
      <c r="Q480" s="382"/>
      <c r="R480" s="382"/>
      <c r="S480" s="382"/>
      <c r="T480" s="382"/>
    </row>
    <row r="481" spans="3:20" ht="18" x14ac:dyDescent="0.35">
      <c r="C481" s="382"/>
      <c r="D481" s="382"/>
      <c r="E481" s="382"/>
      <c r="F481" s="382"/>
      <c r="G481" s="382"/>
      <c r="H481" s="382"/>
      <c r="I481" s="382"/>
      <c r="J481" s="382"/>
      <c r="K481" s="382"/>
      <c r="L481" s="382"/>
      <c r="M481" s="382"/>
      <c r="N481" s="382"/>
      <c r="O481" s="382"/>
      <c r="P481" s="382"/>
      <c r="Q481" s="382"/>
      <c r="R481" s="382"/>
      <c r="S481" s="382"/>
      <c r="T481" s="382"/>
    </row>
    <row r="482" spans="3:20" ht="18" x14ac:dyDescent="0.35">
      <c r="C482" s="382"/>
      <c r="D482" s="382"/>
      <c r="E482" s="382"/>
      <c r="F482" s="382"/>
      <c r="G482" s="382"/>
      <c r="H482" s="382"/>
      <c r="I482" s="382"/>
      <c r="J482" s="382"/>
      <c r="K482" s="382"/>
      <c r="L482" s="382"/>
      <c r="M482" s="382"/>
      <c r="N482" s="382"/>
      <c r="O482" s="382"/>
      <c r="P482" s="382"/>
      <c r="Q482" s="382"/>
      <c r="R482" s="382"/>
      <c r="S482" s="382"/>
      <c r="T482" s="382"/>
    </row>
    <row r="483" spans="3:20" ht="18" x14ac:dyDescent="0.35">
      <c r="C483" s="382"/>
      <c r="D483" s="382"/>
      <c r="E483" s="382"/>
      <c r="F483" s="382"/>
      <c r="G483" s="382"/>
      <c r="H483" s="382"/>
      <c r="I483" s="382"/>
      <c r="J483" s="382"/>
      <c r="K483" s="382"/>
      <c r="L483" s="382"/>
      <c r="M483" s="382"/>
      <c r="N483" s="382"/>
      <c r="O483" s="382"/>
      <c r="P483" s="382"/>
      <c r="Q483" s="382"/>
      <c r="R483" s="382"/>
      <c r="S483" s="382"/>
      <c r="T483" s="382"/>
    </row>
    <row r="484" spans="3:20" ht="18" x14ac:dyDescent="0.35">
      <c r="C484" s="382"/>
      <c r="D484" s="382"/>
      <c r="E484" s="382"/>
      <c r="F484" s="382"/>
      <c r="G484" s="382"/>
      <c r="H484" s="382"/>
      <c r="I484" s="382"/>
      <c r="J484" s="382"/>
      <c r="K484" s="382"/>
      <c r="L484" s="382"/>
      <c r="M484" s="382"/>
      <c r="N484" s="382"/>
      <c r="O484" s="382"/>
      <c r="P484" s="382"/>
      <c r="Q484" s="382"/>
      <c r="R484" s="382"/>
      <c r="S484" s="382"/>
      <c r="T484" s="382"/>
    </row>
    <row r="485" spans="3:20" ht="18" x14ac:dyDescent="0.35">
      <c r="C485" s="382"/>
      <c r="D485" s="382"/>
      <c r="E485" s="382"/>
      <c r="F485" s="382"/>
      <c r="G485" s="382"/>
      <c r="H485" s="382"/>
      <c r="I485" s="382"/>
      <c r="J485" s="382"/>
      <c r="K485" s="382"/>
      <c r="L485" s="382"/>
      <c r="M485" s="382"/>
      <c r="N485" s="382"/>
      <c r="O485" s="382"/>
      <c r="P485" s="382"/>
      <c r="Q485" s="382"/>
      <c r="R485" s="382"/>
      <c r="S485" s="382"/>
      <c r="T485" s="382"/>
    </row>
    <row r="486" spans="3:20" ht="18" x14ac:dyDescent="0.35">
      <c r="C486" s="382"/>
      <c r="D486" s="382"/>
      <c r="E486" s="382"/>
      <c r="F486" s="382"/>
      <c r="G486" s="382"/>
      <c r="H486" s="382"/>
      <c r="I486" s="382"/>
      <c r="J486" s="382"/>
      <c r="K486" s="382"/>
      <c r="L486" s="382"/>
      <c r="M486" s="382"/>
      <c r="N486" s="382"/>
      <c r="O486" s="382"/>
      <c r="P486" s="382"/>
      <c r="Q486" s="382"/>
      <c r="R486" s="382"/>
      <c r="S486" s="382"/>
      <c r="T486" s="382"/>
    </row>
    <row r="487" spans="3:20" ht="18" x14ac:dyDescent="0.35">
      <c r="C487" s="382"/>
      <c r="D487" s="382"/>
      <c r="E487" s="382"/>
      <c r="F487" s="382"/>
      <c r="G487" s="382"/>
      <c r="H487" s="382"/>
      <c r="I487" s="382"/>
      <c r="J487" s="382"/>
      <c r="K487" s="382"/>
      <c r="L487" s="382"/>
      <c r="M487" s="382"/>
      <c r="N487" s="382"/>
      <c r="O487" s="382"/>
      <c r="P487" s="382"/>
      <c r="Q487" s="382"/>
      <c r="R487" s="382"/>
      <c r="S487" s="382"/>
      <c r="T487" s="382"/>
    </row>
    <row r="488" spans="3:20" ht="18" x14ac:dyDescent="0.35">
      <c r="C488" s="382"/>
      <c r="D488" s="382"/>
      <c r="E488" s="382"/>
      <c r="F488" s="382"/>
      <c r="G488" s="382"/>
      <c r="H488" s="382"/>
      <c r="I488" s="382"/>
      <c r="J488" s="382"/>
      <c r="K488" s="382"/>
      <c r="L488" s="382"/>
      <c r="M488" s="382"/>
      <c r="N488" s="382"/>
      <c r="O488" s="382"/>
      <c r="P488" s="382"/>
      <c r="Q488" s="382"/>
      <c r="R488" s="382"/>
      <c r="S488" s="382"/>
      <c r="T488" s="382"/>
    </row>
    <row r="489" spans="3:20" ht="18" x14ac:dyDescent="0.35">
      <c r="C489" s="382"/>
      <c r="D489" s="382"/>
      <c r="E489" s="382"/>
      <c r="F489" s="382"/>
      <c r="G489" s="382"/>
      <c r="H489" s="382"/>
      <c r="I489" s="382"/>
      <c r="J489" s="382"/>
      <c r="K489" s="382"/>
      <c r="L489" s="382"/>
      <c r="M489" s="382"/>
      <c r="N489" s="382"/>
      <c r="O489" s="382"/>
      <c r="P489" s="382"/>
      <c r="Q489" s="382"/>
      <c r="R489" s="382"/>
      <c r="S489" s="382"/>
      <c r="T489" s="382"/>
    </row>
    <row r="490" spans="3:20" ht="18" x14ac:dyDescent="0.35">
      <c r="C490" s="382"/>
      <c r="D490" s="382"/>
      <c r="E490" s="382"/>
      <c r="F490" s="382"/>
      <c r="G490" s="382"/>
      <c r="H490" s="382"/>
      <c r="I490" s="382"/>
      <c r="J490" s="382"/>
      <c r="K490" s="382"/>
      <c r="L490" s="382"/>
      <c r="M490" s="382"/>
      <c r="N490" s="382"/>
      <c r="O490" s="382"/>
      <c r="P490" s="382"/>
      <c r="Q490" s="382"/>
      <c r="R490" s="382"/>
      <c r="S490" s="382"/>
      <c r="T490" s="382"/>
    </row>
    <row r="491" spans="3:20" ht="18" x14ac:dyDescent="0.35">
      <c r="C491" s="382"/>
      <c r="D491" s="382"/>
      <c r="E491" s="382"/>
      <c r="F491" s="382"/>
      <c r="G491" s="382"/>
      <c r="H491" s="382"/>
      <c r="I491" s="382"/>
      <c r="J491" s="382"/>
      <c r="K491" s="382"/>
      <c r="L491" s="382"/>
      <c r="M491" s="382"/>
      <c r="N491" s="382"/>
      <c r="O491" s="382"/>
      <c r="P491" s="382"/>
      <c r="Q491" s="382"/>
      <c r="R491" s="382"/>
      <c r="S491" s="382"/>
      <c r="T491" s="382"/>
    </row>
    <row r="492" spans="3:20" ht="18" x14ac:dyDescent="0.35">
      <c r="C492" s="382"/>
      <c r="D492" s="382"/>
      <c r="E492" s="382"/>
      <c r="F492" s="382"/>
      <c r="G492" s="382"/>
      <c r="H492" s="382"/>
      <c r="I492" s="382"/>
      <c r="J492" s="382"/>
      <c r="K492" s="382"/>
      <c r="L492" s="382"/>
      <c r="M492" s="382"/>
      <c r="N492" s="382"/>
      <c r="O492" s="382"/>
      <c r="P492" s="382"/>
      <c r="Q492" s="382"/>
      <c r="R492" s="382"/>
      <c r="S492" s="382"/>
      <c r="T492" s="382"/>
    </row>
    <row r="493" spans="3:20" ht="18" x14ac:dyDescent="0.35">
      <c r="C493" s="382"/>
      <c r="D493" s="382"/>
      <c r="E493" s="382"/>
      <c r="F493" s="382"/>
      <c r="G493" s="382"/>
      <c r="H493" s="382"/>
      <c r="I493" s="382"/>
      <c r="J493" s="382"/>
      <c r="K493" s="382"/>
      <c r="L493" s="382"/>
      <c r="M493" s="382"/>
      <c r="N493" s="382"/>
      <c r="O493" s="382"/>
      <c r="P493" s="382"/>
      <c r="Q493" s="382"/>
      <c r="R493" s="382"/>
      <c r="S493" s="382"/>
      <c r="T493" s="382"/>
    </row>
    <row r="494" spans="3:20" ht="18" x14ac:dyDescent="0.35">
      <c r="C494" s="382"/>
      <c r="D494" s="382"/>
      <c r="E494" s="382"/>
      <c r="F494" s="382"/>
      <c r="G494" s="382"/>
      <c r="H494" s="382"/>
      <c r="I494" s="382"/>
      <c r="J494" s="382"/>
      <c r="K494" s="382"/>
      <c r="L494" s="382"/>
      <c r="M494" s="382"/>
      <c r="N494" s="382"/>
      <c r="O494" s="382"/>
      <c r="P494" s="382"/>
      <c r="Q494" s="382"/>
      <c r="R494" s="382"/>
      <c r="S494" s="382"/>
      <c r="T494" s="382"/>
    </row>
    <row r="495" spans="3:20" ht="18" x14ac:dyDescent="0.35">
      <c r="C495" s="382"/>
      <c r="D495" s="382"/>
      <c r="E495" s="382"/>
      <c r="F495" s="382"/>
      <c r="G495" s="382"/>
      <c r="H495" s="382"/>
      <c r="I495" s="382"/>
      <c r="J495" s="382"/>
      <c r="K495" s="382"/>
      <c r="L495" s="382"/>
      <c r="M495" s="382"/>
      <c r="N495" s="382"/>
      <c r="O495" s="382"/>
      <c r="P495" s="382"/>
      <c r="Q495" s="382"/>
      <c r="R495" s="382"/>
      <c r="S495" s="382"/>
      <c r="T495" s="382"/>
    </row>
    <row r="496" spans="3:20" ht="18" x14ac:dyDescent="0.35">
      <c r="C496" s="382"/>
      <c r="D496" s="382"/>
      <c r="E496" s="382"/>
      <c r="F496" s="382"/>
      <c r="G496" s="382"/>
      <c r="H496" s="382"/>
      <c r="I496" s="382"/>
      <c r="J496" s="382"/>
      <c r="K496" s="382"/>
      <c r="L496" s="382"/>
      <c r="M496" s="382"/>
      <c r="N496" s="382"/>
      <c r="O496" s="382"/>
      <c r="P496" s="382"/>
      <c r="Q496" s="382"/>
      <c r="R496" s="382"/>
      <c r="S496" s="382"/>
      <c r="T496" s="382"/>
    </row>
    <row r="497" spans="3:20" ht="18" x14ac:dyDescent="0.35">
      <c r="C497" s="382"/>
      <c r="D497" s="382"/>
      <c r="E497" s="382"/>
      <c r="F497" s="382"/>
      <c r="G497" s="382"/>
      <c r="H497" s="382"/>
      <c r="I497" s="382"/>
      <c r="J497" s="382"/>
      <c r="K497" s="382"/>
      <c r="L497" s="382"/>
      <c r="M497" s="382"/>
      <c r="N497" s="382"/>
      <c r="O497" s="382"/>
      <c r="P497" s="382"/>
      <c r="Q497" s="382"/>
      <c r="R497" s="382"/>
      <c r="S497" s="382"/>
      <c r="T497" s="382"/>
    </row>
    <row r="498" spans="3:20" ht="18" x14ac:dyDescent="0.35">
      <c r="C498" s="382"/>
      <c r="D498" s="382"/>
      <c r="E498" s="382"/>
      <c r="F498" s="382"/>
      <c r="G498" s="382"/>
      <c r="H498" s="382"/>
      <c r="I498" s="382"/>
      <c r="J498" s="382"/>
      <c r="K498" s="382"/>
      <c r="L498" s="382"/>
      <c r="M498" s="382"/>
      <c r="N498" s="382"/>
      <c r="O498" s="382"/>
      <c r="P498" s="382"/>
      <c r="Q498" s="382"/>
      <c r="R498" s="382"/>
      <c r="S498" s="382"/>
      <c r="T498" s="382"/>
    </row>
    <row r="499" spans="3:20" ht="18" x14ac:dyDescent="0.35">
      <c r="C499" s="382"/>
      <c r="D499" s="382"/>
      <c r="E499" s="382"/>
      <c r="F499" s="382"/>
      <c r="G499" s="382"/>
      <c r="H499" s="382"/>
      <c r="I499" s="382"/>
      <c r="J499" s="382"/>
      <c r="K499" s="382"/>
      <c r="L499" s="382"/>
      <c r="M499" s="382"/>
      <c r="N499" s="382"/>
      <c r="O499" s="382"/>
      <c r="P499" s="382"/>
      <c r="Q499" s="382"/>
      <c r="R499" s="382"/>
      <c r="S499" s="382"/>
      <c r="T499" s="382"/>
    </row>
    <row r="500" spans="3:20" ht="18" x14ac:dyDescent="0.35">
      <c r="C500" s="382"/>
      <c r="D500" s="382"/>
      <c r="E500" s="382"/>
      <c r="F500" s="382"/>
      <c r="G500" s="382"/>
      <c r="H500" s="382"/>
      <c r="I500" s="382"/>
      <c r="J500" s="382"/>
      <c r="K500" s="382"/>
      <c r="L500" s="382"/>
      <c r="M500" s="382"/>
      <c r="N500" s="382"/>
      <c r="O500" s="382"/>
      <c r="P500" s="382"/>
      <c r="Q500" s="382"/>
      <c r="R500" s="382"/>
      <c r="S500" s="382"/>
      <c r="T500" s="382"/>
    </row>
    <row r="501" spans="3:20" ht="18" x14ac:dyDescent="0.35">
      <c r="C501" s="382"/>
      <c r="D501" s="382"/>
      <c r="E501" s="382"/>
      <c r="F501" s="382"/>
      <c r="G501" s="382"/>
      <c r="H501" s="382"/>
      <c r="I501" s="382"/>
      <c r="J501" s="382"/>
      <c r="K501" s="382"/>
      <c r="L501" s="382"/>
      <c r="M501" s="382"/>
      <c r="N501" s="382"/>
      <c r="O501" s="382"/>
      <c r="P501" s="382"/>
      <c r="Q501" s="382"/>
      <c r="R501" s="382"/>
      <c r="S501" s="382"/>
      <c r="T501" s="382"/>
    </row>
    <row r="502" spans="3:20" ht="18" x14ac:dyDescent="0.35">
      <c r="C502" s="382"/>
      <c r="D502" s="382"/>
      <c r="E502" s="382"/>
      <c r="F502" s="382"/>
      <c r="G502" s="382"/>
      <c r="H502" s="382"/>
      <c r="I502" s="382"/>
      <c r="J502" s="382"/>
      <c r="K502" s="382"/>
      <c r="L502" s="382"/>
      <c r="M502" s="382"/>
      <c r="N502" s="382"/>
      <c r="O502" s="382"/>
      <c r="P502" s="382"/>
      <c r="Q502" s="382"/>
      <c r="R502" s="382"/>
      <c r="S502" s="382"/>
      <c r="T502" s="382"/>
    </row>
    <row r="503" spans="3:20" ht="18" x14ac:dyDescent="0.35">
      <c r="C503" s="382"/>
      <c r="D503" s="382"/>
      <c r="E503" s="382"/>
      <c r="F503" s="382"/>
      <c r="G503" s="382"/>
      <c r="H503" s="382"/>
      <c r="I503" s="382"/>
      <c r="J503" s="382"/>
      <c r="K503" s="382"/>
      <c r="L503" s="382"/>
      <c r="M503" s="382"/>
      <c r="N503" s="382"/>
      <c r="O503" s="382"/>
      <c r="P503" s="382"/>
      <c r="Q503" s="382"/>
      <c r="R503" s="382"/>
      <c r="S503" s="382"/>
      <c r="T503" s="382"/>
    </row>
    <row r="504" spans="3:20" ht="18" x14ac:dyDescent="0.35">
      <c r="C504" s="382"/>
      <c r="D504" s="382"/>
      <c r="E504" s="382"/>
      <c r="F504" s="382"/>
      <c r="G504" s="382"/>
      <c r="H504" s="382"/>
      <c r="I504" s="382"/>
      <c r="J504" s="382"/>
      <c r="K504" s="382"/>
      <c r="L504" s="382"/>
      <c r="M504" s="382"/>
      <c r="N504" s="382"/>
      <c r="O504" s="382"/>
      <c r="P504" s="382"/>
      <c r="Q504" s="382"/>
      <c r="R504" s="382"/>
      <c r="S504" s="382"/>
      <c r="T504" s="382"/>
    </row>
    <row r="505" spans="3:20" ht="18" x14ac:dyDescent="0.35">
      <c r="C505" s="382"/>
      <c r="D505" s="382"/>
      <c r="E505" s="382"/>
      <c r="F505" s="382"/>
      <c r="G505" s="382"/>
      <c r="H505" s="382"/>
      <c r="I505" s="382"/>
      <c r="J505" s="382"/>
      <c r="K505" s="382"/>
      <c r="L505" s="382"/>
      <c r="M505" s="382"/>
      <c r="N505" s="382"/>
      <c r="O505" s="382"/>
      <c r="P505" s="382"/>
      <c r="Q505" s="382"/>
      <c r="R505" s="382"/>
      <c r="S505" s="382"/>
      <c r="T505" s="382"/>
    </row>
    <row r="506" spans="3:20" ht="18" x14ac:dyDescent="0.35">
      <c r="C506" s="382"/>
      <c r="D506" s="382"/>
      <c r="E506" s="382"/>
      <c r="F506" s="382"/>
      <c r="G506" s="382"/>
      <c r="H506" s="382"/>
      <c r="I506" s="382"/>
      <c r="J506" s="382"/>
      <c r="K506" s="382"/>
      <c r="L506" s="382"/>
      <c r="M506" s="382"/>
      <c r="N506" s="382"/>
      <c r="O506" s="382"/>
      <c r="P506" s="382"/>
      <c r="Q506" s="382"/>
      <c r="R506" s="382"/>
      <c r="S506" s="382"/>
      <c r="T506" s="382"/>
    </row>
    <row r="507" spans="3:20" ht="18" x14ac:dyDescent="0.35">
      <c r="C507" s="382"/>
      <c r="D507" s="382"/>
      <c r="E507" s="382"/>
      <c r="F507" s="382"/>
      <c r="G507" s="382"/>
      <c r="H507" s="382"/>
      <c r="I507" s="382"/>
      <c r="J507" s="382"/>
      <c r="K507" s="382"/>
      <c r="L507" s="382"/>
      <c r="M507" s="382"/>
      <c r="N507" s="382"/>
      <c r="O507" s="382"/>
      <c r="P507" s="382"/>
      <c r="Q507" s="382"/>
      <c r="R507" s="382"/>
      <c r="S507" s="382"/>
      <c r="T507" s="382"/>
    </row>
    <row r="508" spans="3:20" ht="18" x14ac:dyDescent="0.35">
      <c r="C508" s="382"/>
      <c r="D508" s="382"/>
      <c r="E508" s="382"/>
      <c r="F508" s="382"/>
      <c r="G508" s="382"/>
      <c r="H508" s="382"/>
      <c r="I508" s="382"/>
      <c r="J508" s="382"/>
      <c r="K508" s="382"/>
      <c r="L508" s="382"/>
      <c r="M508" s="382"/>
      <c r="N508" s="382"/>
      <c r="O508" s="382"/>
      <c r="P508" s="382"/>
      <c r="Q508" s="382"/>
      <c r="R508" s="382"/>
      <c r="S508" s="382"/>
      <c r="T508" s="382"/>
    </row>
    <row r="509" spans="3:20" ht="18" x14ac:dyDescent="0.35">
      <c r="C509" s="382"/>
      <c r="D509" s="382"/>
      <c r="E509" s="382"/>
      <c r="F509" s="382"/>
      <c r="G509" s="382"/>
      <c r="H509" s="382"/>
      <c r="I509" s="382"/>
      <c r="J509" s="382"/>
      <c r="K509" s="382"/>
      <c r="L509" s="382"/>
      <c r="M509" s="382"/>
      <c r="N509" s="382"/>
      <c r="O509" s="382"/>
      <c r="P509" s="382"/>
      <c r="Q509" s="382"/>
      <c r="R509" s="382"/>
      <c r="S509" s="382"/>
      <c r="T509" s="382"/>
    </row>
    <row r="510" spans="3:20" ht="18" x14ac:dyDescent="0.35">
      <c r="C510" s="382"/>
      <c r="D510" s="382"/>
      <c r="E510" s="382"/>
      <c r="F510" s="382"/>
      <c r="G510" s="382"/>
      <c r="H510" s="382"/>
      <c r="I510" s="382"/>
      <c r="J510" s="382"/>
      <c r="K510" s="382"/>
      <c r="L510" s="382"/>
      <c r="M510" s="382"/>
      <c r="N510" s="382"/>
      <c r="O510" s="382"/>
      <c r="P510" s="382"/>
      <c r="Q510" s="382"/>
      <c r="R510" s="382"/>
      <c r="S510" s="382"/>
      <c r="T510" s="382"/>
    </row>
    <row r="511" spans="3:20" ht="18" x14ac:dyDescent="0.35">
      <c r="C511" s="382"/>
      <c r="D511" s="382"/>
      <c r="E511" s="382"/>
      <c r="F511" s="382"/>
      <c r="G511" s="382"/>
      <c r="H511" s="382"/>
      <c r="I511" s="382"/>
      <c r="J511" s="382"/>
      <c r="K511" s="382"/>
      <c r="L511" s="382"/>
      <c r="M511" s="382"/>
      <c r="N511" s="382"/>
      <c r="O511" s="382"/>
      <c r="P511" s="382"/>
      <c r="Q511" s="382"/>
      <c r="R511" s="382"/>
      <c r="S511" s="382"/>
      <c r="T511" s="382"/>
    </row>
    <row r="512" spans="3:20" ht="18" x14ac:dyDescent="0.35">
      <c r="C512" s="382"/>
      <c r="D512" s="382"/>
      <c r="E512" s="382"/>
      <c r="F512" s="382"/>
      <c r="G512" s="382"/>
      <c r="H512" s="382"/>
      <c r="I512" s="382"/>
      <c r="J512" s="382"/>
      <c r="K512" s="382"/>
      <c r="L512" s="382"/>
      <c r="M512" s="382"/>
      <c r="N512" s="382"/>
      <c r="O512" s="382"/>
      <c r="P512" s="382"/>
      <c r="Q512" s="382"/>
      <c r="R512" s="382"/>
      <c r="S512" s="382"/>
      <c r="T512" s="382"/>
    </row>
    <row r="513" spans="3:20" ht="18" x14ac:dyDescent="0.35">
      <c r="C513" s="382"/>
      <c r="D513" s="382"/>
      <c r="E513" s="382"/>
      <c r="F513" s="382"/>
      <c r="G513" s="382"/>
      <c r="H513" s="382"/>
      <c r="I513" s="382"/>
      <c r="J513" s="382"/>
      <c r="K513" s="382"/>
      <c r="L513" s="382"/>
      <c r="M513" s="382"/>
      <c r="N513" s="382"/>
      <c r="O513" s="382"/>
      <c r="P513" s="382"/>
      <c r="Q513" s="382"/>
      <c r="R513" s="382"/>
      <c r="S513" s="382"/>
      <c r="T513" s="382"/>
    </row>
    <row r="514" spans="3:20" ht="18" x14ac:dyDescent="0.35">
      <c r="C514" s="382"/>
      <c r="D514" s="382"/>
      <c r="E514" s="382"/>
      <c r="F514" s="382"/>
      <c r="G514" s="382"/>
      <c r="H514" s="382"/>
      <c r="I514" s="382"/>
      <c r="J514" s="382"/>
      <c r="K514" s="382"/>
      <c r="L514" s="382"/>
      <c r="M514" s="382"/>
      <c r="N514" s="382"/>
      <c r="O514" s="382"/>
      <c r="P514" s="382"/>
      <c r="Q514" s="382"/>
      <c r="R514" s="382"/>
      <c r="S514" s="382"/>
      <c r="T514" s="382"/>
    </row>
    <row r="515" spans="3:20" ht="18" x14ac:dyDescent="0.35">
      <c r="C515" s="382"/>
      <c r="D515" s="382"/>
      <c r="E515" s="382"/>
      <c r="F515" s="382"/>
      <c r="G515" s="382"/>
      <c r="H515" s="382"/>
      <c r="I515" s="382"/>
      <c r="J515" s="382"/>
      <c r="K515" s="382"/>
      <c r="L515" s="382"/>
      <c r="M515" s="382"/>
      <c r="N515" s="382"/>
      <c r="O515" s="382"/>
      <c r="P515" s="382"/>
      <c r="Q515" s="382"/>
      <c r="R515" s="382"/>
      <c r="S515" s="382"/>
      <c r="T515" s="382"/>
    </row>
    <row r="516" spans="3:20" ht="18" x14ac:dyDescent="0.35">
      <c r="C516" s="382"/>
      <c r="D516" s="382"/>
      <c r="E516" s="382"/>
      <c r="F516" s="382"/>
      <c r="G516" s="382"/>
      <c r="H516" s="382"/>
      <c r="I516" s="382"/>
      <c r="J516" s="382"/>
      <c r="K516" s="382"/>
      <c r="L516" s="382"/>
      <c r="M516" s="382"/>
      <c r="N516" s="382"/>
      <c r="O516" s="382"/>
      <c r="P516" s="382"/>
      <c r="Q516" s="382"/>
      <c r="R516" s="382"/>
      <c r="S516" s="382"/>
      <c r="T516" s="382"/>
    </row>
    <row r="517" spans="3:20" ht="18" x14ac:dyDescent="0.35">
      <c r="C517" s="382"/>
      <c r="D517" s="382"/>
      <c r="E517" s="382"/>
      <c r="F517" s="382"/>
      <c r="G517" s="382"/>
      <c r="H517" s="382"/>
      <c r="I517" s="382"/>
      <c r="J517" s="382"/>
      <c r="K517" s="382"/>
      <c r="L517" s="382"/>
      <c r="M517" s="382"/>
      <c r="N517" s="382"/>
      <c r="O517" s="382"/>
      <c r="P517" s="382"/>
      <c r="Q517" s="382"/>
      <c r="R517" s="382"/>
      <c r="S517" s="382"/>
      <c r="T517" s="382"/>
    </row>
    <row r="518" spans="3:20" ht="18" x14ac:dyDescent="0.35">
      <c r="C518" s="382"/>
      <c r="D518" s="382"/>
      <c r="E518" s="382"/>
      <c r="F518" s="382"/>
      <c r="G518" s="382"/>
      <c r="H518" s="382"/>
      <c r="I518" s="382"/>
      <c r="J518" s="382"/>
      <c r="K518" s="382"/>
      <c r="L518" s="382"/>
      <c r="M518" s="382"/>
      <c r="N518" s="382"/>
      <c r="O518" s="382"/>
      <c r="P518" s="382"/>
      <c r="Q518" s="382"/>
      <c r="R518" s="382"/>
      <c r="S518" s="382"/>
      <c r="T518" s="382"/>
    </row>
    <row r="519" spans="3:20" ht="18" x14ac:dyDescent="0.35">
      <c r="C519" s="382"/>
      <c r="D519" s="382"/>
      <c r="E519" s="382"/>
      <c r="F519" s="382"/>
      <c r="G519" s="382"/>
      <c r="H519" s="382"/>
      <c r="I519" s="382"/>
      <c r="J519" s="382"/>
      <c r="K519" s="382"/>
      <c r="L519" s="382"/>
      <c r="M519" s="382"/>
      <c r="N519" s="382"/>
      <c r="O519" s="382"/>
      <c r="P519" s="382"/>
      <c r="Q519" s="382"/>
      <c r="R519" s="382"/>
      <c r="S519" s="382"/>
      <c r="T519" s="382"/>
    </row>
    <row r="520" spans="3:20" ht="18" x14ac:dyDescent="0.35">
      <c r="C520" s="382"/>
      <c r="D520" s="382"/>
      <c r="E520" s="382"/>
      <c r="F520" s="382"/>
      <c r="G520" s="382"/>
      <c r="H520" s="382"/>
      <c r="I520" s="382"/>
      <c r="J520" s="382"/>
      <c r="K520" s="382"/>
      <c r="L520" s="382"/>
      <c r="M520" s="382"/>
      <c r="N520" s="382"/>
      <c r="O520" s="382"/>
      <c r="P520" s="382"/>
      <c r="Q520" s="382"/>
      <c r="R520" s="382"/>
      <c r="S520" s="382"/>
      <c r="T520" s="382"/>
    </row>
    <row r="521" spans="3:20" ht="18" x14ac:dyDescent="0.35">
      <c r="C521" s="382"/>
      <c r="D521" s="382"/>
      <c r="E521" s="382"/>
      <c r="F521" s="382"/>
      <c r="G521" s="382"/>
      <c r="H521" s="382"/>
      <c r="I521" s="382"/>
      <c r="J521" s="382"/>
      <c r="K521" s="382"/>
      <c r="L521" s="382"/>
      <c r="M521" s="382"/>
      <c r="N521" s="382"/>
      <c r="O521" s="382"/>
      <c r="P521" s="382"/>
      <c r="Q521" s="382"/>
      <c r="R521" s="382"/>
      <c r="S521" s="382"/>
      <c r="T521" s="382"/>
    </row>
    <row r="522" spans="3:20" ht="18" x14ac:dyDescent="0.35">
      <c r="C522" s="382"/>
      <c r="D522" s="382"/>
      <c r="E522" s="382"/>
      <c r="F522" s="382"/>
      <c r="G522" s="382"/>
      <c r="H522" s="382"/>
      <c r="I522" s="382"/>
      <c r="J522" s="382"/>
      <c r="K522" s="382"/>
      <c r="L522" s="382"/>
      <c r="M522" s="382"/>
      <c r="N522" s="382"/>
      <c r="O522" s="382"/>
      <c r="P522" s="382"/>
      <c r="Q522" s="382"/>
      <c r="R522" s="382"/>
      <c r="S522" s="382"/>
      <c r="T522" s="382"/>
    </row>
    <row r="523" spans="3:20" ht="18" x14ac:dyDescent="0.35">
      <c r="C523" s="382"/>
      <c r="D523" s="382"/>
      <c r="E523" s="382"/>
      <c r="F523" s="382"/>
      <c r="G523" s="382"/>
      <c r="H523" s="382"/>
      <c r="I523" s="382"/>
      <c r="J523" s="382"/>
      <c r="K523" s="382"/>
      <c r="L523" s="382"/>
      <c r="M523" s="382"/>
      <c r="N523" s="382"/>
      <c r="O523" s="382"/>
      <c r="P523" s="382"/>
      <c r="Q523" s="382"/>
      <c r="R523" s="382"/>
      <c r="S523" s="382"/>
      <c r="T523" s="382"/>
    </row>
    <row r="524" spans="3:20" ht="18" x14ac:dyDescent="0.35">
      <c r="C524" s="382"/>
      <c r="D524" s="382"/>
      <c r="E524" s="382"/>
      <c r="F524" s="382"/>
      <c r="G524" s="382"/>
      <c r="H524" s="382"/>
      <c r="I524" s="382"/>
      <c r="J524" s="382"/>
      <c r="K524" s="382"/>
      <c r="L524" s="382"/>
      <c r="M524" s="382"/>
      <c r="N524" s="382"/>
      <c r="O524" s="382"/>
      <c r="P524" s="382"/>
      <c r="Q524" s="382"/>
      <c r="R524" s="382"/>
      <c r="S524" s="382"/>
      <c r="T524" s="382"/>
    </row>
    <row r="525" spans="3:20" ht="18" x14ac:dyDescent="0.35">
      <c r="C525" s="382"/>
      <c r="D525" s="382"/>
      <c r="E525" s="382"/>
      <c r="F525" s="382"/>
      <c r="G525" s="382"/>
      <c r="H525" s="382"/>
      <c r="I525" s="382"/>
      <c r="J525" s="382"/>
      <c r="K525" s="382"/>
      <c r="L525" s="382"/>
      <c r="M525" s="382"/>
      <c r="N525" s="382"/>
      <c r="O525" s="382"/>
      <c r="P525" s="382"/>
      <c r="Q525" s="382"/>
      <c r="R525" s="382"/>
      <c r="S525" s="382"/>
      <c r="T525" s="382"/>
    </row>
    <row r="526" spans="3:20" ht="18" x14ac:dyDescent="0.35">
      <c r="C526" s="382"/>
      <c r="D526" s="382"/>
      <c r="E526" s="382"/>
      <c r="F526" s="382"/>
      <c r="G526" s="382"/>
      <c r="H526" s="382"/>
      <c r="I526" s="382"/>
      <c r="J526" s="382"/>
      <c r="K526" s="382"/>
      <c r="L526" s="382"/>
      <c r="M526" s="382"/>
      <c r="N526" s="382"/>
      <c r="O526" s="382"/>
      <c r="P526" s="382"/>
      <c r="Q526" s="382"/>
      <c r="R526" s="382"/>
      <c r="S526" s="382"/>
      <c r="T526" s="382"/>
    </row>
    <row r="527" spans="3:20" ht="18" x14ac:dyDescent="0.35">
      <c r="C527" s="382"/>
      <c r="D527" s="382"/>
      <c r="E527" s="382"/>
      <c r="F527" s="382"/>
      <c r="G527" s="382"/>
      <c r="H527" s="382"/>
      <c r="I527" s="382"/>
      <c r="J527" s="382"/>
      <c r="K527" s="382"/>
      <c r="L527" s="382"/>
      <c r="M527" s="382"/>
      <c r="N527" s="382"/>
      <c r="O527" s="382"/>
      <c r="P527" s="382"/>
      <c r="Q527" s="382"/>
      <c r="R527" s="382"/>
      <c r="S527" s="382"/>
      <c r="T527" s="382"/>
    </row>
    <row r="528" spans="3:20" ht="18" x14ac:dyDescent="0.35">
      <c r="C528" s="382"/>
      <c r="D528" s="382"/>
      <c r="E528" s="382"/>
      <c r="F528" s="382"/>
      <c r="G528" s="382"/>
      <c r="H528" s="382"/>
      <c r="I528" s="382"/>
      <c r="J528" s="382"/>
      <c r="K528" s="382"/>
      <c r="L528" s="382"/>
      <c r="M528" s="382"/>
      <c r="N528" s="382"/>
      <c r="O528" s="382"/>
      <c r="P528" s="382"/>
      <c r="Q528" s="382"/>
      <c r="R528" s="382"/>
      <c r="S528" s="382"/>
      <c r="T528" s="382"/>
    </row>
    <row r="529" spans="3:20" ht="18" x14ac:dyDescent="0.35">
      <c r="C529" s="382"/>
      <c r="D529" s="382"/>
      <c r="E529" s="382"/>
      <c r="F529" s="382"/>
      <c r="G529" s="382"/>
      <c r="H529" s="382"/>
      <c r="I529" s="382"/>
      <c r="J529" s="382"/>
      <c r="K529" s="382"/>
      <c r="L529" s="382"/>
      <c r="M529" s="382"/>
      <c r="N529" s="382"/>
      <c r="O529" s="382"/>
      <c r="P529" s="382"/>
      <c r="Q529" s="382"/>
      <c r="R529" s="382"/>
      <c r="S529" s="382"/>
      <c r="T529" s="382"/>
    </row>
    <row r="530" spans="3:20" ht="18" x14ac:dyDescent="0.35">
      <c r="C530" s="382"/>
      <c r="D530" s="382"/>
      <c r="E530" s="382"/>
      <c r="F530" s="382"/>
      <c r="G530" s="382"/>
      <c r="H530" s="382"/>
      <c r="I530" s="382"/>
      <c r="J530" s="382"/>
      <c r="K530" s="382"/>
      <c r="L530" s="382"/>
      <c r="M530" s="382"/>
      <c r="N530" s="382"/>
      <c r="O530" s="382"/>
      <c r="P530" s="382"/>
      <c r="Q530" s="382"/>
      <c r="R530" s="382"/>
      <c r="S530" s="382"/>
      <c r="T530" s="382"/>
    </row>
    <row r="531" spans="3:20" ht="18" x14ac:dyDescent="0.35">
      <c r="C531" s="382"/>
      <c r="D531" s="382"/>
      <c r="E531" s="382"/>
      <c r="F531" s="382"/>
      <c r="G531" s="382"/>
      <c r="H531" s="382"/>
      <c r="I531" s="382"/>
      <c r="J531" s="382"/>
      <c r="K531" s="382"/>
      <c r="L531" s="382"/>
      <c r="M531" s="382"/>
      <c r="N531" s="382"/>
      <c r="O531" s="382"/>
      <c r="P531" s="382"/>
      <c r="Q531" s="382"/>
      <c r="R531" s="382"/>
      <c r="S531" s="382"/>
      <c r="T531" s="382"/>
    </row>
    <row r="532" spans="3:20" ht="18" x14ac:dyDescent="0.35">
      <c r="C532" s="382"/>
      <c r="D532" s="382"/>
      <c r="E532" s="382"/>
      <c r="F532" s="382"/>
      <c r="G532" s="382"/>
      <c r="H532" s="382"/>
      <c r="I532" s="382"/>
      <c r="J532" s="382"/>
      <c r="K532" s="382"/>
      <c r="L532" s="382"/>
      <c r="M532" s="382"/>
      <c r="N532" s="382"/>
      <c r="O532" s="382"/>
      <c r="P532" s="382"/>
      <c r="Q532" s="382"/>
      <c r="R532" s="382"/>
      <c r="S532" s="382"/>
      <c r="T532" s="382"/>
    </row>
    <row r="533" spans="3:20" ht="18" x14ac:dyDescent="0.35">
      <c r="C533" s="382"/>
      <c r="D533" s="382"/>
      <c r="E533" s="382"/>
      <c r="F533" s="382"/>
      <c r="G533" s="382"/>
      <c r="H533" s="382"/>
      <c r="I533" s="382"/>
      <c r="J533" s="382"/>
      <c r="K533" s="382"/>
      <c r="L533" s="382"/>
      <c r="M533" s="382"/>
      <c r="N533" s="382"/>
      <c r="O533" s="382"/>
      <c r="P533" s="382"/>
      <c r="Q533" s="382"/>
      <c r="R533" s="382"/>
      <c r="S533" s="382"/>
      <c r="T533" s="382"/>
    </row>
    <row r="534" spans="3:20" ht="18" x14ac:dyDescent="0.35">
      <c r="C534" s="382"/>
      <c r="D534" s="382"/>
      <c r="E534" s="382"/>
      <c r="F534" s="382"/>
      <c r="G534" s="382"/>
      <c r="H534" s="382"/>
      <c r="I534" s="382"/>
      <c r="J534" s="382"/>
      <c r="K534" s="382"/>
      <c r="L534" s="382"/>
      <c r="M534" s="382"/>
      <c r="N534" s="382"/>
      <c r="O534" s="382"/>
      <c r="P534" s="382"/>
      <c r="Q534" s="382"/>
      <c r="R534" s="382"/>
      <c r="S534" s="382"/>
      <c r="T534" s="382"/>
    </row>
    <row r="535" spans="3:20" ht="18" x14ac:dyDescent="0.35">
      <c r="C535" s="382"/>
      <c r="D535" s="382"/>
      <c r="E535" s="382"/>
      <c r="F535" s="382"/>
      <c r="G535" s="382"/>
      <c r="H535" s="382"/>
      <c r="I535" s="382"/>
      <c r="J535" s="382"/>
      <c r="K535" s="382"/>
      <c r="L535" s="382"/>
      <c r="M535" s="382"/>
      <c r="N535" s="382"/>
      <c r="O535" s="382"/>
      <c r="P535" s="382"/>
      <c r="Q535" s="382"/>
      <c r="R535" s="382"/>
      <c r="S535" s="382"/>
      <c r="T535" s="382"/>
    </row>
    <row r="536" spans="3:20" ht="18" x14ac:dyDescent="0.35">
      <c r="C536" s="382"/>
      <c r="D536" s="382"/>
      <c r="E536" s="382"/>
      <c r="F536" s="382"/>
      <c r="G536" s="382"/>
      <c r="H536" s="382"/>
      <c r="I536" s="382"/>
      <c r="J536" s="382"/>
      <c r="K536" s="382"/>
      <c r="L536" s="382"/>
      <c r="M536" s="382"/>
      <c r="N536" s="382"/>
      <c r="O536" s="382"/>
      <c r="P536" s="382"/>
      <c r="Q536" s="382"/>
      <c r="R536" s="382"/>
      <c r="S536" s="382"/>
      <c r="T536" s="382"/>
    </row>
    <row r="537" spans="3:20" ht="18" x14ac:dyDescent="0.35">
      <c r="C537" s="382"/>
      <c r="D537" s="382"/>
      <c r="E537" s="382"/>
      <c r="F537" s="382"/>
      <c r="G537" s="382"/>
      <c r="H537" s="382"/>
      <c r="I537" s="382"/>
      <c r="J537" s="382"/>
      <c r="K537" s="382"/>
      <c r="L537" s="382"/>
      <c r="M537" s="382"/>
      <c r="N537" s="382"/>
      <c r="O537" s="382"/>
      <c r="P537" s="382"/>
      <c r="Q537" s="382"/>
      <c r="R537" s="382"/>
      <c r="S537" s="382"/>
      <c r="T537" s="382"/>
    </row>
    <row r="538" spans="3:20" ht="18" x14ac:dyDescent="0.35">
      <c r="C538" s="382"/>
      <c r="D538" s="382"/>
      <c r="E538" s="382"/>
      <c r="F538" s="382"/>
      <c r="G538" s="382"/>
      <c r="H538" s="382"/>
      <c r="I538" s="382"/>
      <c r="J538" s="382"/>
      <c r="K538" s="382"/>
      <c r="L538" s="382"/>
      <c r="M538" s="382"/>
      <c r="N538" s="382"/>
      <c r="O538" s="382"/>
      <c r="P538" s="382"/>
      <c r="Q538" s="382"/>
      <c r="R538" s="382"/>
      <c r="S538" s="382"/>
      <c r="T538" s="382"/>
    </row>
    <row r="539" spans="3:20" ht="18" x14ac:dyDescent="0.35">
      <c r="C539" s="382"/>
      <c r="D539" s="382"/>
      <c r="E539" s="382"/>
      <c r="F539" s="382"/>
      <c r="G539" s="382"/>
      <c r="H539" s="382"/>
      <c r="I539" s="382"/>
      <c r="J539" s="382"/>
      <c r="K539" s="382"/>
      <c r="L539" s="382"/>
      <c r="M539" s="382"/>
      <c r="N539" s="382"/>
      <c r="O539" s="382"/>
      <c r="P539" s="382"/>
      <c r="Q539" s="382"/>
      <c r="R539" s="382"/>
      <c r="S539" s="382"/>
      <c r="T539" s="382"/>
    </row>
    <row r="540" spans="3:20" ht="18" x14ac:dyDescent="0.35">
      <c r="C540" s="382"/>
      <c r="D540" s="382"/>
      <c r="E540" s="382"/>
      <c r="F540" s="382"/>
      <c r="G540" s="382"/>
      <c r="H540" s="382"/>
      <c r="I540" s="382"/>
      <c r="J540" s="382"/>
      <c r="K540" s="382"/>
      <c r="L540" s="382"/>
      <c r="M540" s="382"/>
      <c r="N540" s="382"/>
      <c r="O540" s="382"/>
      <c r="P540" s="382"/>
      <c r="Q540" s="382"/>
      <c r="R540" s="382"/>
      <c r="S540" s="382"/>
      <c r="T540" s="382"/>
    </row>
    <row r="541" spans="3:20" ht="18" x14ac:dyDescent="0.35">
      <c r="C541" s="382"/>
      <c r="D541" s="382"/>
      <c r="E541" s="382"/>
      <c r="F541" s="382"/>
      <c r="G541" s="382"/>
      <c r="H541" s="382"/>
      <c r="I541" s="382"/>
      <c r="J541" s="382"/>
      <c r="K541" s="382"/>
      <c r="L541" s="382"/>
      <c r="M541" s="382"/>
      <c r="N541" s="382"/>
      <c r="O541" s="382"/>
      <c r="P541" s="382"/>
      <c r="Q541" s="382"/>
      <c r="R541" s="382"/>
      <c r="S541" s="382"/>
      <c r="T541" s="382"/>
    </row>
    <row r="542" spans="3:20" ht="18" x14ac:dyDescent="0.35">
      <c r="C542" s="382"/>
      <c r="D542" s="382"/>
      <c r="E542" s="382"/>
      <c r="F542" s="382"/>
      <c r="G542" s="382"/>
      <c r="H542" s="382"/>
      <c r="I542" s="382"/>
      <c r="J542" s="382"/>
      <c r="K542" s="382"/>
      <c r="L542" s="382"/>
      <c r="M542" s="382"/>
      <c r="N542" s="382"/>
      <c r="O542" s="382"/>
      <c r="P542" s="382"/>
      <c r="Q542" s="382"/>
      <c r="R542" s="382"/>
      <c r="S542" s="382"/>
      <c r="T542" s="382"/>
    </row>
    <row r="543" spans="3:20" ht="18" x14ac:dyDescent="0.35">
      <c r="C543" s="382"/>
      <c r="D543" s="382"/>
      <c r="E543" s="382"/>
      <c r="F543" s="382"/>
      <c r="G543" s="382"/>
      <c r="H543" s="382"/>
      <c r="I543" s="382"/>
      <c r="J543" s="382"/>
      <c r="K543" s="382"/>
      <c r="L543" s="382"/>
      <c r="M543" s="382"/>
      <c r="N543" s="382"/>
      <c r="O543" s="382"/>
      <c r="P543" s="382"/>
      <c r="Q543" s="382"/>
      <c r="R543" s="382"/>
      <c r="S543" s="382"/>
      <c r="T543" s="382"/>
    </row>
    <row r="544" spans="3:20" ht="18" x14ac:dyDescent="0.35">
      <c r="C544" s="382"/>
      <c r="D544" s="382"/>
      <c r="E544" s="382"/>
      <c r="F544" s="382"/>
      <c r="G544" s="382"/>
      <c r="H544" s="382"/>
      <c r="I544" s="382"/>
      <c r="J544" s="382"/>
      <c r="K544" s="382"/>
      <c r="L544" s="382"/>
      <c r="M544" s="382"/>
      <c r="N544" s="382"/>
      <c r="O544" s="382"/>
      <c r="P544" s="382"/>
      <c r="Q544" s="382"/>
      <c r="R544" s="382"/>
      <c r="S544" s="382"/>
      <c r="T544" s="382"/>
    </row>
    <row r="545" spans="3:20" ht="18" x14ac:dyDescent="0.35">
      <c r="C545" s="382"/>
      <c r="D545" s="382"/>
      <c r="E545" s="382"/>
      <c r="F545" s="382"/>
      <c r="G545" s="382"/>
      <c r="H545" s="382"/>
      <c r="I545" s="382"/>
      <c r="J545" s="382"/>
      <c r="K545" s="382"/>
      <c r="L545" s="382"/>
      <c r="M545" s="382"/>
      <c r="N545" s="382"/>
      <c r="O545" s="382"/>
      <c r="P545" s="382"/>
      <c r="Q545" s="382"/>
      <c r="R545" s="382"/>
      <c r="S545" s="382"/>
      <c r="T545" s="382"/>
    </row>
    <row r="546" spans="3:20" ht="18" x14ac:dyDescent="0.35">
      <c r="C546" s="382"/>
      <c r="D546" s="382"/>
      <c r="E546" s="382"/>
      <c r="F546" s="382"/>
      <c r="G546" s="382"/>
      <c r="H546" s="382"/>
      <c r="I546" s="382"/>
      <c r="J546" s="382"/>
      <c r="K546" s="382"/>
      <c r="L546" s="382"/>
      <c r="M546" s="382"/>
      <c r="N546" s="382"/>
      <c r="O546" s="382"/>
      <c r="P546" s="382"/>
      <c r="Q546" s="382"/>
      <c r="R546" s="382"/>
      <c r="S546" s="382"/>
      <c r="T546" s="382"/>
    </row>
    <row r="547" spans="3:20" ht="18" x14ac:dyDescent="0.35">
      <c r="C547" s="382"/>
      <c r="D547" s="382"/>
      <c r="E547" s="382"/>
      <c r="F547" s="382"/>
      <c r="G547" s="382"/>
      <c r="H547" s="382"/>
      <c r="I547" s="382"/>
      <c r="J547" s="382"/>
      <c r="K547" s="382"/>
      <c r="L547" s="382"/>
      <c r="M547" s="382"/>
      <c r="N547" s="382"/>
      <c r="O547" s="382"/>
      <c r="P547" s="382"/>
      <c r="Q547" s="382"/>
      <c r="R547" s="382"/>
      <c r="S547" s="382"/>
      <c r="T547" s="382"/>
    </row>
    <row r="548" spans="3:20" ht="18" x14ac:dyDescent="0.35">
      <c r="C548" s="382"/>
      <c r="D548" s="382"/>
      <c r="E548" s="382"/>
      <c r="F548" s="382"/>
      <c r="G548" s="382"/>
      <c r="H548" s="382"/>
      <c r="I548" s="382"/>
      <c r="J548" s="382"/>
      <c r="K548" s="382"/>
      <c r="L548" s="382"/>
      <c r="M548" s="382"/>
      <c r="N548" s="382"/>
      <c r="O548" s="382"/>
      <c r="P548" s="382"/>
      <c r="Q548" s="382"/>
      <c r="R548" s="382"/>
      <c r="S548" s="382"/>
      <c r="T548" s="382"/>
    </row>
    <row r="549" spans="3:20" ht="18" x14ac:dyDescent="0.35">
      <c r="C549" s="382"/>
      <c r="D549" s="382"/>
      <c r="E549" s="382"/>
      <c r="F549" s="382"/>
      <c r="G549" s="382"/>
      <c r="H549" s="382"/>
      <c r="I549" s="382"/>
      <c r="J549" s="382"/>
      <c r="K549" s="382"/>
      <c r="L549" s="382"/>
      <c r="M549" s="382"/>
      <c r="N549" s="382"/>
      <c r="O549" s="382"/>
      <c r="P549" s="382"/>
      <c r="Q549" s="382"/>
      <c r="R549" s="382"/>
      <c r="S549" s="382"/>
      <c r="T549" s="382"/>
    </row>
    <row r="550" spans="3:20" ht="18" x14ac:dyDescent="0.35">
      <c r="C550" s="382"/>
      <c r="D550" s="382"/>
      <c r="E550" s="382"/>
      <c r="F550" s="382"/>
      <c r="G550" s="382"/>
      <c r="H550" s="382"/>
      <c r="I550" s="382"/>
      <c r="J550" s="382"/>
      <c r="K550" s="382"/>
      <c r="L550" s="382"/>
      <c r="M550" s="382"/>
      <c r="N550" s="382"/>
      <c r="O550" s="382"/>
      <c r="P550" s="382"/>
      <c r="Q550" s="382"/>
      <c r="R550" s="382"/>
      <c r="S550" s="382"/>
      <c r="T550" s="382"/>
    </row>
    <row r="551" spans="3:20" ht="18" x14ac:dyDescent="0.35">
      <c r="C551" s="382"/>
      <c r="D551" s="382"/>
      <c r="E551" s="382"/>
      <c r="F551" s="382"/>
      <c r="G551" s="382"/>
      <c r="H551" s="382"/>
      <c r="I551" s="382"/>
      <c r="J551" s="382"/>
      <c r="K551" s="382"/>
      <c r="L551" s="382"/>
      <c r="M551" s="382"/>
      <c r="N551" s="382"/>
      <c r="O551" s="382"/>
      <c r="P551" s="382"/>
      <c r="Q551" s="382"/>
      <c r="R551" s="382"/>
      <c r="S551" s="382"/>
      <c r="T551" s="382"/>
    </row>
    <row r="552" spans="3:20" ht="18" x14ac:dyDescent="0.35">
      <c r="C552" s="382"/>
      <c r="D552" s="382"/>
      <c r="E552" s="382"/>
      <c r="F552" s="382"/>
      <c r="G552" s="382"/>
      <c r="H552" s="382"/>
      <c r="I552" s="382"/>
      <c r="J552" s="382"/>
      <c r="K552" s="382"/>
      <c r="L552" s="382"/>
      <c r="M552" s="382"/>
      <c r="N552" s="382"/>
      <c r="O552" s="382"/>
      <c r="P552" s="382"/>
      <c r="Q552" s="382"/>
      <c r="R552" s="382"/>
      <c r="S552" s="382"/>
      <c r="T552" s="382"/>
    </row>
    <row r="553" spans="3:20" ht="18" x14ac:dyDescent="0.35">
      <c r="C553" s="382"/>
      <c r="D553" s="382"/>
      <c r="E553" s="382"/>
      <c r="F553" s="382"/>
      <c r="G553" s="382"/>
      <c r="H553" s="382"/>
      <c r="I553" s="382"/>
      <c r="J553" s="382"/>
      <c r="K553" s="382"/>
      <c r="L553" s="382"/>
      <c r="M553" s="382"/>
      <c r="N553" s="382"/>
      <c r="O553" s="382"/>
      <c r="P553" s="382"/>
      <c r="Q553" s="382"/>
      <c r="R553" s="382"/>
      <c r="S553" s="382"/>
      <c r="T553" s="382"/>
    </row>
    <row r="554" spans="3:20" ht="18" x14ac:dyDescent="0.35">
      <c r="C554" s="382"/>
      <c r="D554" s="382"/>
      <c r="E554" s="382"/>
      <c r="F554" s="382"/>
      <c r="G554" s="382"/>
      <c r="H554" s="382"/>
      <c r="I554" s="382"/>
      <c r="J554" s="382"/>
      <c r="K554" s="382"/>
      <c r="L554" s="382"/>
      <c r="M554" s="382"/>
      <c r="N554" s="382"/>
      <c r="O554" s="382"/>
      <c r="P554" s="382"/>
      <c r="Q554" s="382"/>
      <c r="R554" s="382"/>
      <c r="S554" s="382"/>
      <c r="T554" s="382"/>
    </row>
    <row r="555" spans="3:20" ht="18" x14ac:dyDescent="0.35">
      <c r="C555" s="382"/>
      <c r="D555" s="382"/>
      <c r="E555" s="382"/>
      <c r="F555" s="382"/>
      <c r="G555" s="382"/>
      <c r="H555" s="382"/>
      <c r="I555" s="382"/>
      <c r="J555" s="382"/>
      <c r="K555" s="382"/>
      <c r="L555" s="382"/>
      <c r="M555" s="382"/>
      <c r="N555" s="382"/>
      <c r="O555" s="382"/>
      <c r="P555" s="382"/>
      <c r="Q555" s="382"/>
      <c r="R555" s="382"/>
      <c r="S555" s="382"/>
      <c r="T555" s="382"/>
    </row>
    <row r="556" spans="3:20" ht="18" x14ac:dyDescent="0.35">
      <c r="C556" s="382"/>
      <c r="D556" s="382"/>
      <c r="E556" s="382"/>
      <c r="F556" s="382"/>
      <c r="G556" s="382"/>
      <c r="H556" s="382"/>
      <c r="I556" s="382"/>
      <c r="J556" s="382"/>
      <c r="K556" s="382"/>
      <c r="L556" s="382"/>
      <c r="M556" s="382"/>
      <c r="N556" s="382"/>
      <c r="O556" s="382"/>
      <c r="P556" s="382"/>
      <c r="Q556" s="382"/>
      <c r="R556" s="382"/>
      <c r="S556" s="382"/>
      <c r="T556" s="382"/>
    </row>
    <row r="557" spans="3:20" ht="18" x14ac:dyDescent="0.35">
      <c r="C557" s="382"/>
      <c r="D557" s="382"/>
      <c r="E557" s="382"/>
      <c r="F557" s="382"/>
      <c r="G557" s="382"/>
      <c r="H557" s="382"/>
      <c r="I557" s="382"/>
      <c r="J557" s="382"/>
      <c r="K557" s="382"/>
      <c r="L557" s="382"/>
      <c r="M557" s="382"/>
      <c r="N557" s="382"/>
      <c r="O557" s="382"/>
      <c r="P557" s="382"/>
      <c r="Q557" s="382"/>
      <c r="R557" s="382"/>
      <c r="S557" s="382"/>
      <c r="T557" s="382"/>
    </row>
    <row r="558" spans="3:20" ht="18" x14ac:dyDescent="0.35">
      <c r="C558" s="382"/>
      <c r="D558" s="382"/>
      <c r="E558" s="382"/>
      <c r="F558" s="382"/>
      <c r="G558" s="382"/>
      <c r="H558" s="382"/>
      <c r="I558" s="382"/>
      <c r="J558" s="382"/>
      <c r="K558" s="382"/>
      <c r="L558" s="382"/>
      <c r="M558" s="382"/>
      <c r="N558" s="382"/>
      <c r="O558" s="382"/>
      <c r="P558" s="382"/>
      <c r="Q558" s="382"/>
      <c r="R558" s="382"/>
      <c r="S558" s="382"/>
      <c r="T558" s="382"/>
    </row>
    <row r="559" spans="3:20" ht="18" x14ac:dyDescent="0.35">
      <c r="C559" s="382"/>
      <c r="D559" s="382"/>
      <c r="E559" s="382"/>
      <c r="F559" s="382"/>
      <c r="G559" s="382"/>
      <c r="H559" s="382"/>
      <c r="I559" s="382"/>
      <c r="J559" s="382"/>
      <c r="K559" s="382"/>
      <c r="L559" s="382"/>
      <c r="M559" s="382"/>
      <c r="N559" s="382"/>
      <c r="O559" s="382"/>
      <c r="P559" s="382"/>
      <c r="Q559" s="382"/>
      <c r="R559" s="382"/>
      <c r="S559" s="382"/>
      <c r="T559" s="382"/>
    </row>
    <row r="560" spans="3:20" ht="18" x14ac:dyDescent="0.35">
      <c r="C560" s="382"/>
      <c r="D560" s="382"/>
      <c r="E560" s="382"/>
      <c r="F560" s="382"/>
      <c r="G560" s="382"/>
      <c r="H560" s="382"/>
      <c r="I560" s="382"/>
      <c r="J560" s="382"/>
      <c r="K560" s="382"/>
      <c r="L560" s="382"/>
      <c r="M560" s="382"/>
      <c r="N560" s="382"/>
      <c r="O560" s="382"/>
      <c r="P560" s="382"/>
      <c r="Q560" s="382"/>
      <c r="R560" s="382"/>
      <c r="S560" s="382"/>
      <c r="T560" s="382"/>
    </row>
    <row r="561" spans="3:20" ht="18" x14ac:dyDescent="0.35">
      <c r="C561" s="382"/>
      <c r="D561" s="382"/>
      <c r="E561" s="382"/>
      <c r="F561" s="382"/>
      <c r="G561" s="382"/>
      <c r="H561" s="382"/>
      <c r="I561" s="382"/>
      <c r="J561" s="382"/>
      <c r="K561" s="382"/>
      <c r="L561" s="382"/>
      <c r="M561" s="382"/>
      <c r="N561" s="382"/>
      <c r="O561" s="382"/>
      <c r="P561" s="382"/>
      <c r="Q561" s="382"/>
      <c r="R561" s="382"/>
      <c r="S561" s="382"/>
      <c r="T561" s="382"/>
    </row>
    <row r="562" spans="3:20" ht="18" x14ac:dyDescent="0.35">
      <c r="C562" s="382"/>
      <c r="D562" s="382"/>
      <c r="E562" s="382"/>
      <c r="F562" s="382"/>
      <c r="G562" s="382"/>
      <c r="H562" s="382"/>
      <c r="I562" s="382"/>
      <c r="J562" s="382"/>
      <c r="K562" s="382"/>
      <c r="L562" s="382"/>
      <c r="M562" s="382"/>
      <c r="N562" s="382"/>
      <c r="O562" s="382"/>
      <c r="P562" s="382"/>
      <c r="Q562" s="382"/>
      <c r="R562" s="382"/>
      <c r="S562" s="382"/>
      <c r="T562" s="382"/>
    </row>
    <row r="563" spans="3:20" ht="18" x14ac:dyDescent="0.35">
      <c r="C563" s="382"/>
      <c r="D563" s="382"/>
      <c r="E563" s="382"/>
      <c r="F563" s="382"/>
      <c r="G563" s="382"/>
      <c r="H563" s="382"/>
      <c r="I563" s="382"/>
      <c r="J563" s="382"/>
      <c r="K563" s="382"/>
      <c r="L563" s="382"/>
      <c r="M563" s="382"/>
      <c r="N563" s="382"/>
      <c r="O563" s="382"/>
      <c r="P563" s="382"/>
      <c r="Q563" s="382"/>
      <c r="R563" s="382"/>
      <c r="S563" s="382"/>
      <c r="T563" s="382"/>
    </row>
    <row r="564" spans="3:20" ht="18" x14ac:dyDescent="0.35">
      <c r="C564" s="382"/>
      <c r="D564" s="382"/>
      <c r="E564" s="382"/>
      <c r="F564" s="382"/>
      <c r="G564" s="382"/>
      <c r="H564" s="382"/>
      <c r="I564" s="382"/>
      <c r="J564" s="382"/>
      <c r="K564" s="382"/>
      <c r="L564" s="382"/>
      <c r="M564" s="382"/>
      <c r="N564" s="382"/>
      <c r="O564" s="382"/>
      <c r="P564" s="382"/>
      <c r="Q564" s="382"/>
      <c r="R564" s="382"/>
      <c r="S564" s="382"/>
      <c r="T564" s="382"/>
    </row>
    <row r="565" spans="3:20" ht="18" x14ac:dyDescent="0.35">
      <c r="C565" s="382"/>
      <c r="D565" s="382"/>
      <c r="E565" s="382"/>
      <c r="F565" s="382"/>
      <c r="G565" s="382"/>
      <c r="H565" s="382"/>
      <c r="I565" s="382"/>
      <c r="J565" s="382"/>
      <c r="K565" s="382"/>
      <c r="L565" s="382"/>
      <c r="M565" s="382"/>
      <c r="N565" s="382"/>
      <c r="O565" s="382"/>
      <c r="P565" s="382"/>
      <c r="Q565" s="382"/>
      <c r="R565" s="382"/>
      <c r="S565" s="382"/>
      <c r="T565" s="382"/>
    </row>
    <row r="566" spans="3:20" ht="18" x14ac:dyDescent="0.35">
      <c r="C566" s="382"/>
      <c r="D566" s="382"/>
      <c r="E566" s="382"/>
      <c r="F566" s="382"/>
      <c r="G566" s="382"/>
      <c r="H566" s="382"/>
      <c r="I566" s="382"/>
      <c r="J566" s="382"/>
      <c r="K566" s="382"/>
      <c r="L566" s="382"/>
      <c r="M566" s="382"/>
      <c r="N566" s="382"/>
      <c r="O566" s="382"/>
      <c r="P566" s="382"/>
      <c r="Q566" s="382"/>
      <c r="R566" s="382"/>
      <c r="S566" s="382"/>
      <c r="T566" s="382"/>
    </row>
    <row r="567" spans="3:20" ht="18" x14ac:dyDescent="0.35">
      <c r="C567" s="382"/>
      <c r="D567" s="382"/>
      <c r="E567" s="382"/>
      <c r="F567" s="382"/>
      <c r="G567" s="382"/>
      <c r="H567" s="382"/>
      <c r="I567" s="382"/>
      <c r="J567" s="382"/>
      <c r="K567" s="382"/>
      <c r="L567" s="382"/>
      <c r="M567" s="382"/>
      <c r="N567" s="382"/>
      <c r="O567" s="382"/>
      <c r="P567" s="382"/>
      <c r="Q567" s="382"/>
      <c r="R567" s="382"/>
      <c r="S567" s="382"/>
      <c r="T567" s="382"/>
    </row>
    <row r="568" spans="3:20" ht="18" x14ac:dyDescent="0.35">
      <c r="C568" s="382"/>
      <c r="D568" s="382"/>
      <c r="E568" s="382"/>
      <c r="F568" s="382"/>
      <c r="G568" s="382"/>
      <c r="H568" s="382"/>
      <c r="I568" s="382"/>
      <c r="J568" s="382"/>
      <c r="K568" s="382"/>
      <c r="L568" s="382"/>
      <c r="M568" s="382"/>
      <c r="N568" s="382"/>
      <c r="O568" s="382"/>
      <c r="P568" s="382"/>
      <c r="Q568" s="382"/>
      <c r="R568" s="382"/>
      <c r="S568" s="382"/>
      <c r="T568" s="382"/>
    </row>
    <row r="569" spans="3:20" ht="18" x14ac:dyDescent="0.35">
      <c r="C569" s="382"/>
      <c r="D569" s="382"/>
      <c r="E569" s="382"/>
      <c r="F569" s="382"/>
      <c r="G569" s="382"/>
      <c r="H569" s="382"/>
      <c r="I569" s="382"/>
      <c r="J569" s="382"/>
      <c r="K569" s="382"/>
      <c r="L569" s="382"/>
      <c r="M569" s="382"/>
      <c r="N569" s="382"/>
      <c r="O569" s="382"/>
      <c r="P569" s="382"/>
      <c r="Q569" s="382"/>
      <c r="R569" s="382"/>
      <c r="S569" s="382"/>
      <c r="T569" s="382"/>
    </row>
    <row r="570" spans="3:20" ht="18" x14ac:dyDescent="0.35">
      <c r="C570" s="382"/>
      <c r="D570" s="382"/>
      <c r="E570" s="382"/>
      <c r="F570" s="382"/>
      <c r="G570" s="382"/>
      <c r="H570" s="382"/>
      <c r="I570" s="382"/>
      <c r="J570" s="382"/>
      <c r="K570" s="382"/>
      <c r="L570" s="382"/>
      <c r="M570" s="382"/>
      <c r="N570" s="382"/>
      <c r="O570" s="382"/>
      <c r="P570" s="382"/>
      <c r="Q570" s="382"/>
      <c r="R570" s="382"/>
      <c r="S570" s="382"/>
      <c r="T570" s="382"/>
    </row>
    <row r="571" spans="3:20" ht="18" x14ac:dyDescent="0.35">
      <c r="C571" s="382"/>
      <c r="D571" s="382"/>
      <c r="E571" s="382"/>
      <c r="F571" s="382"/>
      <c r="G571" s="382"/>
      <c r="H571" s="382"/>
      <c r="I571" s="382"/>
      <c r="J571" s="382"/>
      <c r="K571" s="382"/>
      <c r="L571" s="382"/>
      <c r="M571" s="382"/>
      <c r="N571" s="382"/>
      <c r="O571" s="382"/>
      <c r="P571" s="382"/>
      <c r="Q571" s="382"/>
      <c r="R571" s="382"/>
      <c r="S571" s="382"/>
      <c r="T571" s="382"/>
    </row>
    <row r="572" spans="3:20" ht="18" x14ac:dyDescent="0.35">
      <c r="C572" s="382"/>
      <c r="D572" s="382"/>
      <c r="E572" s="382"/>
      <c r="F572" s="382"/>
      <c r="G572" s="382"/>
      <c r="H572" s="382"/>
      <c r="I572" s="382"/>
      <c r="J572" s="382"/>
      <c r="K572" s="382"/>
      <c r="L572" s="382"/>
      <c r="M572" s="382"/>
      <c r="N572" s="382"/>
      <c r="O572" s="382"/>
      <c r="P572" s="382"/>
      <c r="Q572" s="382"/>
      <c r="R572" s="382"/>
      <c r="S572" s="382"/>
      <c r="T572" s="382"/>
    </row>
    <row r="573" spans="3:20" ht="18" x14ac:dyDescent="0.35">
      <c r="C573" s="382"/>
      <c r="D573" s="382"/>
      <c r="E573" s="382"/>
      <c r="F573" s="382"/>
      <c r="G573" s="382"/>
      <c r="H573" s="382"/>
      <c r="I573" s="382"/>
      <c r="J573" s="382"/>
      <c r="K573" s="382"/>
      <c r="L573" s="382"/>
      <c r="M573" s="382"/>
      <c r="N573" s="382"/>
      <c r="O573" s="382"/>
      <c r="P573" s="382"/>
      <c r="Q573" s="382"/>
      <c r="R573" s="382"/>
      <c r="S573" s="382"/>
      <c r="T573" s="382"/>
    </row>
    <row r="574" spans="3:20" ht="18" x14ac:dyDescent="0.35">
      <c r="C574" s="382"/>
      <c r="D574" s="382"/>
      <c r="E574" s="382"/>
      <c r="F574" s="382"/>
      <c r="G574" s="382"/>
      <c r="H574" s="382"/>
      <c r="I574" s="382"/>
      <c r="J574" s="382"/>
      <c r="K574" s="382"/>
      <c r="L574" s="382"/>
      <c r="M574" s="382"/>
      <c r="N574" s="382"/>
      <c r="O574" s="382"/>
      <c r="P574" s="382"/>
      <c r="Q574" s="382"/>
      <c r="R574" s="382"/>
      <c r="S574" s="382"/>
      <c r="T574" s="382"/>
    </row>
    <row r="575" spans="3:20" ht="18" x14ac:dyDescent="0.35">
      <c r="C575" s="382"/>
      <c r="D575" s="382"/>
      <c r="E575" s="382"/>
      <c r="F575" s="382"/>
      <c r="G575" s="382"/>
      <c r="H575" s="382"/>
      <c r="I575" s="382"/>
      <c r="J575" s="382"/>
      <c r="K575" s="382"/>
      <c r="L575" s="382"/>
      <c r="M575" s="382"/>
      <c r="N575" s="382"/>
      <c r="O575" s="382"/>
      <c r="P575" s="382"/>
      <c r="Q575" s="382"/>
      <c r="R575" s="382"/>
      <c r="S575" s="382"/>
      <c r="T575" s="382"/>
    </row>
    <row r="576" spans="3:20" ht="18" x14ac:dyDescent="0.35">
      <c r="C576" s="382"/>
      <c r="D576" s="382"/>
      <c r="E576" s="382"/>
      <c r="F576" s="382"/>
      <c r="G576" s="382"/>
      <c r="H576" s="382"/>
      <c r="I576" s="382"/>
      <c r="J576" s="382"/>
      <c r="K576" s="382"/>
      <c r="L576" s="382"/>
      <c r="M576" s="382"/>
      <c r="N576" s="382"/>
      <c r="O576" s="382"/>
      <c r="P576" s="382"/>
      <c r="Q576" s="382"/>
      <c r="R576" s="382"/>
      <c r="S576" s="382"/>
      <c r="T576" s="382"/>
    </row>
    <row r="577" spans="3:20" ht="18" x14ac:dyDescent="0.35">
      <c r="C577" s="382"/>
      <c r="D577" s="382"/>
      <c r="E577" s="382"/>
      <c r="F577" s="382"/>
      <c r="G577" s="382"/>
      <c r="H577" s="382"/>
      <c r="I577" s="382"/>
      <c r="J577" s="382"/>
      <c r="K577" s="382"/>
      <c r="L577" s="382"/>
      <c r="M577" s="382"/>
      <c r="N577" s="382"/>
      <c r="O577" s="382"/>
      <c r="P577" s="382"/>
      <c r="Q577" s="382"/>
      <c r="R577" s="382"/>
      <c r="S577" s="382"/>
      <c r="T577" s="382"/>
    </row>
    <row r="578" spans="3:20" ht="18" x14ac:dyDescent="0.35">
      <c r="C578" s="382"/>
      <c r="D578" s="382"/>
      <c r="E578" s="382"/>
      <c r="F578" s="382"/>
      <c r="G578" s="382"/>
      <c r="H578" s="382"/>
      <c r="I578" s="382"/>
      <c r="J578" s="382"/>
      <c r="K578" s="382"/>
      <c r="L578" s="382"/>
      <c r="M578" s="382"/>
      <c r="N578" s="382"/>
      <c r="O578" s="382"/>
      <c r="P578" s="382"/>
      <c r="Q578" s="382"/>
      <c r="R578" s="382"/>
      <c r="S578" s="382"/>
      <c r="T578" s="382"/>
    </row>
    <row r="579" spans="3:20" ht="18" x14ac:dyDescent="0.35">
      <c r="C579" s="382"/>
      <c r="D579" s="382"/>
      <c r="E579" s="382"/>
      <c r="F579" s="382"/>
      <c r="G579" s="382"/>
      <c r="H579" s="382"/>
      <c r="I579" s="382"/>
      <c r="J579" s="382"/>
      <c r="K579" s="382"/>
      <c r="L579" s="382"/>
      <c r="M579" s="382"/>
      <c r="N579" s="382"/>
      <c r="O579" s="382"/>
      <c r="P579" s="382"/>
      <c r="Q579" s="382"/>
      <c r="R579" s="382"/>
      <c r="S579" s="382"/>
      <c r="T579" s="382"/>
    </row>
    <row r="580" spans="3:20" ht="18" x14ac:dyDescent="0.35">
      <c r="C580" s="382"/>
      <c r="D580" s="382"/>
      <c r="E580" s="382"/>
      <c r="F580" s="382"/>
      <c r="G580" s="382"/>
      <c r="H580" s="382"/>
      <c r="I580" s="382"/>
      <c r="J580" s="382"/>
      <c r="K580" s="382"/>
      <c r="L580" s="382"/>
      <c r="M580" s="382"/>
      <c r="N580" s="382"/>
      <c r="O580" s="382"/>
      <c r="P580" s="382"/>
      <c r="Q580" s="382"/>
      <c r="R580" s="382"/>
      <c r="S580" s="382"/>
      <c r="T580" s="382"/>
    </row>
    <row r="581" spans="3:20" ht="18" x14ac:dyDescent="0.35">
      <c r="C581" s="382"/>
      <c r="D581" s="382"/>
      <c r="E581" s="382"/>
      <c r="F581" s="382"/>
      <c r="G581" s="382"/>
      <c r="H581" s="382"/>
      <c r="I581" s="382"/>
      <c r="J581" s="382"/>
      <c r="K581" s="382"/>
      <c r="L581" s="382"/>
      <c r="M581" s="382"/>
      <c r="N581" s="382"/>
      <c r="O581" s="382"/>
      <c r="P581" s="382"/>
      <c r="Q581" s="382"/>
      <c r="R581" s="382"/>
      <c r="S581" s="382"/>
      <c r="T581" s="382"/>
    </row>
    <row r="582" spans="3:20" ht="18" x14ac:dyDescent="0.35">
      <c r="C582" s="382"/>
      <c r="D582" s="382"/>
      <c r="E582" s="382"/>
      <c r="F582" s="382"/>
      <c r="G582" s="382"/>
      <c r="H582" s="382"/>
      <c r="I582" s="382"/>
      <c r="J582" s="382"/>
      <c r="K582" s="382"/>
      <c r="L582" s="382"/>
      <c r="M582" s="382"/>
      <c r="N582" s="382"/>
      <c r="O582" s="382"/>
      <c r="P582" s="382"/>
      <c r="Q582" s="382"/>
      <c r="R582" s="382"/>
      <c r="S582" s="382"/>
      <c r="T582" s="382"/>
    </row>
    <row r="583" spans="3:20" ht="18" x14ac:dyDescent="0.35">
      <c r="C583" s="382"/>
      <c r="D583" s="382"/>
      <c r="E583" s="382"/>
      <c r="F583" s="382"/>
      <c r="G583" s="382"/>
      <c r="H583" s="382"/>
      <c r="I583" s="382"/>
      <c r="J583" s="382"/>
      <c r="K583" s="382"/>
      <c r="L583" s="382"/>
      <c r="M583" s="382"/>
      <c r="N583" s="382"/>
      <c r="O583" s="382"/>
      <c r="P583" s="382"/>
      <c r="Q583" s="382"/>
      <c r="R583" s="382"/>
      <c r="S583" s="382"/>
      <c r="T583" s="382"/>
    </row>
    <row r="584" spans="3:20" ht="18" x14ac:dyDescent="0.35">
      <c r="C584" s="382"/>
      <c r="D584" s="382"/>
      <c r="E584" s="382"/>
      <c r="F584" s="382"/>
      <c r="G584" s="382"/>
      <c r="H584" s="382"/>
      <c r="I584" s="382"/>
      <c r="J584" s="382"/>
      <c r="K584" s="382"/>
      <c r="L584" s="382"/>
      <c r="M584" s="382"/>
      <c r="N584" s="382"/>
      <c r="O584" s="382"/>
      <c r="P584" s="382"/>
      <c r="Q584" s="382"/>
      <c r="R584" s="382"/>
      <c r="S584" s="382"/>
      <c r="T584" s="382"/>
    </row>
    <row r="585" spans="3:20" ht="18" x14ac:dyDescent="0.35">
      <c r="C585" s="382"/>
      <c r="D585" s="382"/>
      <c r="E585" s="382"/>
      <c r="F585" s="382"/>
      <c r="G585" s="382"/>
      <c r="H585" s="382"/>
      <c r="I585" s="382"/>
      <c r="J585" s="382"/>
      <c r="K585" s="382"/>
      <c r="L585" s="382"/>
      <c r="M585" s="382"/>
      <c r="N585" s="382"/>
      <c r="O585" s="382"/>
      <c r="P585" s="382"/>
      <c r="Q585" s="382"/>
      <c r="R585" s="382"/>
      <c r="S585" s="382"/>
      <c r="T585" s="382"/>
    </row>
    <row r="586" spans="3:20" ht="18" x14ac:dyDescent="0.35">
      <c r="C586" s="382"/>
      <c r="D586" s="382"/>
      <c r="E586" s="382"/>
      <c r="F586" s="382"/>
      <c r="G586" s="382"/>
      <c r="H586" s="382"/>
      <c r="I586" s="382"/>
      <c r="J586" s="382"/>
      <c r="K586" s="382"/>
      <c r="L586" s="382"/>
      <c r="M586" s="382"/>
      <c r="N586" s="382"/>
      <c r="O586" s="382"/>
      <c r="P586" s="382"/>
      <c r="Q586" s="382"/>
      <c r="R586" s="382"/>
      <c r="S586" s="382"/>
      <c r="T586" s="382"/>
    </row>
    <row r="587" spans="3:20" ht="18" x14ac:dyDescent="0.35">
      <c r="C587" s="382"/>
      <c r="D587" s="382"/>
      <c r="E587" s="382"/>
      <c r="F587" s="382"/>
      <c r="G587" s="382"/>
      <c r="H587" s="382"/>
      <c r="I587" s="382"/>
      <c r="J587" s="382"/>
      <c r="K587" s="382"/>
      <c r="L587" s="382"/>
      <c r="M587" s="382"/>
      <c r="N587" s="382"/>
      <c r="O587" s="382"/>
      <c r="P587" s="382"/>
      <c r="Q587" s="382"/>
      <c r="R587" s="382"/>
      <c r="S587" s="382"/>
      <c r="T587" s="382"/>
    </row>
    <row r="588" spans="3:20" ht="18" x14ac:dyDescent="0.35">
      <c r="C588" s="382"/>
      <c r="D588" s="382"/>
      <c r="E588" s="382"/>
      <c r="F588" s="382"/>
      <c r="G588" s="382"/>
      <c r="H588" s="382"/>
      <c r="I588" s="382"/>
      <c r="J588" s="382"/>
      <c r="K588" s="382"/>
      <c r="L588" s="382"/>
      <c r="M588" s="382"/>
      <c r="N588" s="382"/>
      <c r="O588" s="382"/>
      <c r="P588" s="382"/>
      <c r="Q588" s="382"/>
      <c r="R588" s="382"/>
      <c r="S588" s="382"/>
      <c r="T588" s="382"/>
    </row>
    <row r="589" spans="3:20" ht="18" x14ac:dyDescent="0.35">
      <c r="C589" s="382"/>
      <c r="D589" s="382"/>
      <c r="E589" s="382"/>
      <c r="F589" s="382"/>
      <c r="G589" s="382"/>
      <c r="H589" s="382"/>
      <c r="I589" s="382"/>
      <c r="J589" s="382"/>
      <c r="K589" s="382"/>
      <c r="L589" s="382"/>
      <c r="M589" s="382"/>
      <c r="N589" s="382"/>
      <c r="O589" s="382"/>
      <c r="P589" s="382"/>
      <c r="Q589" s="382"/>
      <c r="R589" s="382"/>
      <c r="S589" s="382"/>
      <c r="T589" s="382"/>
    </row>
    <row r="590" spans="3:20" ht="18" x14ac:dyDescent="0.35">
      <c r="C590" s="382"/>
      <c r="D590" s="382"/>
      <c r="E590" s="382"/>
      <c r="F590" s="382"/>
      <c r="G590" s="382"/>
      <c r="H590" s="382"/>
      <c r="I590" s="382"/>
      <c r="J590" s="382"/>
      <c r="K590" s="382"/>
      <c r="L590" s="382"/>
      <c r="M590" s="382"/>
      <c r="N590" s="382"/>
      <c r="O590" s="382"/>
      <c r="P590" s="382"/>
      <c r="Q590" s="382"/>
      <c r="R590" s="382"/>
      <c r="S590" s="382"/>
      <c r="T590" s="382"/>
    </row>
    <row r="591" spans="3:20" ht="18" x14ac:dyDescent="0.35">
      <c r="C591" s="382"/>
      <c r="D591" s="382"/>
      <c r="E591" s="382"/>
      <c r="F591" s="382"/>
      <c r="G591" s="382"/>
      <c r="H591" s="382"/>
      <c r="I591" s="382"/>
      <c r="J591" s="382"/>
      <c r="K591" s="382"/>
      <c r="L591" s="382"/>
      <c r="M591" s="382"/>
      <c r="N591" s="382"/>
      <c r="O591" s="382"/>
      <c r="P591" s="382"/>
      <c r="Q591" s="382"/>
      <c r="R591" s="382"/>
      <c r="S591" s="382"/>
      <c r="T591" s="382"/>
    </row>
    <row r="592" spans="3:20" ht="18" x14ac:dyDescent="0.35">
      <c r="C592" s="382"/>
      <c r="D592" s="382"/>
      <c r="E592" s="382"/>
      <c r="F592" s="382"/>
      <c r="G592" s="382"/>
      <c r="H592" s="382"/>
      <c r="I592" s="382"/>
      <c r="J592" s="382"/>
      <c r="K592" s="382"/>
      <c r="L592" s="382"/>
      <c r="M592" s="382"/>
      <c r="N592" s="382"/>
      <c r="O592" s="382"/>
      <c r="P592" s="382"/>
      <c r="Q592" s="382"/>
      <c r="R592" s="382"/>
      <c r="S592" s="382"/>
      <c r="T592" s="382"/>
    </row>
    <row r="593" spans="3:20" ht="18" x14ac:dyDescent="0.35">
      <c r="C593" s="382"/>
      <c r="D593" s="382"/>
      <c r="E593" s="382"/>
      <c r="F593" s="382"/>
      <c r="G593" s="382"/>
      <c r="H593" s="382"/>
      <c r="I593" s="382"/>
      <c r="J593" s="382"/>
      <c r="K593" s="382"/>
      <c r="L593" s="382"/>
      <c r="M593" s="382"/>
      <c r="N593" s="382"/>
      <c r="O593" s="382"/>
      <c r="P593" s="382"/>
      <c r="Q593" s="382"/>
      <c r="R593" s="382"/>
      <c r="S593" s="382"/>
      <c r="T593" s="382"/>
    </row>
    <row r="594" spans="3:20" ht="18" x14ac:dyDescent="0.35">
      <c r="C594" s="382"/>
      <c r="D594" s="382"/>
      <c r="E594" s="382"/>
      <c r="F594" s="382"/>
      <c r="G594" s="382"/>
      <c r="H594" s="382"/>
      <c r="I594" s="382"/>
      <c r="J594" s="382"/>
      <c r="K594" s="382"/>
      <c r="L594" s="382"/>
      <c r="M594" s="382"/>
      <c r="N594" s="382"/>
      <c r="O594" s="382"/>
      <c r="P594" s="382"/>
      <c r="Q594" s="382"/>
      <c r="R594" s="382"/>
      <c r="S594" s="382"/>
      <c r="T594" s="382"/>
    </row>
    <row r="595" spans="3:20" ht="18" x14ac:dyDescent="0.35">
      <c r="C595" s="382"/>
      <c r="D595" s="382"/>
      <c r="E595" s="382"/>
      <c r="F595" s="382"/>
      <c r="G595" s="382"/>
      <c r="H595" s="382"/>
      <c r="I595" s="382"/>
      <c r="J595" s="382"/>
      <c r="K595" s="382"/>
      <c r="L595" s="382"/>
      <c r="M595" s="382"/>
      <c r="N595" s="382"/>
      <c r="O595" s="382"/>
      <c r="P595" s="382"/>
      <c r="Q595" s="382"/>
      <c r="R595" s="382"/>
      <c r="S595" s="382"/>
      <c r="T595" s="382"/>
    </row>
    <row r="596" spans="3:20" ht="18" x14ac:dyDescent="0.35">
      <c r="C596" s="382"/>
      <c r="D596" s="382"/>
      <c r="E596" s="382"/>
      <c r="F596" s="382"/>
      <c r="G596" s="382"/>
      <c r="H596" s="382"/>
      <c r="I596" s="382"/>
      <c r="J596" s="382"/>
      <c r="K596" s="382"/>
      <c r="L596" s="382"/>
      <c r="M596" s="382"/>
      <c r="N596" s="382"/>
      <c r="O596" s="382"/>
      <c r="P596" s="382"/>
      <c r="Q596" s="382"/>
      <c r="R596" s="382"/>
      <c r="S596" s="382"/>
      <c r="T596" s="382"/>
    </row>
    <row r="597" spans="3:20" ht="18" x14ac:dyDescent="0.35">
      <c r="C597" s="382"/>
      <c r="D597" s="382"/>
      <c r="E597" s="382"/>
      <c r="F597" s="382"/>
      <c r="G597" s="382"/>
      <c r="H597" s="382"/>
      <c r="I597" s="382"/>
      <c r="J597" s="382"/>
      <c r="K597" s="382"/>
      <c r="L597" s="382"/>
      <c r="M597" s="382"/>
      <c r="N597" s="382"/>
      <c r="O597" s="382"/>
      <c r="P597" s="382"/>
      <c r="Q597" s="382"/>
      <c r="R597" s="382"/>
      <c r="S597" s="382"/>
      <c r="T597" s="382"/>
    </row>
    <row r="598" spans="3:20" ht="18" x14ac:dyDescent="0.35">
      <c r="C598" s="382"/>
      <c r="D598" s="382"/>
      <c r="E598" s="382"/>
      <c r="F598" s="382"/>
      <c r="G598" s="382"/>
      <c r="H598" s="382"/>
      <c r="I598" s="382"/>
      <c r="J598" s="382"/>
      <c r="K598" s="382"/>
      <c r="L598" s="382"/>
      <c r="M598" s="382"/>
      <c r="N598" s="382"/>
      <c r="O598" s="382"/>
      <c r="P598" s="382"/>
      <c r="Q598" s="382"/>
      <c r="R598" s="382"/>
      <c r="S598" s="382"/>
      <c r="T598" s="382"/>
    </row>
    <row r="599" spans="3:20" ht="18" x14ac:dyDescent="0.35">
      <c r="C599" s="382"/>
      <c r="D599" s="382"/>
      <c r="E599" s="382"/>
      <c r="F599" s="382"/>
      <c r="G599" s="382"/>
      <c r="H599" s="382"/>
      <c r="I599" s="382"/>
      <c r="J599" s="382"/>
      <c r="K599" s="382"/>
      <c r="L599" s="382"/>
      <c r="M599" s="382"/>
      <c r="N599" s="382"/>
      <c r="O599" s="382"/>
      <c r="P599" s="382"/>
      <c r="Q599" s="382"/>
      <c r="R599" s="382"/>
      <c r="S599" s="382"/>
      <c r="T599" s="382"/>
    </row>
    <row r="600" spans="3:20" ht="18" x14ac:dyDescent="0.35">
      <c r="C600" s="382"/>
      <c r="D600" s="382"/>
      <c r="E600" s="382"/>
      <c r="F600" s="382"/>
      <c r="G600" s="382"/>
      <c r="H600" s="382"/>
      <c r="I600" s="382"/>
      <c r="J600" s="382"/>
      <c r="K600" s="382"/>
      <c r="L600" s="382"/>
      <c r="M600" s="382"/>
      <c r="N600" s="382"/>
      <c r="O600" s="382"/>
      <c r="P600" s="382"/>
      <c r="Q600" s="382"/>
      <c r="R600" s="382"/>
      <c r="S600" s="382"/>
      <c r="T600" s="382"/>
    </row>
    <row r="601" spans="3:20" ht="18" x14ac:dyDescent="0.35">
      <c r="C601" s="382"/>
      <c r="D601" s="382"/>
      <c r="E601" s="382"/>
      <c r="F601" s="382"/>
      <c r="G601" s="382"/>
      <c r="H601" s="382"/>
      <c r="I601" s="382"/>
      <c r="J601" s="382"/>
      <c r="K601" s="382"/>
      <c r="L601" s="382"/>
      <c r="M601" s="382"/>
      <c r="N601" s="382"/>
      <c r="O601" s="382"/>
      <c r="P601" s="382"/>
      <c r="Q601" s="382"/>
      <c r="R601" s="382"/>
      <c r="S601" s="382"/>
      <c r="T601" s="382"/>
    </row>
    <row r="602" spans="3:20" ht="18" x14ac:dyDescent="0.35">
      <c r="C602" s="382"/>
      <c r="D602" s="382"/>
      <c r="E602" s="382"/>
      <c r="F602" s="382"/>
      <c r="G602" s="382"/>
      <c r="H602" s="382"/>
      <c r="I602" s="382"/>
      <c r="J602" s="382"/>
      <c r="K602" s="382"/>
      <c r="L602" s="382"/>
      <c r="M602" s="382"/>
      <c r="N602" s="382"/>
      <c r="O602" s="382"/>
      <c r="P602" s="382"/>
      <c r="Q602" s="382"/>
      <c r="R602" s="382"/>
      <c r="S602" s="382"/>
      <c r="T602" s="382"/>
    </row>
    <row r="603" spans="3:20" ht="18" x14ac:dyDescent="0.35">
      <c r="C603" s="382"/>
      <c r="D603" s="382"/>
      <c r="E603" s="382"/>
      <c r="F603" s="382"/>
      <c r="G603" s="382"/>
      <c r="H603" s="382"/>
      <c r="I603" s="382"/>
      <c r="J603" s="382"/>
      <c r="K603" s="382"/>
      <c r="L603" s="382"/>
      <c r="M603" s="382"/>
      <c r="N603" s="382"/>
      <c r="O603" s="382"/>
      <c r="P603" s="382"/>
      <c r="Q603" s="382"/>
      <c r="R603" s="382"/>
      <c r="S603" s="382"/>
      <c r="T603" s="382"/>
    </row>
    <row r="604" spans="3:20" ht="18" x14ac:dyDescent="0.35">
      <c r="C604" s="382"/>
      <c r="D604" s="382"/>
      <c r="E604" s="382"/>
      <c r="F604" s="382"/>
      <c r="G604" s="382"/>
      <c r="H604" s="382"/>
      <c r="I604" s="382"/>
      <c r="J604" s="382"/>
      <c r="K604" s="382"/>
      <c r="L604" s="382"/>
      <c r="M604" s="382"/>
      <c r="N604" s="382"/>
      <c r="O604" s="382"/>
      <c r="P604" s="382"/>
      <c r="Q604" s="382"/>
      <c r="R604" s="382"/>
      <c r="S604" s="382"/>
      <c r="T604" s="382"/>
    </row>
    <row r="605" spans="3:20" ht="18" x14ac:dyDescent="0.35">
      <c r="C605" s="382"/>
      <c r="D605" s="382"/>
      <c r="E605" s="382"/>
      <c r="F605" s="382"/>
      <c r="G605" s="382"/>
      <c r="H605" s="382"/>
      <c r="I605" s="382"/>
      <c r="J605" s="382"/>
      <c r="K605" s="382"/>
      <c r="L605" s="382"/>
      <c r="M605" s="382"/>
      <c r="N605" s="382"/>
      <c r="O605" s="382"/>
      <c r="P605" s="382"/>
      <c r="Q605" s="382"/>
      <c r="R605" s="382"/>
      <c r="S605" s="382"/>
      <c r="T605" s="382"/>
    </row>
    <row r="606" spans="3:20" ht="18" x14ac:dyDescent="0.35">
      <c r="C606" s="382"/>
      <c r="D606" s="382"/>
      <c r="E606" s="382"/>
      <c r="F606" s="382"/>
      <c r="G606" s="382"/>
      <c r="H606" s="382"/>
      <c r="I606" s="382"/>
      <c r="J606" s="382"/>
      <c r="K606" s="382"/>
      <c r="L606" s="382"/>
      <c r="M606" s="382"/>
      <c r="N606" s="382"/>
      <c r="O606" s="382"/>
      <c r="P606" s="382"/>
      <c r="Q606" s="382"/>
      <c r="R606" s="382"/>
      <c r="S606" s="382"/>
      <c r="T606" s="382"/>
    </row>
    <row r="607" spans="3:20" ht="18" x14ac:dyDescent="0.35">
      <c r="C607" s="382"/>
      <c r="D607" s="382"/>
      <c r="E607" s="382"/>
      <c r="F607" s="382"/>
      <c r="G607" s="382"/>
      <c r="H607" s="382"/>
      <c r="I607" s="382"/>
      <c r="J607" s="382"/>
      <c r="K607" s="382"/>
      <c r="L607" s="382"/>
      <c r="M607" s="382"/>
      <c r="N607" s="382"/>
      <c r="O607" s="382"/>
      <c r="P607" s="382"/>
      <c r="Q607" s="382"/>
      <c r="R607" s="382"/>
      <c r="S607" s="382"/>
      <c r="T607" s="382"/>
    </row>
    <row r="608" spans="3:20" ht="18" x14ac:dyDescent="0.35">
      <c r="C608" s="382"/>
      <c r="D608" s="382"/>
      <c r="E608" s="382"/>
      <c r="F608" s="382"/>
      <c r="G608" s="382"/>
      <c r="H608" s="382"/>
      <c r="I608" s="382"/>
      <c r="J608" s="382"/>
      <c r="K608" s="382"/>
      <c r="L608" s="382"/>
      <c r="M608" s="382"/>
      <c r="N608" s="382"/>
      <c r="O608" s="382"/>
      <c r="P608" s="382"/>
      <c r="Q608" s="382"/>
      <c r="R608" s="382"/>
      <c r="S608" s="382"/>
      <c r="T608" s="382"/>
    </row>
    <row r="609" spans="3:20" ht="18" x14ac:dyDescent="0.35">
      <c r="C609" s="382"/>
      <c r="D609" s="382"/>
      <c r="E609" s="382"/>
      <c r="F609" s="382"/>
      <c r="G609" s="382"/>
      <c r="H609" s="382"/>
      <c r="I609" s="382"/>
      <c r="J609" s="382"/>
      <c r="K609" s="382"/>
      <c r="L609" s="382"/>
      <c r="M609" s="382"/>
      <c r="N609" s="382"/>
      <c r="O609" s="382"/>
      <c r="P609" s="382"/>
      <c r="Q609" s="382"/>
      <c r="R609" s="382"/>
      <c r="S609" s="382"/>
      <c r="T609" s="382"/>
    </row>
    <row r="610" spans="3:20" ht="18" x14ac:dyDescent="0.35">
      <c r="C610" s="382"/>
      <c r="D610" s="382"/>
      <c r="E610" s="382"/>
      <c r="F610" s="382"/>
      <c r="G610" s="382"/>
      <c r="H610" s="382"/>
      <c r="I610" s="382"/>
      <c r="J610" s="382"/>
      <c r="K610" s="382"/>
      <c r="L610" s="382"/>
      <c r="M610" s="382"/>
      <c r="N610" s="382"/>
      <c r="O610" s="382"/>
      <c r="P610" s="382"/>
      <c r="Q610" s="382"/>
      <c r="R610" s="382"/>
      <c r="S610" s="382"/>
      <c r="T610" s="382"/>
    </row>
    <row r="611" spans="3:20" ht="18" x14ac:dyDescent="0.35">
      <c r="C611" s="382"/>
      <c r="D611" s="382"/>
      <c r="E611" s="382"/>
      <c r="F611" s="382"/>
      <c r="G611" s="382"/>
      <c r="H611" s="382"/>
      <c r="I611" s="382"/>
      <c r="J611" s="382"/>
      <c r="K611" s="382"/>
      <c r="L611" s="382"/>
      <c r="M611" s="382"/>
      <c r="N611" s="382"/>
      <c r="O611" s="382"/>
      <c r="P611" s="382"/>
      <c r="Q611" s="382"/>
      <c r="R611" s="382"/>
      <c r="S611" s="382"/>
      <c r="T611" s="382"/>
    </row>
    <row r="612" spans="3:20" ht="18" x14ac:dyDescent="0.35">
      <c r="C612" s="382"/>
      <c r="D612" s="382"/>
      <c r="E612" s="382"/>
      <c r="F612" s="382"/>
      <c r="G612" s="382"/>
      <c r="H612" s="382"/>
      <c r="I612" s="382"/>
      <c r="J612" s="382"/>
      <c r="K612" s="382"/>
      <c r="L612" s="382"/>
      <c r="M612" s="382"/>
      <c r="N612" s="382"/>
      <c r="O612" s="382"/>
      <c r="P612" s="382"/>
      <c r="Q612" s="382"/>
      <c r="R612" s="382"/>
      <c r="S612" s="382"/>
      <c r="T612" s="382"/>
    </row>
    <row r="613" spans="3:20" ht="18" x14ac:dyDescent="0.35">
      <c r="C613" s="382"/>
      <c r="D613" s="382"/>
      <c r="E613" s="382"/>
      <c r="F613" s="382"/>
      <c r="G613" s="382"/>
      <c r="H613" s="382"/>
      <c r="I613" s="382"/>
      <c r="J613" s="382"/>
      <c r="K613" s="382"/>
      <c r="L613" s="382"/>
      <c r="M613" s="382"/>
      <c r="N613" s="382"/>
      <c r="O613" s="382"/>
      <c r="P613" s="382"/>
      <c r="Q613" s="382"/>
      <c r="R613" s="382"/>
      <c r="S613" s="382"/>
      <c r="T613" s="382"/>
    </row>
    <row r="614" spans="3:20" ht="18" x14ac:dyDescent="0.35">
      <c r="C614" s="382"/>
      <c r="D614" s="382"/>
      <c r="E614" s="382"/>
      <c r="F614" s="382"/>
      <c r="G614" s="382"/>
      <c r="H614" s="382"/>
      <c r="I614" s="382"/>
      <c r="J614" s="382"/>
      <c r="K614" s="382"/>
      <c r="L614" s="382"/>
      <c r="M614" s="382"/>
      <c r="N614" s="382"/>
      <c r="O614" s="382"/>
      <c r="P614" s="382"/>
      <c r="Q614" s="382"/>
      <c r="R614" s="382"/>
      <c r="S614" s="382"/>
      <c r="T614" s="382"/>
    </row>
    <row r="615" spans="3:20" ht="18" x14ac:dyDescent="0.35">
      <c r="C615" s="382"/>
      <c r="D615" s="382"/>
      <c r="E615" s="382"/>
      <c r="F615" s="382"/>
      <c r="G615" s="382"/>
      <c r="H615" s="382"/>
      <c r="I615" s="382"/>
      <c r="J615" s="382"/>
      <c r="K615" s="382"/>
      <c r="L615" s="382"/>
      <c r="M615" s="382"/>
      <c r="N615" s="382"/>
      <c r="O615" s="382"/>
      <c r="P615" s="382"/>
      <c r="Q615" s="382"/>
      <c r="R615" s="382"/>
      <c r="S615" s="382"/>
      <c r="T615" s="382"/>
    </row>
    <row r="616" spans="3:20" ht="18" x14ac:dyDescent="0.35">
      <c r="C616" s="382"/>
      <c r="D616" s="382"/>
      <c r="E616" s="382"/>
      <c r="F616" s="382"/>
      <c r="G616" s="382"/>
      <c r="H616" s="382"/>
      <c r="I616" s="382"/>
      <c r="J616" s="382"/>
      <c r="K616" s="382"/>
      <c r="L616" s="382"/>
      <c r="M616" s="382"/>
      <c r="N616" s="382"/>
      <c r="O616" s="382"/>
      <c r="P616" s="382"/>
      <c r="Q616" s="382"/>
      <c r="R616" s="382"/>
      <c r="S616" s="382"/>
      <c r="T616" s="382"/>
    </row>
    <row r="617" spans="3:20" ht="18" x14ac:dyDescent="0.35">
      <c r="C617" s="382"/>
      <c r="D617" s="382"/>
      <c r="E617" s="382"/>
      <c r="F617" s="382"/>
      <c r="G617" s="382"/>
      <c r="H617" s="382"/>
      <c r="I617" s="382"/>
      <c r="J617" s="382"/>
      <c r="K617" s="382"/>
      <c r="L617" s="382"/>
      <c r="M617" s="382"/>
      <c r="N617" s="382"/>
      <c r="O617" s="382"/>
      <c r="P617" s="382"/>
      <c r="Q617" s="382"/>
      <c r="R617" s="382"/>
      <c r="S617" s="382"/>
      <c r="T617" s="382"/>
    </row>
    <row r="618" spans="3:20" ht="18" x14ac:dyDescent="0.35">
      <c r="C618" s="382"/>
      <c r="D618" s="382"/>
      <c r="E618" s="382"/>
      <c r="F618" s="382"/>
      <c r="G618" s="382"/>
      <c r="H618" s="382"/>
      <c r="I618" s="382"/>
      <c r="J618" s="382"/>
      <c r="K618" s="382"/>
      <c r="L618" s="382"/>
      <c r="M618" s="382"/>
      <c r="N618" s="382"/>
      <c r="O618" s="382"/>
      <c r="P618" s="382"/>
      <c r="Q618" s="382"/>
      <c r="R618" s="382"/>
      <c r="S618" s="382"/>
      <c r="T618" s="382"/>
    </row>
    <row r="619" spans="3:20" ht="18" x14ac:dyDescent="0.35">
      <c r="C619" s="382"/>
      <c r="D619" s="382"/>
      <c r="E619" s="382"/>
      <c r="F619" s="382"/>
      <c r="G619" s="382"/>
      <c r="H619" s="382"/>
      <c r="I619" s="382"/>
      <c r="J619" s="382"/>
      <c r="K619" s="382"/>
      <c r="L619" s="382"/>
      <c r="M619" s="382"/>
      <c r="N619" s="382"/>
      <c r="O619" s="382"/>
      <c r="P619" s="382"/>
      <c r="Q619" s="382"/>
      <c r="R619" s="382"/>
      <c r="S619" s="382"/>
      <c r="T619" s="382"/>
    </row>
    <row r="620" spans="3:20" ht="18" x14ac:dyDescent="0.35">
      <c r="C620" s="382"/>
      <c r="D620" s="382"/>
      <c r="E620" s="382"/>
      <c r="F620" s="382"/>
      <c r="G620" s="382"/>
      <c r="H620" s="382"/>
      <c r="I620" s="382"/>
      <c r="J620" s="382"/>
      <c r="K620" s="382"/>
      <c r="L620" s="382"/>
      <c r="M620" s="382"/>
      <c r="N620" s="382"/>
      <c r="O620" s="382"/>
      <c r="P620" s="382"/>
      <c r="Q620" s="382"/>
      <c r="R620" s="382"/>
      <c r="S620" s="382"/>
      <c r="T620" s="382"/>
    </row>
    <row r="621" spans="3:20" ht="18" x14ac:dyDescent="0.35">
      <c r="C621" s="382"/>
      <c r="D621" s="382"/>
      <c r="E621" s="382"/>
      <c r="F621" s="382"/>
      <c r="G621" s="382"/>
      <c r="H621" s="382"/>
      <c r="I621" s="382"/>
      <c r="J621" s="382"/>
      <c r="K621" s="382"/>
      <c r="L621" s="382"/>
      <c r="M621" s="382"/>
      <c r="N621" s="382"/>
      <c r="O621" s="382"/>
      <c r="P621" s="382"/>
      <c r="Q621" s="382"/>
      <c r="R621" s="382"/>
      <c r="S621" s="382"/>
      <c r="T621" s="382"/>
    </row>
    <row r="622" spans="3:20" ht="18" x14ac:dyDescent="0.35">
      <c r="C622" s="382"/>
      <c r="D622" s="382"/>
      <c r="E622" s="382"/>
      <c r="F622" s="382"/>
      <c r="G622" s="382"/>
      <c r="H622" s="382"/>
      <c r="I622" s="382"/>
      <c r="J622" s="382"/>
      <c r="K622" s="382"/>
      <c r="L622" s="382"/>
      <c r="M622" s="382"/>
      <c r="N622" s="382"/>
      <c r="O622" s="382"/>
      <c r="P622" s="382"/>
      <c r="Q622" s="382"/>
      <c r="R622" s="382"/>
      <c r="S622" s="382"/>
      <c r="T622" s="382"/>
    </row>
    <row r="623" spans="3:20" ht="18" x14ac:dyDescent="0.35">
      <c r="C623" s="382"/>
      <c r="D623" s="382"/>
      <c r="E623" s="382"/>
      <c r="F623" s="382"/>
      <c r="G623" s="382"/>
      <c r="H623" s="382"/>
      <c r="I623" s="382"/>
      <c r="J623" s="382"/>
      <c r="K623" s="382"/>
      <c r="L623" s="382"/>
      <c r="M623" s="382"/>
      <c r="N623" s="382"/>
      <c r="O623" s="382"/>
      <c r="P623" s="382"/>
      <c r="Q623" s="382"/>
      <c r="R623" s="382"/>
      <c r="S623" s="382"/>
      <c r="T623" s="382"/>
    </row>
    <row r="624" spans="3:20" ht="18" x14ac:dyDescent="0.35">
      <c r="C624" s="382"/>
      <c r="D624" s="382"/>
      <c r="E624" s="382"/>
      <c r="F624" s="382"/>
      <c r="G624" s="382"/>
      <c r="H624" s="382"/>
      <c r="I624" s="382"/>
      <c r="J624" s="382"/>
      <c r="K624" s="382"/>
      <c r="L624" s="382"/>
      <c r="M624" s="382"/>
      <c r="N624" s="382"/>
      <c r="O624" s="382"/>
      <c r="P624" s="382"/>
      <c r="Q624" s="382"/>
      <c r="R624" s="382"/>
      <c r="S624" s="382"/>
      <c r="T624" s="382"/>
    </row>
    <row r="625" spans="3:20" ht="18" x14ac:dyDescent="0.35">
      <c r="C625" s="382"/>
      <c r="D625" s="382"/>
      <c r="E625" s="382"/>
      <c r="F625" s="382"/>
      <c r="G625" s="382"/>
      <c r="H625" s="382"/>
      <c r="I625" s="382"/>
      <c r="J625" s="382"/>
      <c r="K625" s="382"/>
      <c r="L625" s="382"/>
      <c r="M625" s="382"/>
      <c r="N625" s="382"/>
      <c r="O625" s="382"/>
      <c r="P625" s="382"/>
      <c r="Q625" s="382"/>
      <c r="R625" s="382"/>
      <c r="S625" s="382"/>
      <c r="T625" s="382"/>
    </row>
    <row r="626" spans="3:20" ht="18" x14ac:dyDescent="0.35">
      <c r="C626" s="382"/>
      <c r="D626" s="382"/>
      <c r="E626" s="382"/>
      <c r="F626" s="382"/>
      <c r="G626" s="382"/>
      <c r="H626" s="382"/>
      <c r="I626" s="382"/>
      <c r="J626" s="382"/>
      <c r="K626" s="382"/>
      <c r="L626" s="382"/>
      <c r="M626" s="382"/>
      <c r="N626" s="382"/>
      <c r="O626" s="382"/>
      <c r="P626" s="382"/>
      <c r="Q626" s="382"/>
      <c r="R626" s="382"/>
      <c r="S626" s="382"/>
      <c r="T626" s="382"/>
    </row>
    <row r="627" spans="3:20" ht="18" x14ac:dyDescent="0.35">
      <c r="C627" s="382"/>
      <c r="D627" s="382"/>
      <c r="E627" s="382"/>
      <c r="F627" s="382"/>
      <c r="G627" s="382"/>
      <c r="H627" s="382"/>
      <c r="I627" s="382"/>
      <c r="J627" s="382"/>
      <c r="K627" s="382"/>
      <c r="L627" s="382"/>
      <c r="M627" s="382"/>
      <c r="N627" s="382"/>
      <c r="O627" s="382"/>
      <c r="P627" s="382"/>
      <c r="Q627" s="382"/>
      <c r="R627" s="382"/>
      <c r="S627" s="382"/>
      <c r="T627" s="382"/>
    </row>
    <row r="628" spans="3:20" ht="18" x14ac:dyDescent="0.35">
      <c r="C628" s="382"/>
      <c r="D628" s="382"/>
      <c r="E628" s="382"/>
      <c r="F628" s="382"/>
      <c r="G628" s="382"/>
      <c r="H628" s="382"/>
      <c r="I628" s="382"/>
      <c r="J628" s="382"/>
      <c r="K628" s="382"/>
      <c r="L628" s="382"/>
      <c r="M628" s="382"/>
      <c r="N628" s="382"/>
      <c r="O628" s="382"/>
      <c r="P628" s="382"/>
      <c r="Q628" s="382"/>
      <c r="R628" s="382"/>
      <c r="S628" s="382"/>
      <c r="T628" s="382"/>
    </row>
    <row r="629" spans="3:20" ht="18" x14ac:dyDescent="0.35">
      <c r="C629" s="382"/>
      <c r="D629" s="382"/>
      <c r="E629" s="382"/>
      <c r="F629" s="382"/>
      <c r="G629" s="382"/>
      <c r="H629" s="382"/>
      <c r="I629" s="382"/>
      <c r="J629" s="382"/>
      <c r="K629" s="382"/>
      <c r="L629" s="382"/>
      <c r="M629" s="382"/>
      <c r="N629" s="382"/>
      <c r="O629" s="382"/>
      <c r="P629" s="382"/>
      <c r="Q629" s="382"/>
      <c r="R629" s="382"/>
      <c r="S629" s="382"/>
      <c r="T629" s="382"/>
    </row>
    <row r="630" spans="3:20" ht="18" x14ac:dyDescent="0.35">
      <c r="C630" s="382"/>
      <c r="D630" s="382"/>
      <c r="E630" s="382"/>
      <c r="F630" s="382"/>
      <c r="G630" s="382"/>
      <c r="H630" s="382"/>
      <c r="I630" s="382"/>
      <c r="J630" s="382"/>
      <c r="K630" s="382"/>
      <c r="L630" s="382"/>
      <c r="M630" s="382"/>
      <c r="N630" s="382"/>
      <c r="O630" s="382"/>
      <c r="P630" s="382"/>
      <c r="Q630" s="382"/>
      <c r="R630" s="382"/>
      <c r="S630" s="382"/>
      <c r="T630" s="382"/>
    </row>
    <row r="631" spans="3:20" ht="18" x14ac:dyDescent="0.35">
      <c r="C631" s="382"/>
      <c r="D631" s="382"/>
      <c r="E631" s="382"/>
      <c r="F631" s="382"/>
      <c r="G631" s="382"/>
      <c r="H631" s="382"/>
      <c r="I631" s="382"/>
      <c r="J631" s="382"/>
      <c r="K631" s="382"/>
      <c r="L631" s="382"/>
      <c r="M631" s="382"/>
      <c r="N631" s="382"/>
      <c r="O631" s="382"/>
      <c r="P631" s="382"/>
      <c r="Q631" s="382"/>
      <c r="R631" s="382"/>
      <c r="S631" s="382"/>
      <c r="T631" s="382"/>
    </row>
    <row r="632" spans="3:20" ht="18" x14ac:dyDescent="0.35">
      <c r="C632" s="382"/>
      <c r="D632" s="382"/>
      <c r="E632" s="382"/>
      <c r="F632" s="382"/>
      <c r="G632" s="382"/>
      <c r="H632" s="382"/>
      <c r="I632" s="382"/>
      <c r="J632" s="382"/>
      <c r="K632" s="382"/>
      <c r="L632" s="382"/>
      <c r="M632" s="382"/>
      <c r="N632" s="382"/>
      <c r="O632" s="382"/>
      <c r="P632" s="382"/>
      <c r="Q632" s="382"/>
      <c r="R632" s="382"/>
      <c r="S632" s="382"/>
      <c r="T632" s="382"/>
    </row>
    <row r="633" spans="3:20" ht="18" x14ac:dyDescent="0.35">
      <c r="C633" s="382"/>
      <c r="D633" s="382"/>
      <c r="E633" s="382"/>
      <c r="F633" s="382"/>
      <c r="G633" s="382"/>
      <c r="H633" s="382"/>
      <c r="I633" s="382"/>
      <c r="J633" s="382"/>
      <c r="K633" s="382"/>
      <c r="L633" s="382"/>
      <c r="M633" s="382"/>
      <c r="N633" s="382"/>
      <c r="O633" s="382"/>
      <c r="P633" s="382"/>
      <c r="Q633" s="382"/>
      <c r="R633" s="382"/>
      <c r="S633" s="382"/>
      <c r="T633" s="382"/>
    </row>
    <row r="634" spans="3:20" ht="18" x14ac:dyDescent="0.35">
      <c r="C634" s="382"/>
      <c r="D634" s="382"/>
      <c r="E634" s="382"/>
      <c r="F634" s="382"/>
      <c r="G634" s="382"/>
      <c r="H634" s="382"/>
      <c r="I634" s="382"/>
      <c r="J634" s="382"/>
      <c r="K634" s="382"/>
      <c r="L634" s="382"/>
      <c r="M634" s="382"/>
      <c r="N634" s="382"/>
      <c r="O634" s="382"/>
      <c r="P634" s="382"/>
      <c r="Q634" s="382"/>
      <c r="R634" s="382"/>
      <c r="S634" s="382"/>
      <c r="T634" s="382"/>
    </row>
    <row r="635" spans="3:20" ht="18" x14ac:dyDescent="0.35">
      <c r="C635" s="382"/>
      <c r="D635" s="382"/>
      <c r="E635" s="382"/>
      <c r="F635" s="382"/>
      <c r="G635" s="382"/>
      <c r="H635" s="382"/>
      <c r="I635" s="382"/>
      <c r="J635" s="382"/>
      <c r="K635" s="382"/>
      <c r="L635" s="382"/>
      <c r="M635" s="382"/>
      <c r="N635" s="382"/>
      <c r="O635" s="382"/>
      <c r="P635" s="382"/>
      <c r="Q635" s="382"/>
      <c r="R635" s="382"/>
      <c r="S635" s="382"/>
      <c r="T635" s="382"/>
    </row>
    <row r="636" spans="3:20" ht="18" x14ac:dyDescent="0.35">
      <c r="C636" s="382"/>
      <c r="D636" s="382"/>
      <c r="E636" s="382"/>
      <c r="F636" s="382"/>
      <c r="G636" s="382"/>
      <c r="H636" s="382"/>
      <c r="I636" s="382"/>
      <c r="J636" s="382"/>
      <c r="K636" s="382"/>
      <c r="L636" s="382"/>
      <c r="M636" s="382"/>
      <c r="N636" s="382"/>
      <c r="O636" s="382"/>
      <c r="P636" s="382"/>
      <c r="Q636" s="382"/>
      <c r="R636" s="382"/>
      <c r="S636" s="382"/>
      <c r="T636" s="382"/>
    </row>
    <row r="637" spans="3:20" ht="18" x14ac:dyDescent="0.35">
      <c r="C637" s="382"/>
      <c r="D637" s="382"/>
      <c r="E637" s="382"/>
      <c r="F637" s="382"/>
      <c r="G637" s="382"/>
      <c r="H637" s="382"/>
      <c r="I637" s="382"/>
      <c r="J637" s="382"/>
      <c r="K637" s="382"/>
      <c r="L637" s="382"/>
      <c r="M637" s="382"/>
      <c r="N637" s="382"/>
      <c r="O637" s="382"/>
      <c r="P637" s="382"/>
      <c r="Q637" s="382"/>
      <c r="R637" s="382"/>
      <c r="S637" s="382"/>
      <c r="T637" s="382"/>
    </row>
    <row r="638" spans="3:20" ht="18" x14ac:dyDescent="0.35">
      <c r="C638" s="382"/>
      <c r="D638" s="382"/>
      <c r="E638" s="382"/>
      <c r="F638" s="382"/>
      <c r="G638" s="382"/>
      <c r="H638" s="382"/>
      <c r="I638" s="382"/>
      <c r="J638" s="382"/>
      <c r="K638" s="382"/>
      <c r="L638" s="382"/>
      <c r="M638" s="382"/>
      <c r="N638" s="382"/>
      <c r="O638" s="382"/>
      <c r="P638" s="382"/>
      <c r="Q638" s="382"/>
      <c r="R638" s="382"/>
      <c r="S638" s="382"/>
      <c r="T638" s="382"/>
    </row>
    <row r="639" spans="3:20" ht="18" x14ac:dyDescent="0.35">
      <c r="C639" s="382"/>
      <c r="D639" s="382"/>
      <c r="E639" s="382"/>
      <c r="F639" s="382"/>
      <c r="G639" s="382"/>
      <c r="H639" s="382"/>
      <c r="I639" s="382"/>
      <c r="J639" s="382"/>
      <c r="K639" s="382"/>
      <c r="L639" s="382"/>
      <c r="M639" s="382"/>
      <c r="N639" s="382"/>
      <c r="O639" s="382"/>
      <c r="P639" s="382"/>
      <c r="Q639" s="382"/>
      <c r="R639" s="382"/>
      <c r="S639" s="382"/>
      <c r="T639" s="382"/>
    </row>
    <row r="640" spans="3:20" ht="18" x14ac:dyDescent="0.35">
      <c r="C640" s="382"/>
      <c r="D640" s="382"/>
      <c r="E640" s="382"/>
      <c r="F640" s="382"/>
      <c r="G640" s="382"/>
      <c r="H640" s="382"/>
      <c r="I640" s="382"/>
      <c r="J640" s="382"/>
      <c r="K640" s="382"/>
      <c r="L640" s="382"/>
      <c r="M640" s="382"/>
      <c r="N640" s="382"/>
      <c r="O640" s="382"/>
      <c r="P640" s="382"/>
      <c r="Q640" s="382"/>
      <c r="R640" s="382"/>
      <c r="S640" s="382"/>
      <c r="T640" s="382"/>
    </row>
    <row r="641" spans="3:20" ht="18" x14ac:dyDescent="0.35">
      <c r="C641" s="382"/>
      <c r="D641" s="382"/>
      <c r="E641" s="382"/>
      <c r="F641" s="382"/>
      <c r="G641" s="382"/>
      <c r="H641" s="382"/>
      <c r="I641" s="382"/>
      <c r="J641" s="382"/>
      <c r="K641" s="382"/>
      <c r="L641" s="382"/>
      <c r="M641" s="382"/>
      <c r="N641" s="382"/>
      <c r="O641" s="382"/>
      <c r="P641" s="382"/>
      <c r="Q641" s="382"/>
      <c r="R641" s="382"/>
      <c r="S641" s="382"/>
      <c r="T641" s="382"/>
    </row>
    <row r="642" spans="3:20" ht="18" x14ac:dyDescent="0.35">
      <c r="C642" s="382"/>
      <c r="D642" s="382"/>
      <c r="E642" s="382"/>
      <c r="F642" s="382"/>
      <c r="G642" s="382"/>
      <c r="H642" s="382"/>
      <c r="I642" s="382"/>
      <c r="J642" s="382"/>
      <c r="K642" s="382"/>
      <c r="L642" s="382"/>
      <c r="M642" s="382"/>
      <c r="N642" s="382"/>
      <c r="O642" s="382"/>
      <c r="P642" s="382"/>
      <c r="Q642" s="382"/>
      <c r="R642" s="382"/>
      <c r="S642" s="382"/>
      <c r="T642" s="382"/>
    </row>
    <row r="643" spans="3:20" ht="18" x14ac:dyDescent="0.35">
      <c r="C643" s="382"/>
      <c r="D643" s="382"/>
      <c r="E643" s="382"/>
      <c r="F643" s="382"/>
      <c r="G643" s="382"/>
      <c r="H643" s="382"/>
      <c r="I643" s="382"/>
      <c r="J643" s="382"/>
      <c r="K643" s="382"/>
      <c r="L643" s="382"/>
      <c r="M643" s="382"/>
      <c r="N643" s="382"/>
      <c r="O643" s="382"/>
      <c r="P643" s="382"/>
      <c r="Q643" s="382"/>
      <c r="R643" s="382"/>
      <c r="S643" s="382"/>
      <c r="T643" s="382"/>
    </row>
    <row r="644" spans="3:20" ht="18" x14ac:dyDescent="0.35">
      <c r="C644" s="382"/>
      <c r="D644" s="382"/>
      <c r="E644" s="382"/>
      <c r="F644" s="382"/>
      <c r="G644" s="382"/>
      <c r="H644" s="382"/>
      <c r="I644" s="382"/>
      <c r="J644" s="382"/>
      <c r="K644" s="382"/>
      <c r="L644" s="382"/>
      <c r="M644" s="382"/>
      <c r="N644" s="382"/>
      <c r="O644" s="382"/>
      <c r="P644" s="382"/>
      <c r="Q644" s="382"/>
      <c r="R644" s="382"/>
      <c r="S644" s="382"/>
      <c r="T644" s="382"/>
    </row>
    <row r="645" spans="3:20" ht="18" x14ac:dyDescent="0.35">
      <c r="C645" s="382"/>
      <c r="D645" s="382"/>
      <c r="E645" s="382"/>
      <c r="F645" s="382"/>
      <c r="G645" s="382"/>
      <c r="H645" s="382"/>
      <c r="I645" s="382"/>
      <c r="J645" s="382"/>
      <c r="K645" s="382"/>
      <c r="L645" s="382"/>
      <c r="M645" s="382"/>
      <c r="N645" s="382"/>
      <c r="O645" s="382"/>
      <c r="P645" s="382"/>
      <c r="Q645" s="382"/>
      <c r="R645" s="382"/>
      <c r="S645" s="382"/>
      <c r="T645" s="382"/>
    </row>
    <row r="646" spans="3:20" ht="18" x14ac:dyDescent="0.35">
      <c r="C646" s="382"/>
      <c r="D646" s="382"/>
      <c r="E646" s="382"/>
      <c r="F646" s="382"/>
      <c r="G646" s="382"/>
      <c r="H646" s="382"/>
      <c r="I646" s="382"/>
      <c r="J646" s="382"/>
      <c r="K646" s="382"/>
      <c r="L646" s="382"/>
      <c r="M646" s="382"/>
      <c r="N646" s="382"/>
      <c r="O646" s="382"/>
      <c r="P646" s="382"/>
      <c r="Q646" s="382"/>
      <c r="R646" s="382"/>
      <c r="S646" s="382"/>
      <c r="T646" s="382"/>
    </row>
    <row r="647" spans="3:20" ht="18" x14ac:dyDescent="0.35">
      <c r="C647" s="382"/>
      <c r="D647" s="382"/>
      <c r="E647" s="382"/>
      <c r="F647" s="382"/>
      <c r="G647" s="382"/>
      <c r="H647" s="382"/>
      <c r="I647" s="382"/>
      <c r="J647" s="382"/>
      <c r="K647" s="382"/>
      <c r="L647" s="382"/>
      <c r="M647" s="382"/>
      <c r="N647" s="382"/>
      <c r="O647" s="382"/>
      <c r="P647" s="382"/>
      <c r="Q647" s="382"/>
      <c r="R647" s="382"/>
      <c r="S647" s="382"/>
      <c r="T647" s="382"/>
    </row>
    <row r="648" spans="3:20" ht="18" x14ac:dyDescent="0.35">
      <c r="C648" s="382"/>
      <c r="D648" s="382"/>
      <c r="E648" s="382"/>
      <c r="F648" s="382"/>
      <c r="G648" s="382"/>
      <c r="H648" s="382"/>
      <c r="I648" s="382"/>
      <c r="J648" s="382"/>
      <c r="K648" s="382"/>
      <c r="L648" s="382"/>
      <c r="M648" s="382"/>
      <c r="N648" s="382"/>
      <c r="O648" s="382"/>
      <c r="P648" s="382"/>
      <c r="Q648" s="382"/>
      <c r="R648" s="382"/>
      <c r="S648" s="382"/>
      <c r="T648" s="382"/>
    </row>
    <row r="649" spans="3:20" ht="18" x14ac:dyDescent="0.35">
      <c r="C649" s="382"/>
      <c r="D649" s="382"/>
      <c r="E649" s="382"/>
      <c r="F649" s="382"/>
      <c r="G649" s="382"/>
      <c r="H649" s="382"/>
      <c r="I649" s="382"/>
      <c r="J649" s="382"/>
      <c r="K649" s="382"/>
      <c r="L649" s="382"/>
      <c r="M649" s="382"/>
      <c r="N649" s="382"/>
      <c r="O649" s="382"/>
      <c r="P649" s="382"/>
      <c r="Q649" s="382"/>
      <c r="R649" s="382"/>
      <c r="S649" s="382"/>
      <c r="T649" s="382"/>
    </row>
    <row r="650" spans="3:20" ht="18" x14ac:dyDescent="0.35">
      <c r="C650" s="382"/>
      <c r="D650" s="382"/>
      <c r="E650" s="382"/>
      <c r="F650" s="382"/>
      <c r="G650" s="382"/>
      <c r="H650" s="382"/>
      <c r="I650" s="382"/>
      <c r="J650" s="382"/>
      <c r="K650" s="382"/>
      <c r="L650" s="382"/>
      <c r="M650" s="382"/>
      <c r="N650" s="382"/>
      <c r="O650" s="382"/>
      <c r="P650" s="382"/>
      <c r="Q650" s="382"/>
      <c r="R650" s="382"/>
      <c r="S650" s="382"/>
      <c r="T650" s="382"/>
    </row>
    <row r="651" spans="3:20" ht="18" x14ac:dyDescent="0.35">
      <c r="C651" s="382"/>
      <c r="D651" s="382"/>
      <c r="E651" s="382"/>
      <c r="F651" s="382"/>
      <c r="G651" s="382"/>
      <c r="H651" s="382"/>
      <c r="I651" s="382"/>
      <c r="J651" s="382"/>
      <c r="K651" s="382"/>
      <c r="L651" s="382"/>
      <c r="M651" s="382"/>
      <c r="N651" s="382"/>
      <c r="O651" s="382"/>
      <c r="P651" s="382"/>
      <c r="Q651" s="382"/>
      <c r="R651" s="382"/>
      <c r="S651" s="382"/>
      <c r="T651" s="382"/>
    </row>
    <row r="652" spans="3:20" ht="18" x14ac:dyDescent="0.35">
      <c r="C652" s="382"/>
      <c r="D652" s="382"/>
      <c r="E652" s="382"/>
      <c r="F652" s="382"/>
      <c r="G652" s="382"/>
      <c r="H652" s="382"/>
      <c r="I652" s="382"/>
      <c r="J652" s="382"/>
      <c r="K652" s="382"/>
      <c r="L652" s="382"/>
      <c r="M652" s="382"/>
      <c r="N652" s="382"/>
      <c r="O652" s="382"/>
      <c r="P652" s="382"/>
      <c r="Q652" s="382"/>
      <c r="R652" s="382"/>
      <c r="S652" s="382"/>
      <c r="T652" s="382"/>
    </row>
    <row r="653" spans="3:20" ht="18" x14ac:dyDescent="0.35">
      <c r="C653" s="382"/>
      <c r="D653" s="382"/>
      <c r="E653" s="382"/>
      <c r="F653" s="382"/>
      <c r="G653" s="382"/>
      <c r="H653" s="382"/>
      <c r="I653" s="382"/>
      <c r="J653" s="382"/>
      <c r="K653" s="382"/>
      <c r="L653" s="382"/>
      <c r="M653" s="382"/>
      <c r="N653" s="382"/>
      <c r="O653" s="382"/>
      <c r="P653" s="382"/>
      <c r="Q653" s="382"/>
      <c r="R653" s="382"/>
      <c r="S653" s="382"/>
      <c r="T653" s="382"/>
    </row>
    <row r="654" spans="3:20" ht="18" x14ac:dyDescent="0.35">
      <c r="C654" s="382"/>
      <c r="D654" s="382"/>
      <c r="E654" s="382"/>
      <c r="F654" s="382"/>
      <c r="G654" s="382"/>
      <c r="H654" s="382"/>
      <c r="I654" s="382"/>
      <c r="J654" s="382"/>
      <c r="K654" s="382"/>
      <c r="L654" s="382"/>
      <c r="M654" s="382"/>
      <c r="N654" s="382"/>
      <c r="O654" s="382"/>
      <c r="P654" s="382"/>
      <c r="Q654" s="382"/>
      <c r="R654" s="382"/>
      <c r="S654" s="382"/>
      <c r="T654" s="382"/>
    </row>
    <row r="655" spans="3:20" ht="18" x14ac:dyDescent="0.35">
      <c r="C655" s="382"/>
      <c r="D655" s="382"/>
      <c r="E655" s="382"/>
      <c r="F655" s="382"/>
      <c r="G655" s="382"/>
      <c r="H655" s="382"/>
      <c r="I655" s="382"/>
      <c r="J655" s="382"/>
      <c r="K655" s="382"/>
      <c r="L655" s="382"/>
      <c r="M655" s="382"/>
      <c r="N655" s="382"/>
      <c r="O655" s="382"/>
      <c r="P655" s="382"/>
      <c r="Q655" s="382"/>
      <c r="R655" s="382"/>
      <c r="S655" s="382"/>
      <c r="T655" s="382"/>
    </row>
    <row r="656" spans="3:20" ht="18" x14ac:dyDescent="0.35">
      <c r="C656" s="382"/>
      <c r="D656" s="382"/>
      <c r="E656" s="382"/>
      <c r="F656" s="382"/>
      <c r="G656" s="382"/>
      <c r="H656" s="382"/>
      <c r="I656" s="382"/>
      <c r="J656" s="382"/>
      <c r="K656" s="382"/>
      <c r="L656" s="382"/>
      <c r="M656" s="382"/>
      <c r="N656" s="382"/>
      <c r="O656" s="382"/>
      <c r="P656" s="382"/>
      <c r="Q656" s="382"/>
      <c r="R656" s="382"/>
      <c r="S656" s="382"/>
      <c r="T656" s="382"/>
    </row>
    <row r="657" spans="3:20" ht="18" x14ac:dyDescent="0.35">
      <c r="C657" s="382"/>
      <c r="D657" s="382"/>
      <c r="E657" s="382"/>
      <c r="F657" s="382"/>
      <c r="G657" s="382"/>
      <c r="H657" s="382"/>
      <c r="I657" s="382"/>
      <c r="J657" s="382"/>
      <c r="K657" s="382"/>
      <c r="L657" s="382"/>
      <c r="M657" s="382"/>
      <c r="N657" s="382"/>
      <c r="O657" s="382"/>
      <c r="P657" s="382"/>
      <c r="Q657" s="382"/>
      <c r="R657" s="382"/>
      <c r="S657" s="382"/>
      <c r="T657" s="382"/>
    </row>
    <row r="658" spans="3:20" ht="18" x14ac:dyDescent="0.35">
      <c r="C658" s="382"/>
      <c r="D658" s="382"/>
      <c r="E658" s="382"/>
      <c r="F658" s="382"/>
      <c r="G658" s="382"/>
      <c r="H658" s="382"/>
      <c r="I658" s="382"/>
      <c r="J658" s="382"/>
      <c r="K658" s="382"/>
      <c r="L658" s="382"/>
      <c r="M658" s="382"/>
      <c r="N658" s="382"/>
      <c r="O658" s="382"/>
      <c r="P658" s="382"/>
      <c r="Q658" s="382"/>
      <c r="R658" s="382"/>
      <c r="S658" s="382"/>
      <c r="T658" s="382"/>
    </row>
    <row r="659" spans="3:20" ht="18" x14ac:dyDescent="0.35">
      <c r="C659" s="382"/>
      <c r="D659" s="382"/>
      <c r="E659" s="382"/>
      <c r="F659" s="382"/>
      <c r="G659" s="382"/>
      <c r="H659" s="382"/>
      <c r="I659" s="382"/>
      <c r="J659" s="382"/>
      <c r="K659" s="382"/>
      <c r="L659" s="382"/>
      <c r="M659" s="382"/>
      <c r="N659" s="382"/>
      <c r="O659" s="382"/>
      <c r="P659" s="382"/>
      <c r="Q659" s="382"/>
      <c r="R659" s="382"/>
      <c r="S659" s="382"/>
      <c r="T659" s="382"/>
    </row>
    <row r="660" spans="3:20" ht="18" x14ac:dyDescent="0.35">
      <c r="C660" s="382"/>
      <c r="D660" s="382"/>
      <c r="E660" s="382"/>
      <c r="F660" s="382"/>
      <c r="G660" s="382"/>
      <c r="H660" s="382"/>
      <c r="I660" s="382"/>
      <c r="J660" s="382"/>
      <c r="K660" s="382"/>
      <c r="L660" s="382"/>
      <c r="M660" s="382"/>
      <c r="N660" s="382"/>
      <c r="O660" s="382"/>
      <c r="P660" s="382"/>
      <c r="Q660" s="382"/>
      <c r="R660" s="382"/>
      <c r="S660" s="382"/>
      <c r="T660" s="382"/>
    </row>
    <row r="661" spans="3:20" ht="18" x14ac:dyDescent="0.35">
      <c r="C661" s="382"/>
      <c r="D661" s="382"/>
      <c r="E661" s="382"/>
      <c r="F661" s="382"/>
      <c r="G661" s="382"/>
      <c r="H661" s="382"/>
      <c r="I661" s="382"/>
      <c r="J661" s="382"/>
      <c r="K661" s="382"/>
      <c r="L661" s="382"/>
      <c r="M661" s="382"/>
      <c r="N661" s="382"/>
      <c r="O661" s="382"/>
      <c r="P661" s="382"/>
      <c r="Q661" s="382"/>
      <c r="R661" s="382"/>
      <c r="S661" s="382"/>
      <c r="T661" s="382"/>
    </row>
    <row r="662" spans="3:20" ht="18" x14ac:dyDescent="0.35">
      <c r="C662" s="382"/>
      <c r="D662" s="382"/>
      <c r="E662" s="382"/>
      <c r="F662" s="382"/>
      <c r="G662" s="382"/>
      <c r="H662" s="382"/>
      <c r="I662" s="382"/>
      <c r="J662" s="382"/>
      <c r="K662" s="382"/>
      <c r="L662" s="382"/>
      <c r="M662" s="382"/>
      <c r="N662" s="382"/>
      <c r="O662" s="382"/>
      <c r="P662" s="382"/>
      <c r="Q662" s="382"/>
      <c r="R662" s="382"/>
      <c r="S662" s="382"/>
      <c r="T662" s="382"/>
    </row>
    <row r="663" spans="3:20" ht="18" x14ac:dyDescent="0.35">
      <c r="C663" s="382"/>
      <c r="D663" s="382"/>
      <c r="E663" s="382"/>
      <c r="F663" s="382"/>
      <c r="G663" s="382"/>
      <c r="H663" s="382"/>
      <c r="I663" s="382"/>
      <c r="J663" s="382"/>
      <c r="K663" s="382"/>
      <c r="L663" s="382"/>
      <c r="M663" s="382"/>
      <c r="N663" s="382"/>
      <c r="O663" s="382"/>
      <c r="P663" s="382"/>
      <c r="Q663" s="382"/>
      <c r="R663" s="382"/>
      <c r="S663" s="382"/>
      <c r="T663" s="382"/>
    </row>
    <row r="664" spans="3:20" ht="18" x14ac:dyDescent="0.35">
      <c r="C664" s="382"/>
      <c r="D664" s="382"/>
      <c r="E664" s="382"/>
      <c r="F664" s="382"/>
      <c r="G664" s="382"/>
      <c r="H664" s="382"/>
      <c r="I664" s="382"/>
      <c r="J664" s="382"/>
      <c r="K664" s="382"/>
      <c r="L664" s="382"/>
      <c r="M664" s="382"/>
      <c r="N664" s="382"/>
      <c r="O664" s="382"/>
      <c r="P664" s="382"/>
      <c r="Q664" s="382"/>
      <c r="R664" s="382"/>
      <c r="S664" s="382"/>
      <c r="T664" s="382"/>
    </row>
    <row r="665" spans="3:20" ht="18" x14ac:dyDescent="0.35">
      <c r="C665" s="382"/>
      <c r="D665" s="382"/>
      <c r="E665" s="382"/>
      <c r="F665" s="382"/>
      <c r="G665" s="382"/>
      <c r="H665" s="382"/>
      <c r="I665" s="382"/>
      <c r="J665" s="382"/>
      <c r="K665" s="382"/>
      <c r="L665" s="382"/>
      <c r="M665" s="382"/>
      <c r="N665" s="382"/>
      <c r="O665" s="382"/>
      <c r="P665" s="382"/>
      <c r="Q665" s="382"/>
      <c r="R665" s="382"/>
      <c r="S665" s="382"/>
      <c r="T665" s="382"/>
    </row>
    <row r="666" spans="3:20" ht="18" x14ac:dyDescent="0.35">
      <c r="C666" s="382"/>
      <c r="D666" s="382"/>
      <c r="E666" s="382"/>
      <c r="F666" s="382"/>
      <c r="G666" s="382"/>
      <c r="H666" s="382"/>
      <c r="I666" s="382"/>
      <c r="J666" s="382"/>
      <c r="K666" s="382"/>
      <c r="L666" s="382"/>
      <c r="M666" s="382"/>
      <c r="N666" s="382"/>
      <c r="O666" s="382"/>
      <c r="P666" s="382"/>
      <c r="Q666" s="382"/>
      <c r="R666" s="382"/>
      <c r="S666" s="382"/>
      <c r="T666" s="382"/>
    </row>
    <row r="667" spans="3:20" ht="18" x14ac:dyDescent="0.35">
      <c r="C667" s="382"/>
      <c r="D667" s="382"/>
      <c r="E667" s="382"/>
      <c r="F667" s="382"/>
      <c r="G667" s="382"/>
      <c r="H667" s="382"/>
      <c r="I667" s="382"/>
      <c r="J667" s="382"/>
      <c r="K667" s="382"/>
      <c r="L667" s="382"/>
      <c r="M667" s="382"/>
      <c r="N667" s="382"/>
      <c r="O667" s="382"/>
      <c r="P667" s="382"/>
      <c r="Q667" s="382"/>
      <c r="R667" s="382"/>
      <c r="S667" s="382"/>
      <c r="T667" s="382"/>
    </row>
    <row r="668" spans="3:20" ht="18" x14ac:dyDescent="0.35">
      <c r="C668" s="382"/>
      <c r="D668" s="382"/>
      <c r="E668" s="382"/>
      <c r="F668" s="382"/>
      <c r="G668" s="382"/>
      <c r="H668" s="382"/>
      <c r="I668" s="382"/>
      <c r="J668" s="382"/>
      <c r="K668" s="382"/>
      <c r="L668" s="382"/>
      <c r="M668" s="382"/>
      <c r="N668" s="382"/>
      <c r="O668" s="382"/>
      <c r="P668" s="382"/>
      <c r="Q668" s="382"/>
      <c r="R668" s="382"/>
      <c r="S668" s="382"/>
      <c r="T668" s="382"/>
    </row>
    <row r="669" spans="3:20" ht="18" x14ac:dyDescent="0.35">
      <c r="C669" s="382"/>
      <c r="D669" s="382"/>
      <c r="E669" s="382"/>
      <c r="F669" s="382"/>
      <c r="G669" s="382"/>
      <c r="H669" s="382"/>
      <c r="I669" s="382"/>
      <c r="J669" s="382"/>
      <c r="K669" s="382"/>
      <c r="L669" s="382"/>
      <c r="M669" s="382"/>
      <c r="N669" s="382"/>
      <c r="O669" s="382"/>
      <c r="P669" s="382"/>
      <c r="Q669" s="382"/>
      <c r="R669" s="382"/>
      <c r="S669" s="382"/>
      <c r="T669" s="382"/>
    </row>
    <row r="670" spans="3:20" ht="18" x14ac:dyDescent="0.35">
      <c r="C670" s="382"/>
      <c r="D670" s="382"/>
      <c r="E670" s="382"/>
      <c r="F670" s="382"/>
      <c r="G670" s="382"/>
      <c r="H670" s="382"/>
      <c r="I670" s="382"/>
      <c r="J670" s="382"/>
      <c r="K670" s="382"/>
      <c r="L670" s="382"/>
      <c r="M670" s="382"/>
      <c r="N670" s="382"/>
      <c r="O670" s="382"/>
      <c r="P670" s="382"/>
      <c r="Q670" s="382"/>
      <c r="R670" s="382"/>
      <c r="S670" s="382"/>
      <c r="T670" s="382"/>
    </row>
    <row r="671" spans="3:20" ht="18" x14ac:dyDescent="0.35">
      <c r="C671" s="382"/>
      <c r="D671" s="382"/>
      <c r="E671" s="382"/>
      <c r="F671" s="382"/>
      <c r="G671" s="382"/>
      <c r="H671" s="382"/>
      <c r="I671" s="382"/>
      <c r="J671" s="382"/>
      <c r="K671" s="382"/>
      <c r="L671" s="382"/>
      <c r="M671" s="382"/>
      <c r="N671" s="382"/>
      <c r="O671" s="382"/>
      <c r="P671" s="382"/>
      <c r="Q671" s="382"/>
      <c r="R671" s="382"/>
      <c r="S671" s="382"/>
      <c r="T671" s="382"/>
    </row>
    <row r="672" spans="3:20" ht="18" x14ac:dyDescent="0.35">
      <c r="C672" s="382"/>
      <c r="D672" s="382"/>
      <c r="E672" s="382"/>
      <c r="F672" s="382"/>
      <c r="G672" s="382"/>
      <c r="H672" s="382"/>
      <c r="I672" s="382"/>
      <c r="J672" s="382"/>
      <c r="K672" s="382"/>
      <c r="L672" s="382"/>
      <c r="M672" s="382"/>
      <c r="N672" s="382"/>
      <c r="O672" s="382"/>
      <c r="P672" s="382"/>
      <c r="Q672" s="382"/>
      <c r="R672" s="382"/>
      <c r="S672" s="382"/>
      <c r="T672" s="382"/>
    </row>
    <row r="673" spans="3:20" ht="18" x14ac:dyDescent="0.35">
      <c r="C673" s="382"/>
      <c r="D673" s="382"/>
      <c r="E673" s="382"/>
      <c r="F673" s="382"/>
      <c r="G673" s="382"/>
      <c r="H673" s="382"/>
      <c r="I673" s="382"/>
      <c r="J673" s="382"/>
      <c r="K673" s="382"/>
      <c r="L673" s="382"/>
      <c r="M673" s="382"/>
      <c r="N673" s="382"/>
      <c r="O673" s="382"/>
      <c r="P673" s="382"/>
      <c r="Q673" s="382"/>
      <c r="R673" s="382"/>
      <c r="S673" s="382"/>
      <c r="T673" s="382"/>
    </row>
    <row r="674" spans="3:20" ht="18" x14ac:dyDescent="0.35">
      <c r="C674" s="382"/>
      <c r="D674" s="382"/>
      <c r="E674" s="382"/>
      <c r="F674" s="382"/>
      <c r="G674" s="382"/>
      <c r="H674" s="382"/>
      <c r="I674" s="382"/>
      <c r="J674" s="382"/>
      <c r="K674" s="382"/>
      <c r="L674" s="382"/>
      <c r="M674" s="382"/>
      <c r="N674" s="382"/>
      <c r="O674" s="382"/>
      <c r="P674" s="382"/>
      <c r="Q674" s="382"/>
      <c r="R674" s="382"/>
      <c r="S674" s="382"/>
      <c r="T674" s="382"/>
    </row>
    <row r="675" spans="3:20" ht="18" x14ac:dyDescent="0.35">
      <c r="C675" s="382"/>
      <c r="D675" s="382"/>
      <c r="E675" s="382"/>
      <c r="F675" s="382"/>
      <c r="G675" s="382"/>
      <c r="H675" s="382"/>
      <c r="I675" s="382"/>
      <c r="J675" s="382"/>
      <c r="K675" s="382"/>
      <c r="L675" s="382"/>
      <c r="M675" s="382"/>
      <c r="N675" s="382"/>
      <c r="O675" s="382"/>
      <c r="P675" s="382"/>
      <c r="Q675" s="382"/>
      <c r="R675" s="382"/>
      <c r="S675" s="382"/>
      <c r="T675" s="382"/>
    </row>
    <row r="676" spans="3:20" ht="18" x14ac:dyDescent="0.35">
      <c r="C676" s="382"/>
      <c r="D676" s="382"/>
      <c r="E676" s="382"/>
      <c r="F676" s="382"/>
      <c r="G676" s="382"/>
      <c r="H676" s="382"/>
      <c r="I676" s="382"/>
      <c r="J676" s="382"/>
      <c r="K676" s="382"/>
      <c r="L676" s="382"/>
      <c r="M676" s="382"/>
      <c r="N676" s="382"/>
      <c r="O676" s="382"/>
      <c r="P676" s="382"/>
      <c r="Q676" s="382"/>
      <c r="R676" s="382"/>
      <c r="S676" s="382"/>
      <c r="T676" s="382"/>
    </row>
    <row r="677" spans="3:20" ht="18" x14ac:dyDescent="0.35">
      <c r="C677" s="382"/>
      <c r="D677" s="382"/>
      <c r="E677" s="382"/>
      <c r="F677" s="382"/>
      <c r="G677" s="382"/>
      <c r="H677" s="382"/>
      <c r="I677" s="382"/>
      <c r="J677" s="382"/>
      <c r="K677" s="382"/>
      <c r="L677" s="382"/>
      <c r="M677" s="382"/>
      <c r="N677" s="382"/>
      <c r="O677" s="382"/>
      <c r="P677" s="382"/>
      <c r="Q677" s="382"/>
      <c r="R677" s="382"/>
      <c r="S677" s="382"/>
      <c r="T677" s="382"/>
    </row>
    <row r="678" spans="3:20" ht="18" x14ac:dyDescent="0.35">
      <c r="C678" s="382"/>
      <c r="D678" s="382"/>
      <c r="E678" s="382"/>
      <c r="F678" s="382"/>
      <c r="G678" s="382"/>
      <c r="H678" s="382"/>
      <c r="I678" s="382"/>
      <c r="J678" s="382"/>
      <c r="K678" s="382"/>
      <c r="L678" s="382"/>
      <c r="M678" s="382"/>
      <c r="N678" s="382"/>
      <c r="O678" s="382"/>
      <c r="P678" s="382"/>
      <c r="Q678" s="382"/>
      <c r="R678" s="382"/>
      <c r="S678" s="382"/>
      <c r="T678" s="382"/>
    </row>
    <row r="679" spans="3:20" ht="18" x14ac:dyDescent="0.35">
      <c r="C679" s="382"/>
      <c r="D679" s="382"/>
      <c r="E679" s="382"/>
      <c r="F679" s="382"/>
      <c r="G679" s="382"/>
      <c r="H679" s="382"/>
      <c r="I679" s="382"/>
      <c r="J679" s="382"/>
      <c r="K679" s="382"/>
      <c r="L679" s="382"/>
      <c r="M679" s="382"/>
      <c r="N679" s="382"/>
      <c r="O679" s="382"/>
      <c r="P679" s="382"/>
      <c r="Q679" s="382"/>
      <c r="R679" s="382"/>
      <c r="S679" s="382"/>
      <c r="T679" s="382"/>
    </row>
    <row r="680" spans="3:20" ht="18" x14ac:dyDescent="0.35">
      <c r="C680" s="382"/>
      <c r="D680" s="382"/>
      <c r="E680" s="382"/>
      <c r="F680" s="382"/>
      <c r="G680" s="382"/>
      <c r="H680" s="382"/>
      <c r="I680" s="382"/>
      <c r="J680" s="382"/>
      <c r="K680" s="382"/>
      <c r="L680" s="382"/>
      <c r="M680" s="382"/>
      <c r="N680" s="382"/>
      <c r="O680" s="382"/>
      <c r="P680" s="382"/>
      <c r="Q680" s="382"/>
      <c r="R680" s="382"/>
      <c r="S680" s="382"/>
      <c r="T680" s="382"/>
    </row>
    <row r="681" spans="3:20" ht="18" x14ac:dyDescent="0.35">
      <c r="C681" s="382"/>
      <c r="D681" s="382"/>
      <c r="E681" s="382"/>
      <c r="F681" s="382"/>
      <c r="G681" s="382"/>
      <c r="H681" s="382"/>
      <c r="I681" s="382"/>
      <c r="J681" s="382"/>
      <c r="K681" s="382"/>
      <c r="L681" s="382"/>
      <c r="M681" s="382"/>
      <c r="N681" s="382"/>
      <c r="O681" s="382"/>
      <c r="P681" s="382"/>
      <c r="Q681" s="382"/>
      <c r="R681" s="382"/>
      <c r="S681" s="382"/>
      <c r="T681" s="382"/>
    </row>
    <row r="682" spans="3:20" ht="18" x14ac:dyDescent="0.35">
      <c r="C682" s="382"/>
      <c r="D682" s="382"/>
      <c r="E682" s="382"/>
      <c r="F682" s="382"/>
      <c r="G682" s="382"/>
      <c r="H682" s="382"/>
      <c r="I682" s="382"/>
      <c r="J682" s="382"/>
      <c r="K682" s="382"/>
      <c r="L682" s="382"/>
      <c r="M682" s="382"/>
      <c r="N682" s="382"/>
      <c r="O682" s="382"/>
      <c r="P682" s="382"/>
      <c r="Q682" s="382"/>
      <c r="R682" s="382"/>
      <c r="S682" s="382"/>
      <c r="T682" s="382"/>
    </row>
    <row r="683" spans="3:20" ht="18" x14ac:dyDescent="0.35">
      <c r="C683" s="382"/>
      <c r="D683" s="382"/>
      <c r="E683" s="382"/>
      <c r="F683" s="382"/>
      <c r="G683" s="382"/>
      <c r="H683" s="382"/>
      <c r="I683" s="382"/>
      <c r="J683" s="382"/>
      <c r="K683" s="382"/>
      <c r="L683" s="382"/>
      <c r="M683" s="382"/>
      <c r="N683" s="382"/>
      <c r="O683" s="382"/>
      <c r="P683" s="382"/>
      <c r="Q683" s="382"/>
      <c r="R683" s="382"/>
      <c r="S683" s="382"/>
      <c r="T683" s="382"/>
    </row>
    <row r="684" spans="3:20" ht="18" x14ac:dyDescent="0.35">
      <c r="C684" s="382"/>
      <c r="D684" s="382"/>
      <c r="E684" s="382"/>
      <c r="F684" s="382"/>
      <c r="G684" s="382"/>
      <c r="H684" s="382"/>
      <c r="I684" s="382"/>
      <c r="J684" s="382"/>
      <c r="K684" s="382"/>
      <c r="L684" s="382"/>
      <c r="M684" s="382"/>
      <c r="N684" s="382"/>
      <c r="O684" s="382"/>
      <c r="P684" s="382"/>
      <c r="Q684" s="382"/>
      <c r="R684" s="382"/>
      <c r="S684" s="382"/>
      <c r="T684" s="382"/>
    </row>
    <row r="685" spans="3:20" ht="18" x14ac:dyDescent="0.35">
      <c r="C685" s="382"/>
      <c r="D685" s="382"/>
      <c r="E685" s="382"/>
      <c r="F685" s="382"/>
      <c r="G685" s="382"/>
      <c r="H685" s="382"/>
      <c r="I685" s="382"/>
      <c r="J685" s="382"/>
      <c r="K685" s="382"/>
      <c r="L685" s="382"/>
      <c r="M685" s="382"/>
      <c r="N685" s="382"/>
      <c r="O685" s="382"/>
      <c r="P685" s="382"/>
      <c r="Q685" s="382"/>
      <c r="R685" s="382"/>
      <c r="S685" s="382"/>
      <c r="T685" s="382"/>
    </row>
    <row r="686" spans="3:20" ht="18" x14ac:dyDescent="0.35">
      <c r="C686" s="382"/>
      <c r="D686" s="382"/>
      <c r="E686" s="382"/>
      <c r="F686" s="382"/>
      <c r="G686" s="382"/>
      <c r="H686" s="382"/>
      <c r="I686" s="382"/>
      <c r="J686" s="382"/>
      <c r="K686" s="382"/>
      <c r="L686" s="382"/>
      <c r="M686" s="382"/>
      <c r="N686" s="382"/>
      <c r="O686" s="382"/>
      <c r="P686" s="382"/>
      <c r="Q686" s="382"/>
      <c r="R686" s="382"/>
      <c r="S686" s="382"/>
      <c r="T686" s="382"/>
    </row>
    <row r="687" spans="3:20" ht="18" x14ac:dyDescent="0.35">
      <c r="C687" s="382"/>
      <c r="D687" s="382"/>
      <c r="E687" s="382"/>
      <c r="F687" s="382"/>
      <c r="G687" s="382"/>
      <c r="H687" s="382"/>
      <c r="I687" s="382"/>
      <c r="J687" s="382"/>
      <c r="K687" s="382"/>
      <c r="L687" s="382"/>
      <c r="M687" s="382"/>
      <c r="N687" s="382"/>
      <c r="O687" s="382"/>
      <c r="P687" s="382"/>
      <c r="Q687" s="382"/>
      <c r="R687" s="382"/>
      <c r="S687" s="382"/>
      <c r="T687" s="382"/>
    </row>
    <row r="688" spans="3:20" ht="18" x14ac:dyDescent="0.35">
      <c r="C688" s="382"/>
      <c r="D688" s="382"/>
      <c r="E688" s="382"/>
      <c r="F688" s="382"/>
      <c r="G688" s="382"/>
      <c r="H688" s="382"/>
      <c r="I688" s="382"/>
      <c r="J688" s="382"/>
      <c r="K688" s="382"/>
      <c r="L688" s="382"/>
      <c r="M688" s="382"/>
      <c r="N688" s="382"/>
      <c r="O688" s="382"/>
      <c r="P688" s="382"/>
      <c r="Q688" s="382"/>
      <c r="R688" s="382"/>
      <c r="S688" s="382"/>
      <c r="T688" s="382"/>
    </row>
    <row r="689" spans="3:20" ht="18" x14ac:dyDescent="0.35">
      <c r="C689" s="382"/>
      <c r="D689" s="382"/>
      <c r="E689" s="382"/>
      <c r="F689" s="382"/>
      <c r="G689" s="382"/>
      <c r="H689" s="382"/>
      <c r="I689" s="382"/>
      <c r="J689" s="382"/>
      <c r="K689" s="382"/>
      <c r="L689" s="382"/>
      <c r="M689" s="382"/>
      <c r="N689" s="382"/>
      <c r="O689" s="382"/>
      <c r="P689" s="382"/>
      <c r="Q689" s="382"/>
      <c r="R689" s="382"/>
      <c r="S689" s="382"/>
      <c r="T689" s="382"/>
    </row>
    <row r="690" spans="3:20" ht="18" x14ac:dyDescent="0.35">
      <c r="C690" s="382"/>
      <c r="D690" s="382"/>
      <c r="E690" s="382"/>
      <c r="F690" s="382"/>
      <c r="G690" s="382"/>
      <c r="H690" s="382"/>
      <c r="I690" s="382"/>
      <c r="J690" s="382"/>
      <c r="K690" s="382"/>
      <c r="L690" s="382"/>
      <c r="M690" s="382"/>
      <c r="N690" s="382"/>
      <c r="O690" s="382"/>
      <c r="P690" s="382"/>
      <c r="Q690" s="382"/>
      <c r="R690" s="382"/>
      <c r="S690" s="382"/>
      <c r="T690" s="382"/>
    </row>
    <row r="691" spans="3:20" ht="18" x14ac:dyDescent="0.35">
      <c r="C691" s="382"/>
      <c r="D691" s="382"/>
      <c r="E691" s="382"/>
      <c r="F691" s="382"/>
      <c r="G691" s="382"/>
      <c r="H691" s="382"/>
      <c r="I691" s="382"/>
      <c r="J691" s="382"/>
      <c r="K691" s="382"/>
      <c r="L691" s="382"/>
      <c r="M691" s="382"/>
      <c r="N691" s="382"/>
      <c r="O691" s="382"/>
      <c r="P691" s="382"/>
      <c r="Q691" s="382"/>
      <c r="R691" s="382"/>
      <c r="S691" s="382"/>
      <c r="T691" s="382"/>
    </row>
    <row r="692" spans="3:20" ht="18" x14ac:dyDescent="0.35">
      <c r="C692" s="382"/>
      <c r="D692" s="382"/>
      <c r="E692" s="382"/>
      <c r="F692" s="382"/>
      <c r="G692" s="382"/>
      <c r="H692" s="382"/>
      <c r="I692" s="382"/>
      <c r="J692" s="382"/>
      <c r="K692" s="382"/>
      <c r="L692" s="382"/>
      <c r="M692" s="382"/>
      <c r="N692" s="382"/>
      <c r="O692" s="382"/>
      <c r="P692" s="382"/>
      <c r="Q692" s="382"/>
      <c r="R692" s="382"/>
      <c r="S692" s="382"/>
      <c r="T692" s="382"/>
    </row>
    <row r="693" spans="3:20" ht="18" x14ac:dyDescent="0.35">
      <c r="C693" s="382"/>
      <c r="D693" s="382"/>
      <c r="E693" s="382"/>
      <c r="F693" s="382"/>
      <c r="G693" s="382"/>
      <c r="H693" s="382"/>
      <c r="I693" s="382"/>
      <c r="J693" s="382"/>
      <c r="K693" s="382"/>
      <c r="L693" s="382"/>
      <c r="M693" s="382"/>
      <c r="N693" s="382"/>
      <c r="O693" s="382"/>
      <c r="P693" s="382"/>
      <c r="Q693" s="382"/>
      <c r="R693" s="382"/>
      <c r="S693" s="382"/>
      <c r="T693" s="382"/>
    </row>
    <row r="694" spans="3:20" ht="18" x14ac:dyDescent="0.35">
      <c r="C694" s="382"/>
      <c r="D694" s="382"/>
      <c r="E694" s="382"/>
      <c r="F694" s="382"/>
      <c r="G694" s="382"/>
      <c r="H694" s="382"/>
      <c r="I694" s="382"/>
      <c r="J694" s="382"/>
      <c r="K694" s="382"/>
      <c r="L694" s="382"/>
      <c r="M694" s="382"/>
      <c r="N694" s="382"/>
      <c r="O694" s="382"/>
      <c r="P694" s="382"/>
      <c r="Q694" s="382"/>
      <c r="R694" s="382"/>
      <c r="S694" s="382"/>
      <c r="T694" s="382"/>
    </row>
    <row r="695" spans="3:20" ht="18" x14ac:dyDescent="0.35">
      <c r="C695" s="382"/>
      <c r="D695" s="382"/>
      <c r="E695" s="382"/>
      <c r="F695" s="382"/>
      <c r="G695" s="382"/>
      <c r="H695" s="382"/>
      <c r="I695" s="382"/>
      <c r="J695" s="382"/>
      <c r="K695" s="382"/>
      <c r="L695" s="382"/>
      <c r="M695" s="382"/>
      <c r="N695" s="382"/>
      <c r="O695" s="382"/>
      <c r="P695" s="382"/>
      <c r="Q695" s="382"/>
      <c r="R695" s="382"/>
      <c r="S695" s="382"/>
      <c r="T695" s="382"/>
    </row>
    <row r="696" spans="3:20" ht="18" x14ac:dyDescent="0.35">
      <c r="C696" s="382"/>
      <c r="D696" s="382"/>
      <c r="E696" s="382"/>
      <c r="F696" s="382"/>
      <c r="G696" s="382"/>
      <c r="H696" s="382"/>
      <c r="I696" s="382"/>
      <c r="J696" s="382"/>
      <c r="K696" s="382"/>
      <c r="L696" s="382"/>
      <c r="M696" s="382"/>
      <c r="N696" s="382"/>
      <c r="O696" s="382"/>
      <c r="P696" s="382"/>
      <c r="Q696" s="382"/>
      <c r="R696" s="382"/>
      <c r="S696" s="382"/>
      <c r="T696" s="382"/>
    </row>
    <row r="697" spans="3:20" ht="18" x14ac:dyDescent="0.35">
      <c r="C697" s="382"/>
      <c r="D697" s="382"/>
      <c r="E697" s="382"/>
      <c r="F697" s="382"/>
      <c r="G697" s="382"/>
      <c r="H697" s="382"/>
      <c r="I697" s="382"/>
      <c r="J697" s="382"/>
      <c r="K697" s="382"/>
      <c r="L697" s="382"/>
      <c r="M697" s="382"/>
      <c r="N697" s="382"/>
      <c r="O697" s="382"/>
      <c r="P697" s="382"/>
      <c r="Q697" s="382"/>
      <c r="R697" s="382"/>
      <c r="S697" s="382"/>
      <c r="T697" s="382"/>
    </row>
    <row r="698" spans="3:20" ht="18" x14ac:dyDescent="0.35">
      <c r="C698" s="382"/>
      <c r="D698" s="382"/>
      <c r="E698" s="382"/>
      <c r="F698" s="382"/>
      <c r="G698" s="382"/>
      <c r="H698" s="382"/>
      <c r="I698" s="382"/>
      <c r="J698" s="382"/>
      <c r="K698" s="382"/>
      <c r="L698" s="382"/>
      <c r="M698" s="382"/>
      <c r="N698" s="382"/>
      <c r="O698" s="382"/>
      <c r="P698" s="382"/>
      <c r="Q698" s="382"/>
      <c r="R698" s="382"/>
      <c r="S698" s="382"/>
      <c r="T698" s="382"/>
    </row>
    <row r="699" spans="3:20" ht="18" x14ac:dyDescent="0.35">
      <c r="C699" s="382"/>
      <c r="D699" s="382"/>
      <c r="E699" s="382"/>
      <c r="F699" s="382"/>
      <c r="G699" s="382"/>
      <c r="H699" s="382"/>
      <c r="I699" s="382"/>
      <c r="J699" s="382"/>
      <c r="K699" s="382"/>
      <c r="L699" s="382"/>
      <c r="M699" s="382"/>
      <c r="N699" s="382"/>
      <c r="O699" s="382"/>
      <c r="P699" s="382"/>
      <c r="Q699" s="382"/>
      <c r="R699" s="382"/>
      <c r="S699" s="382"/>
      <c r="T699" s="382"/>
    </row>
    <row r="700" spans="3:20" ht="18" x14ac:dyDescent="0.35">
      <c r="C700" s="382"/>
      <c r="D700" s="382"/>
      <c r="E700" s="382"/>
      <c r="F700" s="382"/>
      <c r="G700" s="382"/>
      <c r="H700" s="382"/>
      <c r="I700" s="382"/>
      <c r="J700" s="382"/>
      <c r="K700" s="382"/>
      <c r="L700" s="382"/>
      <c r="M700" s="382"/>
      <c r="N700" s="382"/>
      <c r="O700" s="382"/>
      <c r="P700" s="382"/>
      <c r="Q700" s="382"/>
      <c r="R700" s="382"/>
      <c r="S700" s="382"/>
      <c r="T700" s="382"/>
    </row>
    <row r="701" spans="3:20" ht="18" x14ac:dyDescent="0.35">
      <c r="C701" s="382"/>
      <c r="D701" s="382"/>
      <c r="E701" s="382"/>
      <c r="F701" s="382"/>
      <c r="G701" s="382"/>
      <c r="H701" s="382"/>
      <c r="I701" s="382"/>
      <c r="J701" s="382"/>
      <c r="K701" s="382"/>
      <c r="L701" s="382"/>
      <c r="M701" s="382"/>
      <c r="N701" s="382"/>
      <c r="O701" s="382"/>
      <c r="P701" s="382"/>
      <c r="Q701" s="382"/>
      <c r="R701" s="382"/>
      <c r="S701" s="382"/>
      <c r="T701" s="382"/>
    </row>
    <row r="702" spans="3:20" ht="18" x14ac:dyDescent="0.35">
      <c r="C702" s="382"/>
      <c r="D702" s="382"/>
      <c r="E702" s="382"/>
      <c r="F702" s="382"/>
      <c r="G702" s="382"/>
      <c r="H702" s="382"/>
      <c r="I702" s="382"/>
      <c r="J702" s="382"/>
      <c r="K702" s="382"/>
      <c r="L702" s="382"/>
      <c r="M702" s="382"/>
      <c r="N702" s="382"/>
      <c r="O702" s="382"/>
      <c r="P702" s="382"/>
      <c r="Q702" s="382"/>
      <c r="R702" s="382"/>
      <c r="S702" s="382"/>
      <c r="T702" s="382"/>
    </row>
    <row r="703" spans="3:20" ht="18" x14ac:dyDescent="0.35">
      <c r="C703" s="382"/>
      <c r="D703" s="382"/>
      <c r="E703" s="382"/>
      <c r="F703" s="382"/>
      <c r="G703" s="382"/>
      <c r="H703" s="382"/>
      <c r="I703" s="382"/>
      <c r="J703" s="382"/>
      <c r="K703" s="382"/>
      <c r="L703" s="382"/>
      <c r="M703" s="382"/>
      <c r="N703" s="382"/>
      <c r="O703" s="382"/>
      <c r="P703" s="382"/>
      <c r="Q703" s="382"/>
      <c r="R703" s="382"/>
      <c r="S703" s="382"/>
      <c r="T703" s="382"/>
    </row>
    <row r="704" spans="3:20" ht="18" x14ac:dyDescent="0.35">
      <c r="C704" s="382"/>
      <c r="D704" s="382"/>
      <c r="E704" s="382"/>
      <c r="F704" s="382"/>
      <c r="G704" s="382"/>
      <c r="H704" s="382"/>
      <c r="I704" s="382"/>
      <c r="J704" s="382"/>
      <c r="K704" s="382"/>
      <c r="L704" s="382"/>
      <c r="M704" s="382"/>
      <c r="N704" s="382"/>
      <c r="O704" s="382"/>
      <c r="P704" s="382"/>
      <c r="Q704" s="382"/>
      <c r="R704" s="382"/>
      <c r="S704" s="382"/>
      <c r="T704" s="382"/>
    </row>
    <row r="705" spans="3:20" ht="18" x14ac:dyDescent="0.35">
      <c r="C705" s="382"/>
      <c r="D705" s="382"/>
      <c r="E705" s="382"/>
      <c r="F705" s="382"/>
      <c r="G705" s="382"/>
      <c r="H705" s="382"/>
      <c r="I705" s="382"/>
      <c r="J705" s="382"/>
      <c r="K705" s="382"/>
      <c r="L705" s="382"/>
      <c r="M705" s="382"/>
      <c r="N705" s="382"/>
      <c r="O705" s="382"/>
      <c r="P705" s="382"/>
      <c r="Q705" s="382"/>
      <c r="R705" s="382"/>
      <c r="S705" s="382"/>
      <c r="T705" s="382"/>
    </row>
    <row r="706" spans="3:20" ht="18" x14ac:dyDescent="0.35">
      <c r="C706" s="382"/>
      <c r="D706" s="382"/>
      <c r="E706" s="382"/>
      <c r="F706" s="382"/>
      <c r="G706" s="382"/>
      <c r="H706" s="382"/>
      <c r="I706" s="382"/>
      <c r="J706" s="382"/>
      <c r="K706" s="382"/>
      <c r="L706" s="382"/>
      <c r="M706" s="382"/>
      <c r="N706" s="382"/>
      <c r="O706" s="382"/>
      <c r="P706" s="382"/>
      <c r="Q706" s="382"/>
      <c r="R706" s="382"/>
      <c r="S706" s="382"/>
      <c r="T706" s="382"/>
    </row>
    <row r="707" spans="3:20" ht="18" x14ac:dyDescent="0.35">
      <c r="C707" s="382"/>
      <c r="D707" s="382"/>
      <c r="E707" s="382"/>
      <c r="F707" s="382"/>
      <c r="G707" s="382"/>
      <c r="H707" s="382"/>
      <c r="I707" s="382"/>
      <c r="J707" s="382"/>
      <c r="K707" s="382"/>
      <c r="L707" s="382"/>
      <c r="M707" s="382"/>
      <c r="N707" s="382"/>
      <c r="O707" s="382"/>
      <c r="P707" s="382"/>
      <c r="Q707" s="382"/>
      <c r="R707" s="382"/>
      <c r="S707" s="382"/>
      <c r="T707" s="382"/>
    </row>
    <row r="708" spans="3:20" ht="18" x14ac:dyDescent="0.35">
      <c r="C708" s="382"/>
      <c r="D708" s="382"/>
      <c r="E708" s="382"/>
      <c r="F708" s="382"/>
      <c r="G708" s="382"/>
      <c r="H708" s="382"/>
      <c r="I708" s="382"/>
      <c r="J708" s="382"/>
      <c r="K708" s="382"/>
      <c r="L708" s="382"/>
      <c r="M708" s="382"/>
      <c r="N708" s="382"/>
      <c r="O708" s="382"/>
      <c r="P708" s="382"/>
      <c r="Q708" s="382"/>
      <c r="R708" s="382"/>
      <c r="S708" s="382"/>
      <c r="T708" s="382"/>
    </row>
    <row r="709" spans="3:20" ht="18" x14ac:dyDescent="0.35">
      <c r="C709" s="382"/>
      <c r="D709" s="382"/>
      <c r="E709" s="382"/>
      <c r="F709" s="382"/>
      <c r="G709" s="382"/>
      <c r="H709" s="382"/>
      <c r="I709" s="382"/>
      <c r="J709" s="382"/>
      <c r="K709" s="382"/>
      <c r="L709" s="382"/>
      <c r="M709" s="382"/>
      <c r="N709" s="382"/>
      <c r="O709" s="382"/>
      <c r="P709" s="382"/>
      <c r="Q709" s="382"/>
      <c r="R709" s="382"/>
      <c r="S709" s="382"/>
      <c r="T709" s="382"/>
    </row>
    <row r="710" spans="3:20" ht="18" x14ac:dyDescent="0.35">
      <c r="C710" s="382"/>
      <c r="D710" s="382"/>
      <c r="E710" s="382"/>
      <c r="F710" s="382"/>
      <c r="G710" s="382"/>
      <c r="H710" s="382"/>
      <c r="I710" s="382"/>
      <c r="J710" s="382"/>
      <c r="K710" s="382"/>
      <c r="L710" s="382"/>
      <c r="M710" s="382"/>
      <c r="N710" s="382"/>
      <c r="O710" s="382"/>
      <c r="P710" s="382"/>
      <c r="Q710" s="382"/>
      <c r="R710" s="382"/>
      <c r="S710" s="382"/>
      <c r="T710" s="382"/>
    </row>
    <row r="711" spans="3:20" ht="18" x14ac:dyDescent="0.35">
      <c r="C711" s="382"/>
      <c r="D711" s="382"/>
      <c r="E711" s="382"/>
      <c r="F711" s="382"/>
      <c r="G711" s="382"/>
      <c r="H711" s="382"/>
      <c r="I711" s="382"/>
      <c r="J711" s="382"/>
      <c r="K711" s="382"/>
      <c r="L711" s="382"/>
      <c r="M711" s="382"/>
      <c r="N711" s="382"/>
      <c r="O711" s="382"/>
      <c r="P711" s="382"/>
      <c r="Q711" s="382"/>
      <c r="R711" s="382"/>
      <c r="S711" s="382"/>
      <c r="T711" s="382"/>
    </row>
    <row r="712" spans="3:20" ht="18" x14ac:dyDescent="0.35">
      <c r="C712" s="382"/>
      <c r="D712" s="382"/>
      <c r="E712" s="382"/>
      <c r="F712" s="382"/>
      <c r="G712" s="382"/>
      <c r="H712" s="382"/>
      <c r="I712" s="382"/>
      <c r="J712" s="382"/>
      <c r="K712" s="382"/>
      <c r="L712" s="382"/>
      <c r="M712" s="382"/>
      <c r="N712" s="382"/>
      <c r="O712" s="382"/>
      <c r="P712" s="382"/>
      <c r="Q712" s="382"/>
      <c r="R712" s="382"/>
      <c r="S712" s="382"/>
      <c r="T712" s="382"/>
    </row>
    <row r="713" spans="3:20" ht="18" x14ac:dyDescent="0.35">
      <c r="C713" s="382"/>
      <c r="D713" s="382"/>
      <c r="E713" s="382"/>
      <c r="F713" s="382"/>
      <c r="G713" s="382"/>
      <c r="H713" s="382"/>
      <c r="I713" s="382"/>
      <c r="J713" s="382"/>
      <c r="K713" s="382"/>
      <c r="L713" s="382"/>
      <c r="M713" s="382"/>
      <c r="N713" s="382"/>
      <c r="O713" s="382"/>
      <c r="P713" s="382"/>
      <c r="Q713" s="382"/>
      <c r="R713" s="382"/>
      <c r="S713" s="382"/>
      <c r="T713" s="382"/>
    </row>
    <row r="714" spans="3:20" ht="18" x14ac:dyDescent="0.35">
      <c r="C714" s="382"/>
      <c r="D714" s="382"/>
      <c r="E714" s="382"/>
      <c r="F714" s="382"/>
      <c r="G714" s="382"/>
      <c r="H714" s="382"/>
      <c r="I714" s="382"/>
      <c r="J714" s="382"/>
      <c r="K714" s="382"/>
      <c r="L714" s="382"/>
      <c r="M714" s="382"/>
      <c r="N714" s="382"/>
      <c r="O714" s="382"/>
      <c r="P714" s="382"/>
      <c r="Q714" s="382"/>
      <c r="R714" s="382"/>
      <c r="S714" s="382"/>
      <c r="T714" s="382"/>
    </row>
    <row r="715" spans="3:20" ht="18" x14ac:dyDescent="0.35">
      <c r="C715" s="382"/>
      <c r="D715" s="382"/>
      <c r="E715" s="382"/>
      <c r="F715" s="382"/>
      <c r="G715" s="382"/>
      <c r="H715" s="382"/>
      <c r="I715" s="382"/>
      <c r="J715" s="382"/>
      <c r="K715" s="382"/>
      <c r="L715" s="382"/>
      <c r="M715" s="382"/>
      <c r="N715" s="382"/>
      <c r="O715" s="382"/>
      <c r="P715" s="382"/>
      <c r="Q715" s="382"/>
      <c r="R715" s="382"/>
      <c r="S715" s="382"/>
      <c r="T715" s="382"/>
    </row>
    <row r="716" spans="3:20" ht="18" x14ac:dyDescent="0.35">
      <c r="C716" s="382"/>
      <c r="D716" s="382"/>
      <c r="E716" s="382"/>
      <c r="F716" s="382"/>
      <c r="G716" s="382"/>
      <c r="H716" s="382"/>
      <c r="I716" s="382"/>
      <c r="J716" s="382"/>
      <c r="K716" s="382"/>
      <c r="L716" s="382"/>
      <c r="M716" s="382"/>
      <c r="N716" s="382"/>
      <c r="O716" s="382"/>
      <c r="P716" s="382"/>
      <c r="Q716" s="382"/>
      <c r="R716" s="382"/>
      <c r="S716" s="382"/>
      <c r="T716" s="382"/>
    </row>
    <row r="717" spans="3:20" ht="18" x14ac:dyDescent="0.35">
      <c r="C717" s="382"/>
      <c r="D717" s="382"/>
      <c r="E717" s="382"/>
      <c r="F717" s="382"/>
      <c r="G717" s="382"/>
      <c r="H717" s="382"/>
      <c r="I717" s="382"/>
      <c r="J717" s="382"/>
      <c r="K717" s="382"/>
      <c r="L717" s="382"/>
      <c r="M717" s="382"/>
      <c r="N717" s="382"/>
      <c r="O717" s="382"/>
      <c r="P717" s="382"/>
      <c r="Q717" s="382"/>
      <c r="R717" s="382"/>
      <c r="S717" s="382"/>
      <c r="T717" s="382"/>
    </row>
    <row r="718" spans="3:20" ht="18" x14ac:dyDescent="0.35">
      <c r="C718" s="382"/>
      <c r="D718" s="382"/>
      <c r="E718" s="382"/>
      <c r="F718" s="382"/>
      <c r="G718" s="382"/>
      <c r="H718" s="382"/>
      <c r="I718" s="382"/>
      <c r="J718" s="382"/>
      <c r="K718" s="382"/>
      <c r="L718" s="382"/>
      <c r="M718" s="382"/>
      <c r="N718" s="382"/>
      <c r="O718" s="382"/>
      <c r="P718" s="382"/>
      <c r="Q718" s="382"/>
      <c r="R718" s="382"/>
      <c r="S718" s="382"/>
      <c r="T718" s="382"/>
    </row>
    <row r="719" spans="3:20" ht="18" x14ac:dyDescent="0.35">
      <c r="C719" s="382"/>
      <c r="D719" s="382"/>
      <c r="E719" s="382"/>
      <c r="F719" s="382"/>
      <c r="G719" s="382"/>
      <c r="H719" s="382"/>
      <c r="I719" s="382"/>
      <c r="J719" s="382"/>
      <c r="K719" s="382"/>
      <c r="L719" s="382"/>
      <c r="M719" s="382"/>
      <c r="N719" s="382"/>
      <c r="O719" s="382"/>
      <c r="P719" s="382"/>
      <c r="Q719" s="382"/>
      <c r="R719" s="382"/>
      <c r="S719" s="382"/>
      <c r="T719" s="382"/>
    </row>
    <row r="720" spans="3:20" ht="18" x14ac:dyDescent="0.35">
      <c r="C720" s="382"/>
      <c r="D720" s="382"/>
      <c r="E720" s="382"/>
      <c r="F720" s="382"/>
      <c r="G720" s="382"/>
      <c r="H720" s="382"/>
      <c r="I720" s="382"/>
      <c r="J720" s="382"/>
      <c r="K720" s="382"/>
      <c r="L720" s="382"/>
      <c r="M720" s="382"/>
      <c r="N720" s="382"/>
      <c r="O720" s="382"/>
      <c r="P720" s="382"/>
      <c r="Q720" s="382"/>
      <c r="R720" s="382"/>
      <c r="S720" s="382"/>
      <c r="T720" s="382"/>
    </row>
    <row r="721" spans="3:20" ht="18" x14ac:dyDescent="0.35">
      <c r="C721" s="382"/>
      <c r="D721" s="382"/>
      <c r="E721" s="382"/>
      <c r="F721" s="382"/>
      <c r="G721" s="382"/>
      <c r="H721" s="382"/>
      <c r="I721" s="382"/>
      <c r="J721" s="382"/>
      <c r="K721" s="382"/>
      <c r="L721" s="382"/>
      <c r="M721" s="382"/>
      <c r="N721" s="382"/>
      <c r="O721" s="382"/>
      <c r="P721" s="382"/>
      <c r="Q721" s="382"/>
      <c r="R721" s="382"/>
      <c r="S721" s="382"/>
      <c r="T721" s="382"/>
    </row>
    <row r="722" spans="3:20" ht="18" x14ac:dyDescent="0.35">
      <c r="C722" s="382"/>
      <c r="D722" s="382"/>
      <c r="E722" s="382"/>
      <c r="F722" s="382"/>
      <c r="G722" s="382"/>
      <c r="H722" s="382"/>
      <c r="I722" s="382"/>
      <c r="J722" s="382"/>
      <c r="K722" s="382"/>
      <c r="L722" s="382"/>
      <c r="M722" s="382"/>
      <c r="N722" s="382"/>
      <c r="O722" s="382"/>
      <c r="P722" s="382"/>
      <c r="Q722" s="382"/>
      <c r="R722" s="382"/>
      <c r="S722" s="382"/>
      <c r="T722" s="382"/>
    </row>
    <row r="723" spans="3:20" ht="18" x14ac:dyDescent="0.35">
      <c r="C723" s="382"/>
      <c r="D723" s="382"/>
      <c r="E723" s="382"/>
      <c r="F723" s="382"/>
      <c r="G723" s="382"/>
      <c r="H723" s="382"/>
      <c r="I723" s="382"/>
      <c r="J723" s="382"/>
      <c r="K723" s="382"/>
      <c r="L723" s="382"/>
      <c r="M723" s="382"/>
      <c r="N723" s="382"/>
      <c r="O723" s="382"/>
      <c r="P723" s="382"/>
      <c r="Q723" s="382"/>
      <c r="R723" s="382"/>
      <c r="S723" s="382"/>
      <c r="T723" s="382"/>
    </row>
    <row r="724" spans="3:20" ht="18" x14ac:dyDescent="0.35">
      <c r="C724" s="382"/>
      <c r="D724" s="382"/>
      <c r="E724" s="382"/>
      <c r="F724" s="382"/>
      <c r="G724" s="382"/>
      <c r="H724" s="382"/>
      <c r="I724" s="382"/>
      <c r="J724" s="382"/>
      <c r="K724" s="382"/>
      <c r="L724" s="382"/>
      <c r="M724" s="382"/>
      <c r="N724" s="382"/>
      <c r="O724" s="382"/>
      <c r="P724" s="382"/>
      <c r="Q724" s="382"/>
      <c r="R724" s="382"/>
      <c r="S724" s="382"/>
      <c r="T724" s="382"/>
    </row>
    <row r="725" spans="3:20" ht="18" x14ac:dyDescent="0.35">
      <c r="C725" s="382"/>
      <c r="D725" s="382"/>
      <c r="E725" s="382"/>
      <c r="F725" s="382"/>
      <c r="G725" s="382"/>
      <c r="H725" s="382"/>
      <c r="I725" s="382"/>
      <c r="J725" s="382"/>
      <c r="K725" s="382"/>
      <c r="L725" s="382"/>
      <c r="M725" s="382"/>
      <c r="N725" s="382"/>
      <c r="O725" s="382"/>
      <c r="P725" s="382"/>
      <c r="Q725" s="382"/>
      <c r="R725" s="382"/>
      <c r="S725" s="382"/>
      <c r="T725" s="382"/>
    </row>
    <row r="726" spans="3:20" ht="18" x14ac:dyDescent="0.35">
      <c r="C726" s="382"/>
      <c r="D726" s="382"/>
      <c r="E726" s="382"/>
      <c r="F726" s="382"/>
      <c r="G726" s="382"/>
      <c r="H726" s="382"/>
      <c r="I726" s="382"/>
      <c r="J726" s="382"/>
      <c r="K726" s="382"/>
      <c r="L726" s="382"/>
      <c r="M726" s="382"/>
      <c r="N726" s="382"/>
      <c r="O726" s="382"/>
      <c r="P726" s="382"/>
      <c r="Q726" s="382"/>
      <c r="R726" s="382"/>
      <c r="S726" s="382"/>
      <c r="T726" s="382"/>
    </row>
    <row r="727" spans="3:20" ht="18" x14ac:dyDescent="0.35">
      <c r="C727" s="382"/>
      <c r="D727" s="382"/>
      <c r="E727" s="382"/>
      <c r="F727" s="382"/>
      <c r="G727" s="382"/>
      <c r="H727" s="382"/>
      <c r="I727" s="382"/>
      <c r="J727" s="382"/>
      <c r="K727" s="382"/>
      <c r="L727" s="382"/>
      <c r="M727" s="382"/>
      <c r="N727" s="382"/>
      <c r="O727" s="382"/>
      <c r="P727" s="382"/>
      <c r="Q727" s="382"/>
      <c r="R727" s="382"/>
      <c r="S727" s="382"/>
      <c r="T727" s="382"/>
    </row>
    <row r="728" spans="3:20" ht="18" x14ac:dyDescent="0.35">
      <c r="C728" s="382"/>
      <c r="D728" s="382"/>
      <c r="E728" s="382"/>
      <c r="F728" s="382"/>
      <c r="G728" s="382"/>
      <c r="H728" s="382"/>
      <c r="I728" s="382"/>
      <c r="J728" s="382"/>
      <c r="K728" s="382"/>
      <c r="L728" s="382"/>
      <c r="M728" s="382"/>
      <c r="N728" s="382"/>
      <c r="O728" s="382"/>
      <c r="P728" s="382"/>
      <c r="Q728" s="382"/>
      <c r="R728" s="382"/>
      <c r="S728" s="382"/>
      <c r="T728" s="382"/>
    </row>
    <row r="729" spans="3:20" ht="18" x14ac:dyDescent="0.35">
      <c r="C729" s="382"/>
      <c r="D729" s="382"/>
      <c r="E729" s="382"/>
      <c r="F729" s="382"/>
      <c r="G729" s="382"/>
      <c r="H729" s="382"/>
      <c r="I729" s="382"/>
      <c r="J729" s="382"/>
      <c r="K729" s="382"/>
      <c r="L729" s="382"/>
      <c r="M729" s="382"/>
      <c r="N729" s="382"/>
      <c r="O729" s="382"/>
      <c r="P729" s="382"/>
      <c r="Q729" s="382"/>
      <c r="R729" s="382"/>
      <c r="S729" s="382"/>
      <c r="T729" s="382"/>
    </row>
    <row r="730" spans="3:20" ht="18" x14ac:dyDescent="0.35">
      <c r="C730" s="382"/>
      <c r="D730" s="382"/>
      <c r="E730" s="382"/>
      <c r="F730" s="382"/>
      <c r="G730" s="382"/>
      <c r="H730" s="382"/>
      <c r="I730" s="382"/>
      <c r="J730" s="382"/>
      <c r="K730" s="382"/>
      <c r="L730" s="382"/>
      <c r="M730" s="382"/>
      <c r="N730" s="382"/>
      <c r="O730" s="382"/>
      <c r="P730" s="382"/>
      <c r="Q730" s="382"/>
      <c r="R730" s="382"/>
      <c r="S730" s="382"/>
      <c r="T730" s="382"/>
    </row>
    <row r="731" spans="3:20" ht="18" x14ac:dyDescent="0.35">
      <c r="C731" s="382"/>
      <c r="D731" s="382"/>
      <c r="E731" s="382"/>
      <c r="F731" s="382"/>
      <c r="G731" s="382"/>
      <c r="H731" s="382"/>
      <c r="I731" s="382"/>
      <c r="J731" s="382"/>
      <c r="K731" s="382"/>
      <c r="L731" s="382"/>
      <c r="M731" s="382"/>
      <c r="N731" s="382"/>
      <c r="O731" s="382"/>
      <c r="P731" s="382"/>
      <c r="Q731" s="382"/>
      <c r="R731" s="382"/>
      <c r="S731" s="382"/>
      <c r="T731" s="382"/>
    </row>
    <row r="732" spans="3:20" ht="18" x14ac:dyDescent="0.35">
      <c r="C732" s="382"/>
      <c r="D732" s="382"/>
      <c r="E732" s="382"/>
      <c r="F732" s="382"/>
      <c r="G732" s="382"/>
      <c r="H732" s="382"/>
      <c r="I732" s="382"/>
      <c r="J732" s="382"/>
      <c r="K732" s="382"/>
      <c r="L732" s="382"/>
      <c r="M732" s="382"/>
      <c r="N732" s="382"/>
      <c r="O732" s="382"/>
      <c r="P732" s="382"/>
      <c r="Q732" s="382"/>
      <c r="R732" s="382"/>
      <c r="S732" s="382"/>
      <c r="T732" s="382"/>
    </row>
    <row r="733" spans="3:20" ht="18" x14ac:dyDescent="0.35">
      <c r="C733" s="382"/>
      <c r="D733" s="382"/>
      <c r="E733" s="382"/>
      <c r="F733" s="382"/>
      <c r="G733" s="382"/>
      <c r="H733" s="382"/>
      <c r="I733" s="382"/>
      <c r="J733" s="382"/>
      <c r="K733" s="382"/>
      <c r="L733" s="382"/>
      <c r="M733" s="382"/>
      <c r="N733" s="382"/>
      <c r="O733" s="382"/>
      <c r="P733" s="382"/>
      <c r="Q733" s="382"/>
      <c r="R733" s="382"/>
      <c r="S733" s="382"/>
      <c r="T733" s="382"/>
    </row>
    <row r="734" spans="3:20" ht="18" x14ac:dyDescent="0.35">
      <c r="C734" s="382"/>
      <c r="D734" s="382"/>
      <c r="E734" s="382"/>
      <c r="F734" s="382"/>
      <c r="G734" s="382"/>
      <c r="H734" s="382"/>
      <c r="I734" s="382"/>
      <c r="J734" s="382"/>
      <c r="K734" s="382"/>
      <c r="L734" s="382"/>
      <c r="M734" s="382"/>
      <c r="N734" s="382"/>
      <c r="O734" s="382"/>
      <c r="P734" s="382"/>
      <c r="Q734" s="382"/>
      <c r="R734" s="382"/>
      <c r="S734" s="382"/>
      <c r="T734" s="382"/>
    </row>
    <row r="735" spans="3:20" ht="18" x14ac:dyDescent="0.35">
      <c r="C735" s="382"/>
      <c r="D735" s="382"/>
      <c r="E735" s="382"/>
      <c r="F735" s="382"/>
      <c r="G735" s="382"/>
      <c r="H735" s="382"/>
      <c r="I735" s="382"/>
      <c r="J735" s="382"/>
      <c r="K735" s="382"/>
      <c r="L735" s="382"/>
      <c r="M735" s="382"/>
      <c r="N735" s="382"/>
      <c r="O735" s="382"/>
      <c r="P735" s="382"/>
      <c r="Q735" s="382"/>
      <c r="R735" s="382"/>
      <c r="S735" s="382"/>
      <c r="T735" s="382"/>
    </row>
    <row r="736" spans="3:20" ht="18" x14ac:dyDescent="0.35">
      <c r="C736" s="382"/>
      <c r="D736" s="382"/>
      <c r="E736" s="382"/>
      <c r="F736" s="382"/>
      <c r="G736" s="382"/>
      <c r="H736" s="382"/>
      <c r="I736" s="382"/>
      <c r="J736" s="382"/>
      <c r="K736" s="382"/>
      <c r="L736" s="382"/>
      <c r="M736" s="382"/>
      <c r="N736" s="382"/>
      <c r="O736" s="382"/>
      <c r="P736" s="382"/>
      <c r="Q736" s="382"/>
      <c r="R736" s="382"/>
      <c r="S736" s="382"/>
      <c r="T736" s="382"/>
    </row>
    <row r="737" spans="3:20" ht="18" x14ac:dyDescent="0.35">
      <c r="C737" s="382"/>
      <c r="D737" s="382"/>
      <c r="E737" s="382"/>
      <c r="F737" s="382"/>
      <c r="G737" s="382"/>
      <c r="H737" s="382"/>
      <c r="I737" s="382"/>
      <c r="J737" s="382"/>
      <c r="K737" s="382"/>
      <c r="L737" s="382"/>
      <c r="M737" s="382"/>
      <c r="N737" s="382"/>
      <c r="O737" s="382"/>
      <c r="P737" s="382"/>
      <c r="Q737" s="382"/>
      <c r="R737" s="382"/>
      <c r="S737" s="382"/>
      <c r="T737" s="382"/>
    </row>
    <row r="738" spans="3:20" ht="18" x14ac:dyDescent="0.35">
      <c r="C738" s="382"/>
      <c r="D738" s="382"/>
      <c r="E738" s="382"/>
      <c r="F738" s="382"/>
      <c r="G738" s="382"/>
      <c r="H738" s="382"/>
      <c r="I738" s="382"/>
      <c r="J738" s="382"/>
      <c r="K738" s="382"/>
      <c r="L738" s="382"/>
      <c r="M738" s="382"/>
      <c r="N738" s="382"/>
      <c r="O738" s="382"/>
      <c r="P738" s="382"/>
      <c r="Q738" s="382"/>
      <c r="R738" s="382"/>
      <c r="S738" s="382"/>
      <c r="T738" s="382"/>
    </row>
    <row r="739" spans="3:20" ht="18" x14ac:dyDescent="0.35">
      <c r="C739" s="382"/>
      <c r="D739" s="382"/>
      <c r="E739" s="382"/>
      <c r="F739" s="382"/>
      <c r="G739" s="382"/>
      <c r="H739" s="382"/>
      <c r="I739" s="382"/>
      <c r="J739" s="382"/>
      <c r="K739" s="382"/>
      <c r="L739" s="382"/>
      <c r="M739" s="382"/>
      <c r="N739" s="382"/>
      <c r="O739" s="382"/>
      <c r="P739" s="382"/>
      <c r="Q739" s="382"/>
      <c r="R739" s="382"/>
      <c r="S739" s="382"/>
      <c r="T739" s="382"/>
    </row>
    <row r="740" spans="3:20" ht="18" x14ac:dyDescent="0.35">
      <c r="C740" s="382"/>
      <c r="D740" s="382"/>
      <c r="E740" s="382"/>
      <c r="F740" s="382"/>
      <c r="G740" s="382"/>
      <c r="H740" s="382"/>
      <c r="I740" s="382"/>
      <c r="J740" s="382"/>
      <c r="K740" s="382"/>
      <c r="L740" s="382"/>
      <c r="M740" s="382"/>
      <c r="N740" s="382"/>
      <c r="O740" s="382"/>
      <c r="P740" s="382"/>
      <c r="Q740" s="382"/>
      <c r="R740" s="382"/>
      <c r="S740" s="382"/>
      <c r="T740" s="382"/>
    </row>
    <row r="741" spans="3:20" ht="18" x14ac:dyDescent="0.35">
      <c r="C741" s="382"/>
      <c r="D741" s="382"/>
      <c r="E741" s="382"/>
      <c r="F741" s="382"/>
      <c r="G741" s="382"/>
      <c r="H741" s="382"/>
      <c r="I741" s="382"/>
      <c r="J741" s="382"/>
      <c r="K741" s="382"/>
      <c r="L741" s="382"/>
      <c r="M741" s="382"/>
      <c r="N741" s="382"/>
      <c r="O741" s="382"/>
      <c r="P741" s="382"/>
      <c r="Q741" s="382"/>
      <c r="R741" s="382"/>
      <c r="S741" s="382"/>
      <c r="T741" s="382"/>
    </row>
    <row r="742" spans="3:20" ht="18" x14ac:dyDescent="0.35">
      <c r="C742" s="382"/>
      <c r="D742" s="382"/>
      <c r="E742" s="382"/>
      <c r="F742" s="382"/>
      <c r="G742" s="382"/>
      <c r="H742" s="382"/>
      <c r="I742" s="382"/>
      <c r="J742" s="382"/>
      <c r="K742" s="382"/>
      <c r="L742" s="382"/>
      <c r="M742" s="382"/>
      <c r="N742" s="382"/>
      <c r="O742" s="382"/>
      <c r="P742" s="382"/>
      <c r="Q742" s="382"/>
      <c r="R742" s="382"/>
      <c r="S742" s="382"/>
      <c r="T742" s="382"/>
    </row>
    <row r="743" spans="3:20" ht="18" x14ac:dyDescent="0.35">
      <c r="C743" s="382"/>
      <c r="D743" s="382"/>
      <c r="E743" s="382"/>
      <c r="F743" s="382"/>
      <c r="G743" s="382"/>
      <c r="H743" s="382"/>
      <c r="I743" s="382"/>
      <c r="J743" s="382"/>
      <c r="K743" s="382"/>
      <c r="L743" s="382"/>
      <c r="M743" s="382"/>
      <c r="N743" s="382"/>
      <c r="O743" s="382"/>
      <c r="P743" s="382"/>
      <c r="Q743" s="382"/>
      <c r="R743" s="382"/>
      <c r="S743" s="382"/>
      <c r="T743" s="382"/>
    </row>
    <row r="744" spans="3:20" ht="18" x14ac:dyDescent="0.35">
      <c r="C744" s="382"/>
      <c r="D744" s="382"/>
      <c r="E744" s="382"/>
      <c r="F744" s="382"/>
      <c r="G744" s="382"/>
      <c r="H744" s="382"/>
      <c r="I744" s="382"/>
      <c r="J744" s="382"/>
      <c r="K744" s="382"/>
      <c r="L744" s="382"/>
      <c r="M744" s="382"/>
      <c r="N744" s="382"/>
      <c r="O744" s="382"/>
      <c r="P744" s="382"/>
      <c r="Q744" s="382"/>
      <c r="R744" s="382"/>
      <c r="S744" s="382"/>
      <c r="T744" s="382"/>
    </row>
    <row r="745" spans="3:20" ht="18" x14ac:dyDescent="0.35">
      <c r="C745" s="382"/>
      <c r="D745" s="382"/>
      <c r="E745" s="382"/>
      <c r="F745" s="382"/>
      <c r="G745" s="382"/>
      <c r="H745" s="382"/>
      <c r="I745" s="382"/>
      <c r="J745" s="382"/>
      <c r="K745" s="382"/>
      <c r="L745" s="382"/>
      <c r="M745" s="382"/>
      <c r="N745" s="382"/>
      <c r="O745" s="382"/>
      <c r="P745" s="382"/>
      <c r="Q745" s="382"/>
      <c r="R745" s="382"/>
      <c r="S745" s="382"/>
      <c r="T745" s="382"/>
    </row>
    <row r="746" spans="3:20" ht="18" x14ac:dyDescent="0.35">
      <c r="C746" s="382"/>
      <c r="D746" s="382"/>
      <c r="E746" s="382"/>
      <c r="F746" s="382"/>
      <c r="G746" s="382"/>
      <c r="H746" s="382"/>
      <c r="I746" s="382"/>
      <c r="J746" s="382"/>
      <c r="K746" s="382"/>
      <c r="L746" s="382"/>
      <c r="M746" s="382"/>
      <c r="N746" s="382"/>
      <c r="O746" s="382"/>
      <c r="P746" s="382"/>
      <c r="Q746" s="382"/>
      <c r="R746" s="382"/>
      <c r="S746" s="382"/>
      <c r="T746" s="382"/>
    </row>
    <row r="747" spans="3:20" ht="18" x14ac:dyDescent="0.35">
      <c r="C747" s="382"/>
      <c r="D747" s="382"/>
      <c r="E747" s="382"/>
      <c r="F747" s="382"/>
      <c r="G747" s="382"/>
      <c r="H747" s="382"/>
      <c r="I747" s="382"/>
      <c r="J747" s="382"/>
      <c r="K747" s="382"/>
      <c r="L747" s="382"/>
      <c r="M747" s="382"/>
      <c r="N747" s="382"/>
      <c r="O747" s="382"/>
      <c r="P747" s="382"/>
      <c r="Q747" s="382"/>
      <c r="R747" s="382"/>
      <c r="S747" s="382"/>
      <c r="T747" s="382"/>
    </row>
    <row r="748" spans="3:20" ht="18" x14ac:dyDescent="0.35">
      <c r="C748" s="382"/>
      <c r="D748" s="382"/>
      <c r="E748" s="382"/>
      <c r="F748" s="382"/>
      <c r="G748" s="382"/>
      <c r="H748" s="382"/>
      <c r="I748" s="382"/>
      <c r="J748" s="382"/>
      <c r="K748" s="382"/>
      <c r="L748" s="382"/>
      <c r="M748" s="382"/>
      <c r="N748" s="382"/>
      <c r="O748" s="382"/>
      <c r="P748" s="382"/>
      <c r="Q748" s="382"/>
      <c r="R748" s="382"/>
      <c r="S748" s="382"/>
      <c r="T748" s="382"/>
    </row>
    <row r="749" spans="3:20" ht="18" x14ac:dyDescent="0.35">
      <c r="C749" s="382"/>
      <c r="D749" s="382"/>
      <c r="E749" s="382"/>
      <c r="F749" s="382"/>
      <c r="G749" s="382"/>
      <c r="H749" s="382"/>
      <c r="I749" s="382"/>
      <c r="J749" s="382"/>
      <c r="K749" s="382"/>
      <c r="L749" s="382"/>
      <c r="M749" s="382"/>
      <c r="N749" s="382"/>
      <c r="O749" s="382"/>
      <c r="P749" s="382"/>
      <c r="Q749" s="382"/>
      <c r="R749" s="382"/>
      <c r="S749" s="382"/>
      <c r="T749" s="382"/>
    </row>
    <row r="750" spans="3:20" ht="18" x14ac:dyDescent="0.35">
      <c r="C750" s="382"/>
      <c r="D750" s="382"/>
      <c r="E750" s="382"/>
      <c r="F750" s="382"/>
      <c r="G750" s="382"/>
      <c r="H750" s="382"/>
      <c r="I750" s="382"/>
      <c r="J750" s="382"/>
      <c r="K750" s="382"/>
      <c r="L750" s="382"/>
      <c r="M750" s="382"/>
      <c r="N750" s="382"/>
      <c r="O750" s="382"/>
      <c r="P750" s="382"/>
      <c r="Q750" s="382"/>
      <c r="R750" s="382"/>
      <c r="S750" s="382"/>
      <c r="T750" s="382"/>
    </row>
    <row r="751" spans="3:20" ht="18" x14ac:dyDescent="0.35">
      <c r="C751" s="382"/>
      <c r="D751" s="382"/>
      <c r="E751" s="382"/>
      <c r="F751" s="382"/>
      <c r="G751" s="382"/>
      <c r="H751" s="382"/>
      <c r="I751" s="382"/>
      <c r="J751" s="382"/>
      <c r="K751" s="382"/>
      <c r="L751" s="382"/>
      <c r="M751" s="382"/>
      <c r="N751" s="382"/>
      <c r="O751" s="382"/>
      <c r="P751" s="382"/>
      <c r="Q751" s="382"/>
      <c r="R751" s="382"/>
      <c r="S751" s="382"/>
      <c r="T751" s="382"/>
    </row>
    <row r="752" spans="3:20" ht="18" x14ac:dyDescent="0.35">
      <c r="C752" s="382"/>
      <c r="D752" s="382"/>
      <c r="E752" s="382"/>
      <c r="F752" s="382"/>
      <c r="G752" s="382"/>
      <c r="H752" s="382"/>
      <c r="I752" s="382"/>
      <c r="J752" s="382"/>
      <c r="K752" s="382"/>
      <c r="L752" s="382"/>
      <c r="M752" s="382"/>
      <c r="N752" s="382"/>
      <c r="O752" s="382"/>
      <c r="P752" s="382"/>
      <c r="Q752" s="382"/>
      <c r="R752" s="382"/>
      <c r="S752" s="382"/>
      <c r="T752" s="382"/>
    </row>
    <row r="753" spans="3:20" ht="18" x14ac:dyDescent="0.35">
      <c r="C753" s="382"/>
      <c r="D753" s="382"/>
      <c r="E753" s="382"/>
      <c r="F753" s="382"/>
      <c r="G753" s="382"/>
      <c r="H753" s="382"/>
      <c r="I753" s="382"/>
      <c r="J753" s="382"/>
      <c r="K753" s="382"/>
      <c r="L753" s="382"/>
      <c r="M753" s="382"/>
      <c r="N753" s="382"/>
      <c r="O753" s="382"/>
      <c r="P753" s="382"/>
      <c r="Q753" s="382"/>
      <c r="R753" s="382"/>
      <c r="S753" s="382"/>
      <c r="T753" s="382"/>
    </row>
    <row r="754" spans="3:20" ht="18" x14ac:dyDescent="0.35">
      <c r="C754" s="382"/>
      <c r="D754" s="382"/>
      <c r="E754" s="382"/>
      <c r="F754" s="382"/>
      <c r="G754" s="382"/>
      <c r="H754" s="382"/>
      <c r="I754" s="382"/>
      <c r="J754" s="382"/>
      <c r="K754" s="382"/>
      <c r="L754" s="382"/>
      <c r="M754" s="382"/>
      <c r="N754" s="382"/>
      <c r="O754" s="382"/>
      <c r="P754" s="382"/>
      <c r="Q754" s="382"/>
      <c r="R754" s="382"/>
      <c r="S754" s="382"/>
      <c r="T754" s="382"/>
    </row>
    <row r="755" spans="3:20" ht="18" x14ac:dyDescent="0.35">
      <c r="C755" s="382"/>
      <c r="D755" s="382"/>
      <c r="E755" s="382"/>
      <c r="F755" s="382"/>
      <c r="G755" s="382"/>
      <c r="H755" s="382"/>
      <c r="I755" s="382"/>
      <c r="J755" s="382"/>
      <c r="K755" s="382"/>
      <c r="L755" s="382"/>
      <c r="M755" s="382"/>
      <c r="N755" s="382"/>
      <c r="O755" s="382"/>
      <c r="P755" s="382"/>
      <c r="Q755" s="382"/>
      <c r="R755" s="382"/>
      <c r="S755" s="382"/>
      <c r="T755" s="382"/>
    </row>
    <row r="756" spans="3:20" ht="18" x14ac:dyDescent="0.35">
      <c r="C756" s="382"/>
      <c r="D756" s="382"/>
      <c r="E756" s="382"/>
      <c r="F756" s="382"/>
      <c r="G756" s="382"/>
      <c r="H756" s="382"/>
      <c r="I756" s="382"/>
      <c r="J756" s="382"/>
      <c r="K756" s="382"/>
      <c r="L756" s="382"/>
      <c r="M756" s="382"/>
      <c r="N756" s="382"/>
      <c r="O756" s="382"/>
      <c r="P756" s="382"/>
      <c r="Q756" s="382"/>
      <c r="R756" s="382"/>
      <c r="S756" s="382"/>
      <c r="T756" s="382"/>
    </row>
    <row r="757" spans="3:20" ht="18" x14ac:dyDescent="0.35">
      <c r="C757" s="382"/>
      <c r="D757" s="382"/>
      <c r="E757" s="382"/>
      <c r="F757" s="382"/>
      <c r="G757" s="382"/>
      <c r="H757" s="382"/>
      <c r="I757" s="382"/>
      <c r="J757" s="382"/>
      <c r="K757" s="382"/>
      <c r="L757" s="382"/>
      <c r="M757" s="382"/>
      <c r="N757" s="382"/>
      <c r="O757" s="382"/>
      <c r="P757" s="382"/>
      <c r="Q757" s="382"/>
      <c r="R757" s="382"/>
      <c r="S757" s="382"/>
      <c r="T757" s="382"/>
    </row>
    <row r="758" spans="3:20" ht="18" x14ac:dyDescent="0.35">
      <c r="C758" s="382"/>
      <c r="D758" s="382"/>
      <c r="E758" s="382"/>
      <c r="F758" s="382"/>
      <c r="G758" s="382"/>
      <c r="H758" s="382"/>
      <c r="I758" s="382"/>
      <c r="J758" s="382"/>
      <c r="K758" s="382"/>
      <c r="L758" s="382"/>
      <c r="M758" s="382"/>
      <c r="N758" s="382"/>
      <c r="O758" s="382"/>
      <c r="P758" s="382"/>
      <c r="Q758" s="382"/>
      <c r="R758" s="382"/>
      <c r="S758" s="382"/>
      <c r="T758" s="382"/>
    </row>
    <row r="759" spans="3:20" ht="18" x14ac:dyDescent="0.35">
      <c r="C759" s="382"/>
      <c r="D759" s="382"/>
      <c r="E759" s="382"/>
      <c r="F759" s="382"/>
      <c r="G759" s="382"/>
      <c r="H759" s="382"/>
      <c r="I759" s="382"/>
      <c r="J759" s="382"/>
      <c r="K759" s="382"/>
      <c r="L759" s="382"/>
      <c r="M759" s="382"/>
      <c r="N759" s="382"/>
      <c r="O759" s="382"/>
      <c r="P759" s="382"/>
      <c r="Q759" s="382"/>
      <c r="R759" s="382"/>
      <c r="S759" s="382"/>
      <c r="T759" s="382"/>
    </row>
    <row r="760" spans="3:20" ht="18" x14ac:dyDescent="0.35">
      <c r="C760" s="382"/>
      <c r="D760" s="382"/>
      <c r="E760" s="382"/>
      <c r="F760" s="382"/>
      <c r="G760" s="382"/>
      <c r="H760" s="382"/>
      <c r="I760" s="382"/>
      <c r="J760" s="382"/>
      <c r="K760" s="382"/>
      <c r="L760" s="382"/>
      <c r="M760" s="382"/>
      <c r="N760" s="382"/>
      <c r="O760" s="382"/>
      <c r="P760" s="382"/>
      <c r="Q760" s="382"/>
      <c r="R760" s="382"/>
      <c r="S760" s="382"/>
      <c r="T760" s="382"/>
    </row>
    <row r="761" spans="3:20" ht="18" x14ac:dyDescent="0.35">
      <c r="C761" s="382"/>
      <c r="D761" s="382"/>
      <c r="E761" s="382"/>
      <c r="F761" s="382"/>
      <c r="G761" s="382"/>
      <c r="H761" s="382"/>
      <c r="I761" s="382"/>
      <c r="J761" s="382"/>
      <c r="K761" s="382"/>
      <c r="L761" s="382"/>
      <c r="M761" s="382"/>
      <c r="N761" s="382"/>
      <c r="O761" s="382"/>
      <c r="P761" s="382"/>
      <c r="Q761" s="382"/>
      <c r="R761" s="382"/>
      <c r="S761" s="382"/>
      <c r="T761" s="382"/>
    </row>
    <row r="762" spans="3:20" ht="18" x14ac:dyDescent="0.35">
      <c r="C762" s="382"/>
      <c r="D762" s="382"/>
      <c r="E762" s="382"/>
      <c r="F762" s="382"/>
      <c r="G762" s="382"/>
      <c r="H762" s="382"/>
      <c r="I762" s="382"/>
      <c r="J762" s="382"/>
      <c r="K762" s="382"/>
      <c r="L762" s="382"/>
      <c r="M762" s="382"/>
      <c r="N762" s="382"/>
      <c r="O762" s="382"/>
      <c r="P762" s="382"/>
      <c r="Q762" s="382"/>
      <c r="R762" s="382"/>
      <c r="S762" s="382"/>
      <c r="T762" s="382"/>
    </row>
    <row r="763" spans="3:20" ht="18" x14ac:dyDescent="0.35">
      <c r="C763" s="382"/>
      <c r="D763" s="382"/>
      <c r="E763" s="382"/>
      <c r="F763" s="382"/>
      <c r="G763" s="382"/>
      <c r="H763" s="382"/>
      <c r="I763" s="382"/>
      <c r="J763" s="382"/>
      <c r="K763" s="382"/>
      <c r="L763" s="382"/>
      <c r="M763" s="382"/>
      <c r="N763" s="382"/>
      <c r="O763" s="382"/>
      <c r="P763" s="382"/>
      <c r="Q763" s="382"/>
      <c r="R763" s="382"/>
      <c r="S763" s="382"/>
      <c r="T763" s="382"/>
    </row>
    <row r="764" spans="3:20" ht="18" x14ac:dyDescent="0.35">
      <c r="C764" s="382"/>
      <c r="D764" s="382"/>
      <c r="E764" s="382"/>
      <c r="F764" s="382"/>
      <c r="G764" s="382"/>
      <c r="H764" s="382"/>
      <c r="I764" s="382"/>
      <c r="J764" s="382"/>
      <c r="K764" s="382"/>
      <c r="L764" s="382"/>
      <c r="M764" s="382"/>
      <c r="N764" s="382"/>
      <c r="O764" s="382"/>
      <c r="P764" s="382"/>
      <c r="Q764" s="382"/>
      <c r="R764" s="382"/>
      <c r="S764" s="382"/>
      <c r="T764" s="382"/>
    </row>
    <row r="765" spans="3:20" ht="18" x14ac:dyDescent="0.35">
      <c r="C765" s="382"/>
      <c r="D765" s="382"/>
      <c r="E765" s="382"/>
      <c r="F765" s="382"/>
      <c r="G765" s="382"/>
      <c r="H765" s="382"/>
      <c r="I765" s="382"/>
      <c r="J765" s="382"/>
      <c r="K765" s="382"/>
      <c r="L765" s="382"/>
      <c r="M765" s="382"/>
      <c r="N765" s="382"/>
      <c r="O765" s="382"/>
      <c r="P765" s="382"/>
      <c r="Q765" s="382"/>
      <c r="R765" s="382"/>
      <c r="S765" s="382"/>
      <c r="T765" s="382"/>
    </row>
    <row r="766" spans="3:20" ht="18" x14ac:dyDescent="0.35">
      <c r="C766" s="382"/>
      <c r="D766" s="382"/>
      <c r="E766" s="382"/>
      <c r="F766" s="382"/>
      <c r="G766" s="382"/>
      <c r="H766" s="382"/>
      <c r="I766" s="382"/>
      <c r="J766" s="382"/>
      <c r="K766" s="382"/>
      <c r="L766" s="382"/>
      <c r="M766" s="382"/>
      <c r="N766" s="382"/>
      <c r="O766" s="382"/>
      <c r="P766" s="382"/>
      <c r="Q766" s="382"/>
      <c r="R766" s="382"/>
      <c r="S766" s="382"/>
      <c r="T766" s="382"/>
    </row>
    <row r="767" spans="3:20" ht="18" x14ac:dyDescent="0.35">
      <c r="C767" s="382"/>
      <c r="D767" s="382"/>
      <c r="E767" s="382"/>
      <c r="F767" s="382"/>
      <c r="G767" s="382"/>
      <c r="H767" s="382"/>
      <c r="I767" s="382"/>
      <c r="J767" s="382"/>
      <c r="K767" s="382"/>
      <c r="L767" s="382"/>
      <c r="M767" s="382"/>
      <c r="N767" s="382"/>
      <c r="O767" s="382"/>
      <c r="P767" s="382"/>
      <c r="Q767" s="382"/>
      <c r="R767" s="382"/>
      <c r="S767" s="382"/>
      <c r="T767" s="382"/>
    </row>
    <row r="768" spans="3:20" ht="18" x14ac:dyDescent="0.35">
      <c r="C768" s="382"/>
      <c r="D768" s="382"/>
      <c r="E768" s="382"/>
      <c r="F768" s="382"/>
      <c r="G768" s="382"/>
      <c r="H768" s="382"/>
      <c r="I768" s="382"/>
      <c r="J768" s="382"/>
      <c r="K768" s="382"/>
      <c r="L768" s="382"/>
      <c r="M768" s="382"/>
      <c r="N768" s="382"/>
      <c r="O768" s="382"/>
      <c r="P768" s="382"/>
      <c r="Q768" s="382"/>
      <c r="R768" s="382"/>
      <c r="S768" s="382"/>
      <c r="T768" s="382"/>
    </row>
    <row r="769" spans="3:20" ht="18" x14ac:dyDescent="0.35">
      <c r="C769" s="382"/>
      <c r="D769" s="382"/>
      <c r="E769" s="382"/>
      <c r="F769" s="382"/>
      <c r="G769" s="382"/>
      <c r="H769" s="382"/>
      <c r="I769" s="382"/>
      <c r="J769" s="382"/>
      <c r="K769" s="382"/>
      <c r="L769" s="382"/>
      <c r="M769" s="382"/>
      <c r="N769" s="382"/>
      <c r="O769" s="382"/>
      <c r="P769" s="382"/>
      <c r="Q769" s="382"/>
      <c r="R769" s="382"/>
      <c r="S769" s="382"/>
      <c r="T769" s="382"/>
    </row>
    <row r="770" spans="3:20" ht="18" x14ac:dyDescent="0.35">
      <c r="C770" s="382"/>
      <c r="D770" s="382"/>
      <c r="E770" s="382"/>
      <c r="F770" s="382"/>
      <c r="G770" s="382"/>
      <c r="H770" s="382"/>
      <c r="I770" s="382"/>
      <c r="J770" s="382"/>
      <c r="K770" s="382"/>
      <c r="L770" s="382"/>
      <c r="M770" s="382"/>
      <c r="N770" s="382"/>
      <c r="O770" s="382"/>
      <c r="P770" s="382"/>
      <c r="Q770" s="382"/>
      <c r="R770" s="382"/>
      <c r="S770" s="382"/>
      <c r="T770" s="382"/>
    </row>
    <row r="771" spans="3:20" ht="18" x14ac:dyDescent="0.35">
      <c r="C771" s="382"/>
      <c r="D771" s="382"/>
      <c r="E771" s="382"/>
      <c r="F771" s="382"/>
      <c r="G771" s="382"/>
      <c r="H771" s="382"/>
      <c r="I771" s="382"/>
      <c r="J771" s="382"/>
      <c r="K771" s="382"/>
      <c r="L771" s="382"/>
      <c r="M771" s="382"/>
      <c r="N771" s="382"/>
      <c r="O771" s="382"/>
      <c r="P771" s="382"/>
      <c r="Q771" s="382"/>
      <c r="R771" s="382"/>
      <c r="S771" s="382"/>
      <c r="T771" s="382"/>
    </row>
    <row r="772" spans="3:20" ht="18" x14ac:dyDescent="0.35">
      <c r="C772" s="382"/>
      <c r="D772" s="382"/>
      <c r="E772" s="382"/>
      <c r="F772" s="382"/>
      <c r="G772" s="382"/>
      <c r="H772" s="382"/>
      <c r="I772" s="382"/>
      <c r="J772" s="382"/>
      <c r="K772" s="382"/>
      <c r="L772" s="382"/>
      <c r="M772" s="382"/>
      <c r="N772" s="382"/>
      <c r="O772" s="382"/>
      <c r="P772" s="382"/>
      <c r="Q772" s="382"/>
      <c r="R772" s="382"/>
      <c r="S772" s="382"/>
      <c r="T772" s="382"/>
    </row>
    <row r="773" spans="3:20" ht="18" x14ac:dyDescent="0.35">
      <c r="C773" s="382"/>
      <c r="D773" s="382"/>
      <c r="E773" s="382"/>
      <c r="F773" s="382"/>
      <c r="G773" s="382"/>
      <c r="H773" s="382"/>
      <c r="I773" s="382"/>
      <c r="J773" s="382"/>
      <c r="K773" s="382"/>
      <c r="L773" s="382"/>
      <c r="M773" s="382"/>
      <c r="N773" s="382"/>
      <c r="O773" s="382"/>
      <c r="P773" s="382"/>
      <c r="Q773" s="382"/>
      <c r="R773" s="382"/>
      <c r="S773" s="382"/>
      <c r="T773" s="382"/>
    </row>
    <row r="774" spans="3:20" ht="18" x14ac:dyDescent="0.35">
      <c r="C774" s="382"/>
      <c r="D774" s="382"/>
      <c r="E774" s="382"/>
      <c r="F774" s="382"/>
      <c r="G774" s="382"/>
      <c r="H774" s="382"/>
      <c r="I774" s="382"/>
      <c r="J774" s="382"/>
      <c r="K774" s="382"/>
      <c r="L774" s="382"/>
      <c r="M774" s="382"/>
      <c r="N774" s="382"/>
      <c r="O774" s="382"/>
      <c r="P774" s="382"/>
      <c r="Q774" s="382"/>
      <c r="R774" s="382"/>
      <c r="S774" s="382"/>
      <c r="T774" s="382"/>
    </row>
    <row r="775" spans="3:20" ht="18" x14ac:dyDescent="0.35">
      <c r="C775" s="382"/>
      <c r="D775" s="382"/>
      <c r="E775" s="382"/>
      <c r="F775" s="382"/>
      <c r="G775" s="382"/>
      <c r="H775" s="382"/>
      <c r="I775" s="382"/>
      <c r="J775" s="382"/>
      <c r="K775" s="382"/>
      <c r="L775" s="382"/>
      <c r="M775" s="382"/>
      <c r="N775" s="382"/>
      <c r="O775" s="382"/>
      <c r="P775" s="382"/>
      <c r="Q775" s="382"/>
      <c r="R775" s="382"/>
      <c r="S775" s="382"/>
      <c r="T775" s="382"/>
    </row>
    <row r="776" spans="3:20" ht="18" x14ac:dyDescent="0.35">
      <c r="C776" s="382"/>
      <c r="D776" s="382"/>
      <c r="E776" s="382"/>
      <c r="F776" s="382"/>
      <c r="G776" s="382"/>
      <c r="H776" s="382"/>
      <c r="I776" s="382"/>
      <c r="J776" s="382"/>
      <c r="K776" s="382"/>
      <c r="L776" s="382"/>
      <c r="M776" s="382"/>
      <c r="N776" s="382"/>
      <c r="O776" s="382"/>
      <c r="P776" s="382"/>
      <c r="Q776" s="382"/>
      <c r="R776" s="382"/>
      <c r="S776" s="382"/>
      <c r="T776" s="382"/>
    </row>
    <row r="777" spans="3:20" ht="18" x14ac:dyDescent="0.35">
      <c r="C777" s="382"/>
      <c r="D777" s="382"/>
      <c r="E777" s="382"/>
      <c r="F777" s="382"/>
      <c r="G777" s="382"/>
      <c r="H777" s="382"/>
      <c r="I777" s="382"/>
      <c r="J777" s="382"/>
      <c r="K777" s="382"/>
      <c r="L777" s="382"/>
      <c r="M777" s="382"/>
      <c r="N777" s="382"/>
      <c r="O777" s="382"/>
      <c r="P777" s="382"/>
      <c r="Q777" s="382"/>
      <c r="R777" s="382"/>
      <c r="S777" s="382"/>
      <c r="T777" s="382"/>
    </row>
    <row r="778" spans="3:20" ht="18" x14ac:dyDescent="0.35">
      <c r="C778" s="382"/>
      <c r="D778" s="382"/>
      <c r="E778" s="382"/>
      <c r="F778" s="382"/>
      <c r="G778" s="382"/>
      <c r="H778" s="382"/>
      <c r="I778" s="382"/>
      <c r="J778" s="382"/>
      <c r="K778" s="382"/>
      <c r="L778" s="382"/>
      <c r="M778" s="382"/>
      <c r="N778" s="382"/>
      <c r="O778" s="382"/>
      <c r="P778" s="382"/>
      <c r="Q778" s="382"/>
      <c r="R778" s="382"/>
      <c r="S778" s="382"/>
      <c r="T778" s="382"/>
    </row>
    <row r="779" spans="3:20" ht="18" x14ac:dyDescent="0.35">
      <c r="C779" s="382"/>
      <c r="D779" s="382"/>
      <c r="E779" s="382"/>
      <c r="F779" s="382"/>
      <c r="G779" s="382"/>
      <c r="H779" s="382"/>
      <c r="I779" s="382"/>
      <c r="J779" s="382"/>
      <c r="K779" s="382"/>
      <c r="L779" s="382"/>
      <c r="M779" s="382"/>
      <c r="N779" s="382"/>
      <c r="O779" s="382"/>
      <c r="P779" s="382"/>
      <c r="Q779" s="382"/>
      <c r="R779" s="382"/>
      <c r="S779" s="382"/>
      <c r="T779" s="382"/>
    </row>
    <row r="780" spans="3:20" ht="18" x14ac:dyDescent="0.35">
      <c r="C780" s="382"/>
      <c r="D780" s="382"/>
      <c r="E780" s="382"/>
      <c r="F780" s="382"/>
      <c r="G780" s="382"/>
      <c r="H780" s="382"/>
      <c r="I780" s="382"/>
      <c r="J780" s="382"/>
      <c r="K780" s="382"/>
      <c r="L780" s="382"/>
      <c r="M780" s="382"/>
      <c r="N780" s="382"/>
      <c r="O780" s="382"/>
      <c r="P780" s="382"/>
      <c r="Q780" s="382"/>
      <c r="R780" s="382"/>
      <c r="S780" s="382"/>
      <c r="T780" s="382"/>
    </row>
    <row r="781" spans="3:20" ht="18" x14ac:dyDescent="0.35">
      <c r="C781" s="382"/>
      <c r="D781" s="382"/>
      <c r="E781" s="382"/>
      <c r="F781" s="382"/>
      <c r="G781" s="382"/>
      <c r="H781" s="382"/>
      <c r="I781" s="382"/>
      <c r="J781" s="382"/>
      <c r="K781" s="382"/>
      <c r="L781" s="382"/>
      <c r="M781" s="382"/>
      <c r="N781" s="382"/>
      <c r="O781" s="382"/>
      <c r="P781" s="382"/>
      <c r="Q781" s="382"/>
      <c r="R781" s="382"/>
      <c r="S781" s="382"/>
      <c r="T781" s="382"/>
    </row>
    <row r="782" spans="3:20" ht="18" x14ac:dyDescent="0.35">
      <c r="C782" s="382"/>
      <c r="D782" s="382"/>
      <c r="E782" s="382"/>
      <c r="F782" s="382"/>
      <c r="G782" s="382"/>
      <c r="H782" s="382"/>
      <c r="I782" s="382"/>
      <c r="J782" s="382"/>
      <c r="K782" s="382"/>
      <c r="L782" s="382"/>
      <c r="M782" s="382"/>
      <c r="N782" s="382"/>
      <c r="O782" s="382"/>
      <c r="P782" s="382"/>
      <c r="Q782" s="382"/>
      <c r="R782" s="382"/>
      <c r="S782" s="382"/>
      <c r="T782" s="382"/>
    </row>
    <row r="783" spans="3:20" ht="18" x14ac:dyDescent="0.35">
      <c r="C783" s="382"/>
      <c r="D783" s="382"/>
      <c r="E783" s="382"/>
      <c r="F783" s="382"/>
      <c r="G783" s="382"/>
      <c r="H783" s="382"/>
      <c r="I783" s="382"/>
      <c r="J783" s="382"/>
      <c r="K783" s="382"/>
      <c r="L783" s="382"/>
      <c r="M783" s="382"/>
      <c r="N783" s="382"/>
      <c r="O783" s="382"/>
      <c r="P783" s="382"/>
      <c r="Q783" s="382"/>
      <c r="R783" s="382"/>
      <c r="S783" s="382"/>
      <c r="T783" s="382"/>
    </row>
    <row r="784" spans="3:20" ht="18" x14ac:dyDescent="0.35">
      <c r="C784" s="382"/>
      <c r="D784" s="382"/>
      <c r="E784" s="382"/>
      <c r="F784" s="382"/>
      <c r="G784" s="382"/>
      <c r="H784" s="382"/>
      <c r="I784" s="382"/>
      <c r="J784" s="382"/>
      <c r="K784" s="382"/>
      <c r="L784" s="382"/>
      <c r="M784" s="382"/>
      <c r="N784" s="382"/>
      <c r="O784" s="382"/>
      <c r="P784" s="382"/>
      <c r="Q784" s="382"/>
      <c r="R784" s="382"/>
      <c r="S784" s="382"/>
      <c r="T784" s="382"/>
    </row>
    <row r="785" spans="3:20" ht="18" x14ac:dyDescent="0.35">
      <c r="C785" s="382"/>
      <c r="D785" s="382"/>
      <c r="E785" s="382"/>
      <c r="F785" s="382"/>
      <c r="G785" s="382"/>
      <c r="H785" s="382"/>
      <c r="I785" s="382"/>
      <c r="J785" s="382"/>
      <c r="K785" s="382"/>
      <c r="L785" s="382"/>
      <c r="M785" s="382"/>
      <c r="N785" s="382"/>
      <c r="O785" s="382"/>
      <c r="P785" s="382"/>
      <c r="Q785" s="382"/>
      <c r="R785" s="382"/>
      <c r="S785" s="382"/>
      <c r="T785" s="382"/>
    </row>
    <row r="786" spans="3:20" ht="18" x14ac:dyDescent="0.35">
      <c r="C786" s="382"/>
      <c r="D786" s="382"/>
      <c r="E786" s="382"/>
      <c r="F786" s="382"/>
      <c r="G786" s="382"/>
      <c r="H786" s="382"/>
      <c r="I786" s="382"/>
      <c r="J786" s="382"/>
      <c r="K786" s="382"/>
      <c r="L786" s="382"/>
      <c r="M786" s="382"/>
      <c r="N786" s="382"/>
      <c r="O786" s="382"/>
      <c r="P786" s="382"/>
      <c r="Q786" s="382"/>
      <c r="R786" s="382"/>
      <c r="S786" s="382"/>
      <c r="T786" s="382"/>
    </row>
    <row r="787" spans="3:20" ht="18" x14ac:dyDescent="0.35">
      <c r="C787" s="382"/>
      <c r="D787" s="382"/>
      <c r="E787" s="382"/>
      <c r="F787" s="382"/>
      <c r="G787" s="382"/>
      <c r="H787" s="382"/>
      <c r="I787" s="382"/>
      <c r="J787" s="382"/>
      <c r="K787" s="382"/>
      <c r="L787" s="382"/>
      <c r="M787" s="382"/>
      <c r="N787" s="382"/>
      <c r="O787" s="382"/>
      <c r="P787" s="382"/>
      <c r="Q787" s="382"/>
      <c r="R787" s="382"/>
      <c r="S787" s="382"/>
      <c r="T787" s="382"/>
    </row>
    <row r="788" spans="3:20" ht="18" x14ac:dyDescent="0.35">
      <c r="C788" s="382"/>
      <c r="D788" s="382"/>
      <c r="E788" s="382"/>
      <c r="F788" s="382"/>
      <c r="G788" s="382"/>
      <c r="H788" s="382"/>
      <c r="I788" s="382"/>
      <c r="J788" s="382"/>
      <c r="K788" s="382"/>
      <c r="L788" s="382"/>
      <c r="M788" s="382"/>
      <c r="N788" s="382"/>
      <c r="O788" s="382"/>
      <c r="P788" s="382"/>
      <c r="Q788" s="382"/>
      <c r="R788" s="382"/>
      <c r="S788" s="382"/>
      <c r="T788" s="382"/>
    </row>
    <row r="789" spans="3:20" ht="18" x14ac:dyDescent="0.35">
      <c r="C789" s="382"/>
      <c r="D789" s="382"/>
      <c r="E789" s="382"/>
      <c r="F789" s="382"/>
      <c r="G789" s="382"/>
      <c r="H789" s="382"/>
      <c r="I789" s="382"/>
      <c r="J789" s="382"/>
      <c r="K789" s="382"/>
      <c r="L789" s="382"/>
      <c r="M789" s="382"/>
      <c r="N789" s="382"/>
      <c r="O789" s="382"/>
      <c r="P789" s="382"/>
      <c r="Q789" s="382"/>
      <c r="R789" s="382"/>
      <c r="S789" s="382"/>
      <c r="T789" s="382"/>
    </row>
    <row r="790" spans="3:20" ht="18" x14ac:dyDescent="0.35">
      <c r="C790" s="382"/>
      <c r="D790" s="382"/>
      <c r="E790" s="382"/>
      <c r="F790" s="382"/>
      <c r="G790" s="382"/>
      <c r="H790" s="382"/>
      <c r="I790" s="382"/>
      <c r="J790" s="382"/>
      <c r="K790" s="382"/>
      <c r="L790" s="382"/>
      <c r="M790" s="382"/>
      <c r="N790" s="382"/>
      <c r="O790" s="382"/>
      <c r="P790" s="382"/>
      <c r="Q790" s="382"/>
      <c r="R790" s="382"/>
      <c r="S790" s="382"/>
      <c r="T790" s="382"/>
    </row>
    <row r="791" spans="3:20" ht="18" x14ac:dyDescent="0.35">
      <c r="C791" s="382"/>
      <c r="D791" s="382"/>
      <c r="E791" s="382"/>
      <c r="F791" s="382"/>
      <c r="G791" s="382"/>
      <c r="H791" s="382"/>
      <c r="I791" s="382"/>
      <c r="J791" s="382"/>
      <c r="K791" s="382"/>
      <c r="L791" s="382"/>
      <c r="M791" s="382"/>
      <c r="N791" s="382"/>
      <c r="O791" s="382"/>
      <c r="P791" s="382"/>
      <c r="Q791" s="382"/>
      <c r="R791" s="382"/>
      <c r="S791" s="382"/>
      <c r="T791" s="382"/>
    </row>
    <row r="792" spans="3:20" ht="18" x14ac:dyDescent="0.35">
      <c r="C792" s="382"/>
      <c r="D792" s="382"/>
      <c r="E792" s="382"/>
      <c r="F792" s="382"/>
      <c r="G792" s="382"/>
      <c r="H792" s="382"/>
      <c r="I792" s="382"/>
      <c r="J792" s="382"/>
      <c r="K792" s="382"/>
      <c r="L792" s="382"/>
      <c r="M792" s="382"/>
      <c r="N792" s="382"/>
      <c r="O792" s="382"/>
      <c r="P792" s="382"/>
      <c r="Q792" s="382"/>
      <c r="R792" s="382"/>
      <c r="S792" s="382"/>
      <c r="T792" s="382"/>
    </row>
    <row r="793" spans="3:20" ht="18" x14ac:dyDescent="0.35">
      <c r="C793" s="382"/>
      <c r="D793" s="382"/>
      <c r="E793" s="382"/>
      <c r="F793" s="382"/>
      <c r="G793" s="382"/>
      <c r="H793" s="382"/>
      <c r="I793" s="382"/>
      <c r="J793" s="382"/>
      <c r="K793" s="382"/>
      <c r="L793" s="382"/>
      <c r="M793" s="382"/>
      <c r="N793" s="382"/>
      <c r="O793" s="382"/>
      <c r="P793" s="382"/>
      <c r="Q793" s="382"/>
      <c r="R793" s="382"/>
      <c r="S793" s="382"/>
      <c r="T793" s="382"/>
    </row>
    <row r="794" spans="3:20" ht="18" x14ac:dyDescent="0.35">
      <c r="C794" s="382"/>
      <c r="D794" s="382"/>
      <c r="E794" s="382"/>
      <c r="F794" s="382"/>
      <c r="G794" s="382"/>
      <c r="H794" s="382"/>
      <c r="I794" s="382"/>
      <c r="J794" s="382"/>
      <c r="K794" s="382"/>
      <c r="L794" s="382"/>
      <c r="M794" s="382"/>
      <c r="N794" s="382"/>
      <c r="O794" s="382"/>
      <c r="P794" s="382"/>
      <c r="Q794" s="382"/>
      <c r="R794" s="382"/>
      <c r="S794" s="382"/>
      <c r="T794" s="382"/>
    </row>
    <row r="795" spans="3:20" ht="18" x14ac:dyDescent="0.35">
      <c r="C795" s="382"/>
      <c r="D795" s="382"/>
      <c r="E795" s="382"/>
      <c r="F795" s="382"/>
      <c r="G795" s="382"/>
      <c r="H795" s="382"/>
      <c r="I795" s="382"/>
      <c r="J795" s="382"/>
      <c r="K795" s="382"/>
      <c r="L795" s="382"/>
      <c r="M795" s="382"/>
      <c r="N795" s="382"/>
      <c r="O795" s="382"/>
      <c r="P795" s="382"/>
      <c r="Q795" s="382"/>
      <c r="R795" s="382"/>
      <c r="S795" s="382"/>
      <c r="T795" s="382"/>
    </row>
    <row r="796" spans="3:20" ht="18" x14ac:dyDescent="0.35">
      <c r="C796" s="382"/>
      <c r="D796" s="382"/>
      <c r="E796" s="382"/>
      <c r="F796" s="382"/>
      <c r="G796" s="382"/>
      <c r="H796" s="382"/>
      <c r="I796" s="382"/>
      <c r="J796" s="382"/>
      <c r="K796" s="382"/>
      <c r="L796" s="382"/>
      <c r="M796" s="382"/>
      <c r="N796" s="382"/>
      <c r="O796" s="382"/>
      <c r="P796" s="382"/>
      <c r="Q796" s="382"/>
      <c r="R796" s="382"/>
      <c r="S796" s="382"/>
      <c r="T796" s="382"/>
    </row>
    <row r="797" spans="3:20" ht="18" x14ac:dyDescent="0.35">
      <c r="C797" s="382"/>
      <c r="D797" s="382"/>
      <c r="E797" s="382"/>
      <c r="F797" s="382"/>
      <c r="G797" s="382"/>
      <c r="H797" s="382"/>
      <c r="I797" s="382"/>
      <c r="J797" s="382"/>
      <c r="K797" s="382"/>
      <c r="L797" s="382"/>
      <c r="M797" s="382"/>
      <c r="N797" s="382"/>
      <c r="O797" s="382"/>
      <c r="P797" s="382"/>
      <c r="Q797" s="382"/>
      <c r="R797" s="382"/>
      <c r="S797" s="382"/>
      <c r="T797" s="382"/>
    </row>
    <row r="798" spans="3:20" ht="18" x14ac:dyDescent="0.35">
      <c r="C798" s="382"/>
      <c r="D798" s="382"/>
      <c r="E798" s="382"/>
      <c r="F798" s="382"/>
      <c r="G798" s="382"/>
      <c r="H798" s="382"/>
      <c r="I798" s="382"/>
      <c r="J798" s="382"/>
      <c r="K798" s="382"/>
      <c r="L798" s="382"/>
      <c r="M798" s="382"/>
      <c r="N798" s="382"/>
      <c r="O798" s="382"/>
      <c r="P798" s="382"/>
      <c r="Q798" s="382"/>
      <c r="R798" s="382"/>
      <c r="S798" s="382"/>
      <c r="T798" s="382"/>
    </row>
    <row r="799" spans="3:20" ht="18" x14ac:dyDescent="0.35">
      <c r="C799" s="382"/>
      <c r="D799" s="382"/>
      <c r="E799" s="382"/>
      <c r="F799" s="382"/>
      <c r="G799" s="382"/>
      <c r="H799" s="382"/>
      <c r="I799" s="382"/>
      <c r="J799" s="382"/>
      <c r="K799" s="382"/>
      <c r="L799" s="382"/>
      <c r="M799" s="382"/>
      <c r="N799" s="382"/>
      <c r="O799" s="382"/>
      <c r="P799" s="382"/>
      <c r="Q799" s="382"/>
      <c r="R799" s="382"/>
      <c r="S799" s="382"/>
      <c r="T799" s="382"/>
    </row>
    <row r="800" spans="3:20" ht="18" x14ac:dyDescent="0.35">
      <c r="C800" s="382"/>
      <c r="D800" s="382"/>
      <c r="E800" s="382"/>
      <c r="F800" s="382"/>
      <c r="G800" s="382"/>
      <c r="H800" s="382"/>
      <c r="I800" s="382"/>
      <c r="J800" s="382"/>
      <c r="K800" s="382"/>
      <c r="L800" s="382"/>
      <c r="M800" s="382"/>
      <c r="N800" s="382"/>
      <c r="O800" s="382"/>
      <c r="P800" s="382"/>
      <c r="Q800" s="382"/>
      <c r="R800" s="382"/>
      <c r="S800" s="382"/>
      <c r="T800" s="382"/>
    </row>
    <row r="801" spans="3:20" ht="18" x14ac:dyDescent="0.35">
      <c r="C801" s="382"/>
      <c r="D801" s="382"/>
      <c r="E801" s="382"/>
      <c r="F801" s="382"/>
      <c r="G801" s="382"/>
      <c r="H801" s="382"/>
      <c r="I801" s="382"/>
      <c r="J801" s="382"/>
      <c r="K801" s="382"/>
      <c r="L801" s="382"/>
      <c r="M801" s="382"/>
      <c r="N801" s="382"/>
      <c r="O801" s="382"/>
      <c r="P801" s="382"/>
      <c r="Q801" s="382"/>
      <c r="R801" s="382"/>
      <c r="S801" s="382"/>
      <c r="T801" s="382"/>
    </row>
    <row r="802" spans="3:20" ht="18" x14ac:dyDescent="0.35">
      <c r="C802" s="382"/>
      <c r="D802" s="382"/>
      <c r="E802" s="382"/>
      <c r="F802" s="382"/>
      <c r="G802" s="382"/>
      <c r="H802" s="382"/>
      <c r="I802" s="382"/>
      <c r="J802" s="382"/>
      <c r="K802" s="382"/>
      <c r="L802" s="382"/>
      <c r="M802" s="382"/>
      <c r="N802" s="382"/>
      <c r="O802" s="382"/>
      <c r="P802" s="382"/>
      <c r="Q802" s="382"/>
      <c r="R802" s="382"/>
      <c r="S802" s="382"/>
      <c r="T802" s="382"/>
    </row>
    <row r="803" spans="3:20" ht="18" x14ac:dyDescent="0.35">
      <c r="C803" s="382"/>
      <c r="D803" s="382"/>
      <c r="E803" s="382"/>
      <c r="F803" s="382"/>
      <c r="G803" s="382"/>
      <c r="H803" s="382"/>
      <c r="I803" s="382"/>
      <c r="J803" s="382"/>
      <c r="K803" s="382"/>
      <c r="L803" s="382"/>
      <c r="M803" s="382"/>
      <c r="N803" s="382"/>
      <c r="O803" s="382"/>
      <c r="P803" s="382"/>
      <c r="Q803" s="382"/>
      <c r="R803" s="382"/>
      <c r="S803" s="382"/>
      <c r="T803" s="382"/>
    </row>
    <row r="804" spans="3:20" ht="18" x14ac:dyDescent="0.35">
      <c r="C804" s="382"/>
      <c r="D804" s="382"/>
      <c r="E804" s="382"/>
      <c r="F804" s="382"/>
      <c r="G804" s="382"/>
      <c r="H804" s="382"/>
      <c r="I804" s="382"/>
      <c r="J804" s="382"/>
      <c r="K804" s="382"/>
      <c r="L804" s="382"/>
      <c r="M804" s="382"/>
      <c r="N804" s="382"/>
      <c r="O804" s="382"/>
      <c r="P804" s="382"/>
      <c r="Q804" s="382"/>
      <c r="R804" s="382"/>
      <c r="S804" s="382"/>
      <c r="T804" s="382"/>
    </row>
    <row r="805" spans="3:20" ht="18" x14ac:dyDescent="0.35">
      <c r="C805" s="382"/>
      <c r="D805" s="382"/>
      <c r="E805" s="382"/>
      <c r="F805" s="382"/>
      <c r="G805" s="382"/>
      <c r="H805" s="382"/>
      <c r="I805" s="382"/>
      <c r="J805" s="382"/>
      <c r="K805" s="382"/>
      <c r="L805" s="382"/>
      <c r="M805" s="382"/>
      <c r="N805" s="382"/>
      <c r="O805" s="382"/>
      <c r="P805" s="382"/>
      <c r="Q805" s="382"/>
      <c r="R805" s="382"/>
      <c r="S805" s="382"/>
      <c r="T805" s="382"/>
    </row>
    <row r="806" spans="3:20" ht="18" x14ac:dyDescent="0.35">
      <c r="C806" s="382"/>
      <c r="D806" s="382"/>
      <c r="E806" s="382"/>
      <c r="F806" s="382"/>
      <c r="G806" s="382"/>
      <c r="H806" s="382"/>
      <c r="I806" s="382"/>
      <c r="J806" s="382"/>
      <c r="K806" s="382"/>
      <c r="L806" s="382"/>
      <c r="M806" s="382"/>
      <c r="N806" s="382"/>
      <c r="O806" s="382"/>
      <c r="P806" s="382"/>
      <c r="Q806" s="382"/>
      <c r="R806" s="382"/>
      <c r="S806" s="382"/>
      <c r="T806" s="382"/>
    </row>
    <row r="807" spans="3:20" ht="18" x14ac:dyDescent="0.35">
      <c r="C807" s="382"/>
      <c r="D807" s="382"/>
      <c r="E807" s="382"/>
      <c r="F807" s="382"/>
      <c r="G807" s="382"/>
      <c r="H807" s="382"/>
      <c r="I807" s="382"/>
      <c r="J807" s="382"/>
      <c r="K807" s="382"/>
      <c r="L807" s="382"/>
      <c r="M807" s="382"/>
      <c r="N807" s="382"/>
      <c r="O807" s="382"/>
      <c r="P807" s="382"/>
      <c r="Q807" s="382"/>
      <c r="R807" s="382"/>
      <c r="S807" s="382"/>
      <c r="T807" s="382"/>
    </row>
    <row r="808" spans="3:20" ht="18" x14ac:dyDescent="0.35">
      <c r="C808" s="382"/>
      <c r="D808" s="382"/>
      <c r="E808" s="382"/>
      <c r="F808" s="382"/>
      <c r="G808" s="382"/>
      <c r="H808" s="382"/>
      <c r="I808" s="382"/>
      <c r="J808" s="382"/>
      <c r="K808" s="382"/>
      <c r="L808" s="382"/>
      <c r="M808" s="382"/>
      <c r="N808" s="382"/>
      <c r="O808" s="382"/>
      <c r="P808" s="382"/>
      <c r="Q808" s="382"/>
      <c r="R808" s="382"/>
      <c r="S808" s="382"/>
      <c r="T808" s="382"/>
    </row>
    <row r="809" spans="3:20" ht="18" x14ac:dyDescent="0.35">
      <c r="C809" s="382"/>
      <c r="D809" s="382"/>
      <c r="E809" s="382"/>
      <c r="F809" s="382"/>
      <c r="G809" s="382"/>
      <c r="H809" s="382"/>
      <c r="I809" s="382"/>
      <c r="J809" s="382"/>
      <c r="K809" s="382"/>
      <c r="L809" s="382"/>
      <c r="M809" s="382"/>
      <c r="N809" s="382"/>
      <c r="O809" s="382"/>
      <c r="P809" s="382"/>
      <c r="Q809" s="382"/>
      <c r="R809" s="382"/>
      <c r="S809" s="382"/>
      <c r="T809" s="382"/>
    </row>
    <row r="810" spans="3:20" ht="18" x14ac:dyDescent="0.35">
      <c r="C810" s="382"/>
      <c r="D810" s="382"/>
      <c r="E810" s="382"/>
      <c r="F810" s="382"/>
      <c r="G810" s="382"/>
      <c r="H810" s="382"/>
      <c r="I810" s="382"/>
      <c r="J810" s="382"/>
      <c r="K810" s="382"/>
      <c r="L810" s="382"/>
      <c r="M810" s="382"/>
      <c r="N810" s="382"/>
      <c r="O810" s="382"/>
      <c r="P810" s="382"/>
      <c r="Q810" s="382"/>
      <c r="R810" s="382"/>
      <c r="S810" s="382"/>
      <c r="T810" s="382"/>
    </row>
    <row r="811" spans="3:20" ht="18" x14ac:dyDescent="0.35">
      <c r="C811" s="382"/>
      <c r="D811" s="382"/>
      <c r="E811" s="382"/>
      <c r="F811" s="382"/>
      <c r="G811" s="382"/>
      <c r="H811" s="382"/>
      <c r="I811" s="382"/>
      <c r="J811" s="382"/>
      <c r="K811" s="382"/>
      <c r="L811" s="382"/>
      <c r="M811" s="382"/>
      <c r="N811" s="382"/>
      <c r="O811" s="382"/>
      <c r="P811" s="382"/>
      <c r="Q811" s="382"/>
      <c r="R811" s="382"/>
      <c r="S811" s="382"/>
      <c r="T811" s="382"/>
    </row>
    <row r="812" spans="3:20" ht="18" x14ac:dyDescent="0.35">
      <c r="C812" s="382"/>
      <c r="D812" s="382"/>
      <c r="E812" s="382"/>
      <c r="F812" s="382"/>
      <c r="G812" s="382"/>
      <c r="H812" s="382"/>
      <c r="I812" s="382"/>
      <c r="J812" s="382"/>
      <c r="K812" s="382"/>
      <c r="L812" s="382"/>
      <c r="M812" s="382"/>
      <c r="N812" s="382"/>
      <c r="O812" s="382"/>
      <c r="P812" s="382"/>
      <c r="Q812" s="382"/>
      <c r="R812" s="382"/>
      <c r="S812" s="382"/>
      <c r="T812" s="382"/>
    </row>
    <row r="813" spans="3:20" ht="18" x14ac:dyDescent="0.35">
      <c r="C813" s="382"/>
      <c r="D813" s="382"/>
      <c r="E813" s="382"/>
      <c r="F813" s="382"/>
      <c r="G813" s="382"/>
      <c r="H813" s="382"/>
      <c r="I813" s="382"/>
      <c r="J813" s="382"/>
      <c r="K813" s="382"/>
      <c r="L813" s="382"/>
      <c r="M813" s="382"/>
      <c r="N813" s="382"/>
      <c r="O813" s="382"/>
      <c r="P813" s="382"/>
      <c r="Q813" s="382"/>
      <c r="R813" s="382"/>
      <c r="S813" s="382"/>
      <c r="T813" s="382"/>
    </row>
    <row r="814" spans="3:20" ht="18" x14ac:dyDescent="0.35">
      <c r="C814" s="382"/>
      <c r="D814" s="382"/>
      <c r="E814" s="382"/>
      <c r="F814" s="382"/>
      <c r="G814" s="382"/>
      <c r="H814" s="382"/>
      <c r="I814" s="382"/>
      <c r="J814" s="382"/>
      <c r="K814" s="382"/>
      <c r="L814" s="382"/>
      <c r="M814" s="382"/>
      <c r="N814" s="382"/>
      <c r="O814" s="382"/>
      <c r="P814" s="382"/>
      <c r="Q814" s="382"/>
      <c r="R814" s="382"/>
      <c r="S814" s="382"/>
      <c r="T814" s="382"/>
    </row>
    <row r="815" spans="3:20" ht="18" x14ac:dyDescent="0.35">
      <c r="C815" s="382"/>
      <c r="D815" s="382"/>
      <c r="E815" s="382"/>
      <c r="F815" s="382"/>
      <c r="G815" s="382"/>
      <c r="H815" s="382"/>
      <c r="I815" s="382"/>
      <c r="J815" s="382"/>
      <c r="K815" s="382"/>
      <c r="L815" s="382"/>
      <c r="M815" s="382"/>
      <c r="N815" s="382"/>
      <c r="O815" s="382"/>
      <c r="P815" s="382"/>
      <c r="Q815" s="382"/>
      <c r="R815" s="382"/>
      <c r="S815" s="382"/>
      <c r="T815" s="382"/>
    </row>
    <row r="816" spans="3:20" ht="18" x14ac:dyDescent="0.35">
      <c r="C816" s="382"/>
      <c r="D816" s="382"/>
      <c r="E816" s="382"/>
      <c r="F816" s="382"/>
      <c r="G816" s="382"/>
      <c r="H816" s="382"/>
      <c r="I816" s="382"/>
      <c r="J816" s="382"/>
      <c r="K816" s="382"/>
      <c r="L816" s="382"/>
      <c r="M816" s="382"/>
      <c r="N816" s="382"/>
      <c r="O816" s="382"/>
      <c r="P816" s="382"/>
      <c r="Q816" s="382"/>
      <c r="R816" s="382"/>
      <c r="S816" s="382"/>
      <c r="T816" s="382"/>
    </row>
    <row r="817" spans="3:20" ht="18" x14ac:dyDescent="0.35">
      <c r="C817" s="382"/>
      <c r="D817" s="382"/>
      <c r="E817" s="382"/>
      <c r="F817" s="382"/>
      <c r="G817" s="382"/>
      <c r="H817" s="382"/>
      <c r="I817" s="382"/>
      <c r="J817" s="382"/>
      <c r="K817" s="382"/>
      <c r="L817" s="382"/>
      <c r="M817" s="382"/>
      <c r="N817" s="382"/>
      <c r="O817" s="382"/>
      <c r="P817" s="382"/>
      <c r="Q817" s="382"/>
      <c r="R817" s="382"/>
      <c r="S817" s="382"/>
      <c r="T817" s="382"/>
    </row>
    <row r="818" spans="3:20" ht="18" x14ac:dyDescent="0.35">
      <c r="C818" s="382"/>
      <c r="D818" s="382"/>
      <c r="E818" s="382"/>
      <c r="F818" s="382"/>
      <c r="G818" s="382"/>
      <c r="H818" s="382"/>
      <c r="I818" s="382"/>
      <c r="J818" s="382"/>
      <c r="K818" s="382"/>
      <c r="L818" s="382"/>
      <c r="M818" s="382"/>
      <c r="N818" s="382"/>
      <c r="O818" s="382"/>
      <c r="P818" s="382"/>
      <c r="Q818" s="382"/>
      <c r="R818" s="382"/>
      <c r="S818" s="382"/>
      <c r="T818" s="382"/>
    </row>
    <row r="819" spans="3:20" ht="18" x14ac:dyDescent="0.35">
      <c r="C819" s="382"/>
      <c r="D819" s="382"/>
      <c r="E819" s="382"/>
      <c r="F819" s="382"/>
      <c r="G819" s="382"/>
      <c r="H819" s="382"/>
      <c r="I819" s="382"/>
      <c r="J819" s="382"/>
      <c r="K819" s="382"/>
      <c r="L819" s="382"/>
      <c r="M819" s="382"/>
      <c r="N819" s="382"/>
      <c r="O819" s="382"/>
      <c r="P819" s="382"/>
      <c r="Q819" s="382"/>
      <c r="R819" s="382"/>
      <c r="S819" s="382"/>
      <c r="T819" s="382"/>
    </row>
    <row r="820" spans="3:20" ht="18" x14ac:dyDescent="0.35">
      <c r="C820" s="382"/>
      <c r="D820" s="382"/>
      <c r="E820" s="382"/>
      <c r="F820" s="382"/>
      <c r="G820" s="382"/>
      <c r="H820" s="382"/>
      <c r="I820" s="382"/>
      <c r="J820" s="382"/>
      <c r="K820" s="382"/>
      <c r="L820" s="382"/>
      <c r="M820" s="382"/>
      <c r="N820" s="382"/>
      <c r="O820" s="382"/>
      <c r="P820" s="382"/>
      <c r="Q820" s="382"/>
      <c r="R820" s="382"/>
      <c r="S820" s="382"/>
      <c r="T820" s="382"/>
    </row>
    <row r="821" spans="3:20" ht="18" x14ac:dyDescent="0.35">
      <c r="C821" s="382"/>
      <c r="D821" s="382"/>
      <c r="E821" s="382"/>
      <c r="F821" s="382"/>
      <c r="G821" s="382"/>
      <c r="H821" s="382"/>
      <c r="I821" s="382"/>
      <c r="J821" s="382"/>
      <c r="K821" s="382"/>
      <c r="L821" s="382"/>
      <c r="M821" s="382"/>
      <c r="N821" s="382"/>
      <c r="O821" s="382"/>
      <c r="P821" s="382"/>
      <c r="Q821" s="382"/>
      <c r="R821" s="382"/>
      <c r="S821" s="382"/>
      <c r="T821" s="382"/>
    </row>
    <row r="822" spans="3:20" ht="18" x14ac:dyDescent="0.35">
      <c r="C822" s="382"/>
      <c r="D822" s="382"/>
      <c r="E822" s="382"/>
      <c r="F822" s="382"/>
      <c r="G822" s="382"/>
      <c r="H822" s="382"/>
      <c r="I822" s="382"/>
      <c r="J822" s="382"/>
      <c r="K822" s="382"/>
      <c r="L822" s="382"/>
      <c r="M822" s="382"/>
      <c r="N822" s="382"/>
      <c r="O822" s="382"/>
      <c r="P822" s="382"/>
      <c r="Q822" s="382"/>
      <c r="R822" s="382"/>
      <c r="S822" s="382"/>
      <c r="T822" s="382"/>
    </row>
    <row r="823" spans="3:20" ht="18" x14ac:dyDescent="0.35">
      <c r="C823" s="382"/>
      <c r="D823" s="382"/>
      <c r="E823" s="382"/>
      <c r="F823" s="382"/>
      <c r="G823" s="382"/>
      <c r="H823" s="382"/>
      <c r="I823" s="382"/>
      <c r="J823" s="382"/>
      <c r="K823" s="382"/>
      <c r="L823" s="382"/>
      <c r="M823" s="382"/>
      <c r="N823" s="382"/>
      <c r="O823" s="382"/>
      <c r="P823" s="382"/>
      <c r="Q823" s="382"/>
      <c r="R823" s="382"/>
      <c r="S823" s="382"/>
      <c r="T823" s="382"/>
    </row>
    <row r="824" spans="3:20" ht="18" x14ac:dyDescent="0.35">
      <c r="C824" s="382"/>
      <c r="D824" s="382"/>
      <c r="E824" s="382"/>
      <c r="F824" s="382"/>
      <c r="G824" s="382"/>
      <c r="H824" s="382"/>
      <c r="I824" s="382"/>
      <c r="J824" s="382"/>
      <c r="K824" s="382"/>
      <c r="L824" s="382"/>
      <c r="M824" s="382"/>
      <c r="N824" s="382"/>
      <c r="O824" s="382"/>
      <c r="P824" s="382"/>
      <c r="Q824" s="382"/>
      <c r="R824" s="382"/>
      <c r="S824" s="382"/>
      <c r="T824" s="382"/>
    </row>
    <row r="825" spans="3:20" ht="18" x14ac:dyDescent="0.35">
      <c r="C825" s="382"/>
      <c r="D825" s="382"/>
      <c r="E825" s="382"/>
      <c r="F825" s="382"/>
      <c r="G825" s="382"/>
      <c r="H825" s="382"/>
      <c r="I825" s="382"/>
      <c r="J825" s="382"/>
      <c r="K825" s="382"/>
      <c r="L825" s="382"/>
      <c r="M825" s="382"/>
      <c r="N825" s="382"/>
      <c r="O825" s="382"/>
      <c r="P825" s="382"/>
      <c r="Q825" s="382"/>
      <c r="R825" s="382"/>
      <c r="S825" s="382"/>
      <c r="T825" s="382"/>
    </row>
    <row r="826" spans="3:20" ht="18" x14ac:dyDescent="0.35">
      <c r="C826" s="382"/>
      <c r="D826" s="382"/>
      <c r="E826" s="382"/>
      <c r="F826" s="382"/>
      <c r="G826" s="382"/>
      <c r="H826" s="382"/>
      <c r="I826" s="382"/>
      <c r="J826" s="382"/>
      <c r="K826" s="382"/>
      <c r="L826" s="382"/>
      <c r="M826" s="382"/>
      <c r="N826" s="382"/>
      <c r="O826" s="382"/>
      <c r="P826" s="382"/>
      <c r="Q826" s="382"/>
      <c r="R826" s="382"/>
      <c r="S826" s="382"/>
      <c r="T826" s="382"/>
    </row>
    <row r="827" spans="3:20" ht="18" x14ac:dyDescent="0.35">
      <c r="C827" s="382"/>
      <c r="D827" s="382"/>
      <c r="E827" s="382"/>
      <c r="F827" s="382"/>
      <c r="G827" s="382"/>
      <c r="H827" s="382"/>
      <c r="I827" s="382"/>
      <c r="J827" s="382"/>
      <c r="K827" s="382"/>
      <c r="L827" s="382"/>
      <c r="M827" s="382"/>
      <c r="N827" s="382"/>
      <c r="O827" s="382"/>
      <c r="P827" s="382"/>
      <c r="Q827" s="382"/>
      <c r="R827" s="382"/>
      <c r="S827" s="382"/>
      <c r="T827" s="382"/>
    </row>
    <row r="828" spans="3:20" ht="18" x14ac:dyDescent="0.35">
      <c r="C828" s="382"/>
      <c r="D828" s="382"/>
      <c r="E828" s="382"/>
      <c r="F828" s="382"/>
      <c r="G828" s="382"/>
      <c r="H828" s="382"/>
      <c r="I828" s="382"/>
      <c r="J828" s="382"/>
      <c r="K828" s="382"/>
      <c r="L828" s="382"/>
      <c r="M828" s="382"/>
      <c r="N828" s="382"/>
      <c r="O828" s="382"/>
      <c r="P828" s="382"/>
      <c r="Q828" s="382"/>
      <c r="R828" s="382"/>
      <c r="S828" s="382"/>
      <c r="T828" s="382"/>
    </row>
    <row r="829" spans="3:20" ht="18" x14ac:dyDescent="0.35">
      <c r="C829" s="382"/>
      <c r="D829" s="382"/>
      <c r="E829" s="382"/>
      <c r="F829" s="382"/>
      <c r="G829" s="382"/>
      <c r="H829" s="382"/>
      <c r="I829" s="382"/>
      <c r="J829" s="382"/>
      <c r="K829" s="382"/>
      <c r="L829" s="382"/>
      <c r="M829" s="382"/>
      <c r="N829" s="382"/>
      <c r="O829" s="382"/>
      <c r="P829" s="382"/>
      <c r="Q829" s="382"/>
      <c r="R829" s="382"/>
      <c r="S829" s="382"/>
      <c r="T829" s="382"/>
    </row>
    <row r="830" spans="3:20" ht="18" x14ac:dyDescent="0.35">
      <c r="C830" s="382"/>
      <c r="D830" s="382"/>
      <c r="E830" s="382"/>
      <c r="F830" s="382"/>
      <c r="G830" s="382"/>
      <c r="H830" s="382"/>
      <c r="I830" s="382"/>
      <c r="J830" s="382"/>
      <c r="K830" s="382"/>
      <c r="L830" s="382"/>
      <c r="M830" s="382"/>
      <c r="N830" s="382"/>
      <c r="O830" s="382"/>
      <c r="P830" s="382"/>
      <c r="Q830" s="382"/>
      <c r="R830" s="382"/>
      <c r="S830" s="382"/>
      <c r="T830" s="382"/>
    </row>
    <row r="831" spans="3:20" ht="18" x14ac:dyDescent="0.35">
      <c r="C831" s="382"/>
      <c r="D831" s="382"/>
      <c r="E831" s="382"/>
      <c r="F831" s="382"/>
      <c r="G831" s="382"/>
      <c r="H831" s="382"/>
      <c r="I831" s="382"/>
      <c r="J831" s="382"/>
      <c r="K831" s="382"/>
      <c r="L831" s="382"/>
      <c r="M831" s="382"/>
      <c r="N831" s="382"/>
      <c r="O831" s="382"/>
      <c r="P831" s="382"/>
      <c r="Q831" s="382"/>
      <c r="R831" s="382"/>
      <c r="S831" s="382"/>
      <c r="T831" s="382"/>
    </row>
    <row r="832" spans="3:20" ht="18" x14ac:dyDescent="0.35">
      <c r="C832" s="382"/>
      <c r="D832" s="382"/>
      <c r="E832" s="382"/>
      <c r="F832" s="382"/>
      <c r="G832" s="382"/>
      <c r="H832" s="382"/>
      <c r="I832" s="382"/>
      <c r="J832" s="382"/>
      <c r="K832" s="382"/>
      <c r="L832" s="382"/>
      <c r="M832" s="382"/>
      <c r="N832" s="382"/>
      <c r="O832" s="382"/>
      <c r="P832" s="382"/>
      <c r="Q832" s="382"/>
      <c r="R832" s="382"/>
      <c r="S832" s="382"/>
      <c r="T832" s="382"/>
    </row>
    <row r="833" spans="3:20" ht="18" x14ac:dyDescent="0.35">
      <c r="C833" s="382"/>
      <c r="D833" s="382"/>
      <c r="E833" s="382"/>
      <c r="F833" s="382"/>
      <c r="G833" s="382"/>
      <c r="H833" s="382"/>
      <c r="I833" s="382"/>
      <c r="J833" s="382"/>
      <c r="K833" s="382"/>
      <c r="L833" s="382"/>
      <c r="M833" s="382"/>
      <c r="N833" s="382"/>
      <c r="O833" s="382"/>
      <c r="P833" s="382"/>
      <c r="Q833" s="382"/>
      <c r="R833" s="382"/>
      <c r="S833" s="382"/>
      <c r="T833" s="382"/>
    </row>
    <row r="834" spans="3:20" ht="18" x14ac:dyDescent="0.35">
      <c r="C834" s="382"/>
      <c r="D834" s="382"/>
      <c r="E834" s="382"/>
      <c r="F834" s="382"/>
      <c r="G834" s="382"/>
      <c r="H834" s="382"/>
      <c r="I834" s="382"/>
      <c r="J834" s="382"/>
      <c r="K834" s="382"/>
      <c r="L834" s="382"/>
      <c r="M834" s="382"/>
      <c r="N834" s="382"/>
      <c r="O834" s="382"/>
      <c r="P834" s="382"/>
      <c r="Q834" s="382"/>
      <c r="R834" s="382"/>
      <c r="S834" s="382"/>
      <c r="T834" s="382"/>
    </row>
    <row r="835" spans="3:20" ht="18" x14ac:dyDescent="0.35">
      <c r="C835" s="382"/>
      <c r="D835" s="382"/>
      <c r="E835" s="382"/>
      <c r="F835" s="382"/>
      <c r="G835" s="382"/>
      <c r="H835" s="382"/>
      <c r="I835" s="382"/>
      <c r="J835" s="382"/>
      <c r="K835" s="382"/>
      <c r="L835" s="382"/>
      <c r="M835" s="382"/>
      <c r="N835" s="382"/>
      <c r="O835" s="382"/>
      <c r="P835" s="382"/>
      <c r="Q835" s="382"/>
      <c r="R835" s="382"/>
      <c r="S835" s="382"/>
      <c r="T835" s="382"/>
    </row>
    <row r="836" spans="3:20" ht="18" x14ac:dyDescent="0.35">
      <c r="C836" s="382"/>
      <c r="D836" s="382"/>
      <c r="E836" s="382"/>
      <c r="F836" s="382"/>
      <c r="G836" s="382"/>
      <c r="H836" s="382"/>
      <c r="I836" s="382"/>
      <c r="J836" s="382"/>
      <c r="K836" s="382"/>
      <c r="L836" s="382"/>
      <c r="M836" s="382"/>
      <c r="N836" s="382"/>
      <c r="O836" s="382"/>
      <c r="P836" s="382"/>
      <c r="Q836" s="382"/>
      <c r="R836" s="382"/>
      <c r="S836" s="382"/>
      <c r="T836" s="382"/>
    </row>
    <row r="837" spans="3:20" ht="18" x14ac:dyDescent="0.35">
      <c r="C837" s="382"/>
      <c r="D837" s="382"/>
      <c r="E837" s="382"/>
      <c r="F837" s="382"/>
      <c r="G837" s="382"/>
      <c r="H837" s="382"/>
      <c r="I837" s="382"/>
      <c r="J837" s="382"/>
      <c r="K837" s="382"/>
      <c r="L837" s="382"/>
      <c r="M837" s="382"/>
      <c r="N837" s="382"/>
      <c r="O837" s="382"/>
      <c r="P837" s="382"/>
      <c r="Q837" s="382"/>
      <c r="R837" s="382"/>
      <c r="S837" s="382"/>
      <c r="T837" s="382"/>
    </row>
    <row r="838" spans="3:20" ht="18" x14ac:dyDescent="0.35">
      <c r="C838" s="382"/>
      <c r="D838" s="382"/>
      <c r="E838" s="382"/>
      <c r="F838" s="382"/>
      <c r="G838" s="382"/>
      <c r="H838" s="382"/>
      <c r="I838" s="382"/>
      <c r="J838" s="382"/>
      <c r="K838" s="382"/>
      <c r="L838" s="382"/>
      <c r="M838" s="382"/>
      <c r="N838" s="382"/>
      <c r="O838" s="382"/>
      <c r="P838" s="382"/>
      <c r="Q838" s="382"/>
      <c r="R838" s="382"/>
      <c r="S838" s="382"/>
      <c r="T838" s="382"/>
    </row>
    <row r="839" spans="3:20" ht="18" x14ac:dyDescent="0.35">
      <c r="C839" s="382"/>
      <c r="D839" s="382"/>
      <c r="E839" s="382"/>
      <c r="F839" s="382"/>
      <c r="G839" s="382"/>
      <c r="H839" s="382"/>
      <c r="I839" s="382"/>
      <c r="J839" s="382"/>
      <c r="K839" s="382"/>
      <c r="L839" s="382"/>
      <c r="M839" s="382"/>
      <c r="N839" s="382"/>
      <c r="O839" s="382"/>
      <c r="P839" s="382"/>
      <c r="Q839" s="382"/>
      <c r="R839" s="382"/>
      <c r="S839" s="382"/>
      <c r="T839" s="382"/>
    </row>
    <row r="840" spans="3:20" ht="18" x14ac:dyDescent="0.35">
      <c r="C840" s="382"/>
      <c r="D840" s="382"/>
      <c r="E840" s="382"/>
      <c r="F840" s="382"/>
      <c r="G840" s="382"/>
      <c r="H840" s="382"/>
      <c r="I840" s="382"/>
      <c r="J840" s="382"/>
      <c r="K840" s="382"/>
      <c r="L840" s="382"/>
      <c r="M840" s="382"/>
      <c r="N840" s="382"/>
      <c r="O840" s="382"/>
      <c r="P840" s="382"/>
      <c r="Q840" s="382"/>
      <c r="R840" s="382"/>
      <c r="S840" s="382"/>
      <c r="T840" s="382"/>
    </row>
    <row r="841" spans="3:20" ht="18" x14ac:dyDescent="0.35">
      <c r="C841" s="382"/>
      <c r="D841" s="382"/>
      <c r="E841" s="382"/>
      <c r="F841" s="382"/>
      <c r="G841" s="382"/>
      <c r="H841" s="382"/>
      <c r="I841" s="382"/>
      <c r="J841" s="382"/>
      <c r="K841" s="382"/>
      <c r="L841" s="382"/>
      <c r="M841" s="382"/>
      <c r="N841" s="382"/>
      <c r="O841" s="382"/>
      <c r="P841" s="382"/>
      <c r="Q841" s="382"/>
      <c r="R841" s="382"/>
      <c r="S841" s="382"/>
      <c r="T841" s="382"/>
    </row>
    <row r="842" spans="3:20" ht="18" x14ac:dyDescent="0.35">
      <c r="C842" s="382"/>
      <c r="D842" s="382"/>
      <c r="E842" s="382"/>
      <c r="F842" s="382"/>
      <c r="G842" s="382"/>
      <c r="H842" s="382"/>
      <c r="I842" s="382"/>
      <c r="J842" s="382"/>
      <c r="K842" s="382"/>
      <c r="L842" s="382"/>
      <c r="M842" s="382"/>
      <c r="N842" s="382"/>
      <c r="O842" s="382"/>
      <c r="P842" s="382"/>
      <c r="Q842" s="382"/>
      <c r="R842" s="382"/>
      <c r="S842" s="382"/>
      <c r="T842" s="382"/>
    </row>
    <row r="843" spans="3:20" ht="18" x14ac:dyDescent="0.35">
      <c r="C843" s="382"/>
      <c r="D843" s="382"/>
      <c r="E843" s="382"/>
      <c r="F843" s="382"/>
      <c r="G843" s="382"/>
      <c r="H843" s="382"/>
      <c r="I843" s="382"/>
      <c r="J843" s="382"/>
      <c r="K843" s="382"/>
      <c r="L843" s="382"/>
      <c r="M843" s="382"/>
      <c r="N843" s="382"/>
      <c r="O843" s="382"/>
      <c r="P843" s="382"/>
      <c r="Q843" s="382"/>
      <c r="R843" s="382"/>
      <c r="S843" s="382"/>
      <c r="T843" s="382"/>
    </row>
    <row r="844" spans="3:20" ht="18" x14ac:dyDescent="0.35">
      <c r="C844" s="382"/>
      <c r="D844" s="382"/>
      <c r="E844" s="382"/>
      <c r="F844" s="382"/>
      <c r="G844" s="382"/>
      <c r="H844" s="382"/>
      <c r="I844" s="382"/>
      <c r="J844" s="382"/>
      <c r="K844" s="382"/>
      <c r="L844" s="382"/>
      <c r="M844" s="382"/>
      <c r="N844" s="382"/>
      <c r="O844" s="382"/>
      <c r="P844" s="382"/>
      <c r="Q844" s="382"/>
      <c r="R844" s="382"/>
      <c r="S844" s="382"/>
      <c r="T844" s="382"/>
    </row>
    <row r="845" spans="3:20" ht="18" x14ac:dyDescent="0.35">
      <c r="C845" s="382"/>
      <c r="D845" s="382"/>
      <c r="E845" s="382"/>
      <c r="F845" s="382"/>
      <c r="G845" s="382"/>
      <c r="H845" s="382"/>
      <c r="I845" s="382"/>
      <c r="J845" s="382"/>
      <c r="K845" s="382"/>
      <c r="L845" s="382"/>
      <c r="M845" s="382"/>
      <c r="N845" s="382"/>
      <c r="O845" s="382"/>
      <c r="P845" s="382"/>
      <c r="Q845" s="382"/>
      <c r="R845" s="382"/>
      <c r="S845" s="382"/>
      <c r="T845" s="382"/>
    </row>
    <row r="846" spans="3:20" ht="18" x14ac:dyDescent="0.35">
      <c r="C846" s="382"/>
      <c r="D846" s="382"/>
      <c r="E846" s="382"/>
      <c r="F846" s="382"/>
      <c r="G846" s="382"/>
      <c r="H846" s="382"/>
      <c r="I846" s="382"/>
      <c r="J846" s="382"/>
      <c r="K846" s="382"/>
      <c r="L846" s="382"/>
      <c r="M846" s="382"/>
      <c r="N846" s="382"/>
      <c r="O846" s="382"/>
      <c r="P846" s="382"/>
      <c r="Q846" s="382"/>
      <c r="R846" s="382"/>
      <c r="S846" s="382"/>
      <c r="T846" s="382"/>
    </row>
    <row r="847" spans="3:20" ht="18" x14ac:dyDescent="0.35">
      <c r="C847" s="382"/>
      <c r="D847" s="382"/>
      <c r="E847" s="382"/>
      <c r="F847" s="382"/>
      <c r="G847" s="382"/>
      <c r="H847" s="382"/>
      <c r="I847" s="382"/>
      <c r="J847" s="382"/>
      <c r="K847" s="382"/>
      <c r="L847" s="382"/>
      <c r="M847" s="382"/>
      <c r="N847" s="382"/>
      <c r="O847" s="382"/>
      <c r="P847" s="382"/>
      <c r="Q847" s="382"/>
      <c r="R847" s="382"/>
      <c r="S847" s="382"/>
      <c r="T847" s="382"/>
    </row>
    <row r="848" spans="3:20" ht="18" x14ac:dyDescent="0.35">
      <c r="C848" s="382"/>
      <c r="D848" s="382"/>
      <c r="E848" s="382"/>
      <c r="F848" s="382"/>
      <c r="G848" s="382"/>
      <c r="H848" s="382"/>
      <c r="I848" s="382"/>
      <c r="J848" s="382"/>
      <c r="K848" s="382"/>
      <c r="L848" s="382"/>
      <c r="M848" s="382"/>
      <c r="N848" s="382"/>
      <c r="O848" s="382"/>
      <c r="P848" s="382"/>
      <c r="Q848" s="382"/>
      <c r="R848" s="382"/>
      <c r="S848" s="382"/>
      <c r="T848" s="382"/>
    </row>
    <row r="849" spans="3:20" ht="18" x14ac:dyDescent="0.35">
      <c r="C849" s="382"/>
      <c r="D849" s="382"/>
      <c r="E849" s="382"/>
      <c r="F849" s="382"/>
      <c r="G849" s="382"/>
      <c r="H849" s="382"/>
      <c r="I849" s="382"/>
      <c r="J849" s="382"/>
      <c r="K849" s="382"/>
      <c r="L849" s="382"/>
      <c r="M849" s="382"/>
      <c r="N849" s="382"/>
      <c r="O849" s="382"/>
      <c r="P849" s="382"/>
      <c r="Q849" s="382"/>
      <c r="R849" s="382"/>
      <c r="S849" s="382"/>
      <c r="T849" s="382"/>
    </row>
    <row r="850" spans="3:20" ht="18" x14ac:dyDescent="0.35">
      <c r="C850" s="382"/>
      <c r="D850" s="382"/>
      <c r="E850" s="382"/>
      <c r="F850" s="382"/>
      <c r="G850" s="382"/>
      <c r="H850" s="382"/>
      <c r="I850" s="382"/>
      <c r="J850" s="382"/>
      <c r="K850" s="382"/>
      <c r="L850" s="382"/>
      <c r="M850" s="382"/>
      <c r="N850" s="382"/>
      <c r="O850" s="382"/>
      <c r="P850" s="382"/>
      <c r="Q850" s="382"/>
      <c r="R850" s="382"/>
      <c r="S850" s="382"/>
      <c r="T850" s="382"/>
    </row>
    <row r="851" spans="3:20" ht="18" x14ac:dyDescent="0.35">
      <c r="C851" s="382"/>
      <c r="D851" s="382"/>
      <c r="E851" s="382"/>
      <c r="F851" s="382"/>
      <c r="G851" s="382"/>
      <c r="H851" s="382"/>
      <c r="I851" s="382"/>
      <c r="J851" s="382"/>
      <c r="K851" s="382"/>
      <c r="L851" s="382"/>
      <c r="M851" s="382"/>
      <c r="N851" s="382"/>
      <c r="O851" s="382"/>
      <c r="P851" s="382"/>
      <c r="Q851" s="382"/>
      <c r="R851" s="382"/>
      <c r="S851" s="382"/>
      <c r="T851" s="382"/>
    </row>
    <row r="852" spans="3:20" ht="18" x14ac:dyDescent="0.35">
      <c r="C852" s="382"/>
      <c r="D852" s="382"/>
      <c r="E852" s="382"/>
      <c r="F852" s="382"/>
      <c r="G852" s="382"/>
      <c r="H852" s="382"/>
      <c r="I852" s="382"/>
      <c r="J852" s="382"/>
      <c r="K852" s="382"/>
      <c r="L852" s="382"/>
      <c r="M852" s="382"/>
      <c r="N852" s="382"/>
      <c r="O852" s="382"/>
      <c r="P852" s="382"/>
      <c r="Q852" s="382"/>
      <c r="R852" s="382"/>
      <c r="S852" s="382"/>
      <c r="T852" s="382"/>
    </row>
    <row r="853" spans="3:20" ht="18" x14ac:dyDescent="0.35">
      <c r="C853" s="382"/>
      <c r="D853" s="382"/>
      <c r="E853" s="382"/>
      <c r="F853" s="382"/>
      <c r="G853" s="382"/>
      <c r="H853" s="382"/>
      <c r="I853" s="382"/>
      <c r="J853" s="382"/>
      <c r="K853" s="382"/>
      <c r="L853" s="382"/>
      <c r="M853" s="382"/>
      <c r="N853" s="382"/>
      <c r="O853" s="382"/>
      <c r="P853" s="382"/>
      <c r="Q853" s="382"/>
      <c r="R853" s="382"/>
      <c r="S853" s="382"/>
      <c r="T853" s="382"/>
    </row>
    <row r="854" spans="3:20" ht="18" x14ac:dyDescent="0.35">
      <c r="C854" s="382"/>
      <c r="D854" s="382"/>
      <c r="E854" s="382"/>
      <c r="F854" s="382"/>
      <c r="G854" s="382"/>
      <c r="H854" s="382"/>
      <c r="I854" s="382"/>
      <c r="J854" s="382"/>
      <c r="K854" s="382"/>
      <c r="L854" s="382"/>
      <c r="M854" s="382"/>
      <c r="N854" s="382"/>
      <c r="O854" s="382"/>
      <c r="P854" s="382"/>
      <c r="Q854" s="382"/>
      <c r="R854" s="382"/>
      <c r="S854" s="382"/>
      <c r="T854" s="382"/>
    </row>
    <row r="855" spans="3:20" ht="18" x14ac:dyDescent="0.35">
      <c r="C855" s="382"/>
      <c r="D855" s="382"/>
      <c r="E855" s="382"/>
      <c r="F855" s="382"/>
      <c r="G855" s="382"/>
      <c r="H855" s="382"/>
      <c r="I855" s="382"/>
      <c r="J855" s="382"/>
      <c r="K855" s="382"/>
      <c r="L855" s="382"/>
      <c r="M855" s="382"/>
      <c r="N855" s="382"/>
      <c r="O855" s="382"/>
      <c r="P855" s="382"/>
      <c r="Q855" s="382"/>
      <c r="R855" s="382"/>
      <c r="S855" s="382"/>
      <c r="T855" s="382"/>
    </row>
    <row r="856" spans="3:20" ht="18" x14ac:dyDescent="0.35">
      <c r="C856" s="382"/>
      <c r="D856" s="382"/>
      <c r="E856" s="382"/>
      <c r="F856" s="382"/>
      <c r="G856" s="382"/>
      <c r="H856" s="382"/>
      <c r="I856" s="382"/>
      <c r="J856" s="382"/>
      <c r="K856" s="382"/>
      <c r="L856" s="382"/>
      <c r="M856" s="382"/>
      <c r="N856" s="382"/>
      <c r="O856" s="382"/>
      <c r="P856" s="382"/>
      <c r="Q856" s="382"/>
      <c r="R856" s="382"/>
      <c r="S856" s="382"/>
      <c r="T856" s="382"/>
    </row>
    <row r="857" spans="3:20" ht="18" x14ac:dyDescent="0.35">
      <c r="C857" s="382"/>
      <c r="D857" s="382"/>
      <c r="E857" s="382"/>
      <c r="F857" s="382"/>
      <c r="G857" s="382"/>
      <c r="H857" s="382"/>
      <c r="I857" s="382"/>
      <c r="J857" s="382"/>
      <c r="K857" s="382"/>
      <c r="L857" s="382"/>
      <c r="M857" s="382"/>
      <c r="N857" s="382"/>
      <c r="O857" s="382"/>
      <c r="P857" s="382"/>
      <c r="Q857" s="382"/>
      <c r="R857" s="382"/>
      <c r="S857" s="382"/>
      <c r="T857" s="382"/>
    </row>
    <row r="858" spans="3:20" ht="18" x14ac:dyDescent="0.35">
      <c r="C858" s="382"/>
      <c r="D858" s="382"/>
      <c r="E858" s="382"/>
      <c r="F858" s="382"/>
      <c r="G858" s="382"/>
      <c r="H858" s="382"/>
      <c r="I858" s="382"/>
      <c r="J858" s="382"/>
      <c r="K858" s="382"/>
      <c r="L858" s="382"/>
      <c r="M858" s="382"/>
      <c r="N858" s="382"/>
      <c r="O858" s="382"/>
      <c r="P858" s="382"/>
      <c r="Q858" s="382"/>
      <c r="R858" s="382"/>
      <c r="S858" s="382"/>
      <c r="T858" s="382"/>
    </row>
    <row r="859" spans="3:20" ht="18" x14ac:dyDescent="0.35">
      <c r="C859" s="382"/>
      <c r="D859" s="382"/>
      <c r="E859" s="382"/>
      <c r="F859" s="382"/>
      <c r="G859" s="382"/>
      <c r="H859" s="382"/>
      <c r="I859" s="382"/>
      <c r="J859" s="382"/>
      <c r="K859" s="382"/>
      <c r="L859" s="382"/>
      <c r="M859" s="382"/>
      <c r="N859" s="382"/>
      <c r="O859" s="382"/>
      <c r="P859" s="382"/>
      <c r="Q859" s="382"/>
      <c r="R859" s="382"/>
      <c r="S859" s="382"/>
      <c r="T859" s="382"/>
    </row>
    <row r="860" spans="3:20" ht="18" x14ac:dyDescent="0.35">
      <c r="C860" s="382"/>
      <c r="D860" s="382"/>
      <c r="E860" s="382"/>
      <c r="F860" s="382"/>
      <c r="G860" s="382"/>
      <c r="H860" s="382"/>
      <c r="I860" s="382"/>
      <c r="J860" s="382"/>
      <c r="K860" s="382"/>
      <c r="L860" s="382"/>
      <c r="M860" s="382"/>
      <c r="N860" s="382"/>
      <c r="O860" s="382"/>
      <c r="P860" s="382"/>
      <c r="Q860" s="382"/>
      <c r="R860" s="382"/>
      <c r="S860" s="382"/>
      <c r="T860" s="382"/>
    </row>
    <row r="861" spans="3:20" ht="18" x14ac:dyDescent="0.35">
      <c r="C861" s="382"/>
      <c r="D861" s="382"/>
      <c r="E861" s="382"/>
      <c r="F861" s="382"/>
      <c r="G861" s="382"/>
      <c r="H861" s="382"/>
      <c r="I861" s="382"/>
      <c r="J861" s="382"/>
      <c r="K861" s="382"/>
      <c r="L861" s="382"/>
      <c r="M861" s="382"/>
      <c r="N861" s="382"/>
      <c r="O861" s="382"/>
      <c r="P861" s="382"/>
      <c r="Q861" s="382"/>
      <c r="R861" s="382"/>
      <c r="S861" s="382"/>
      <c r="T861" s="382"/>
    </row>
    <row r="862" spans="3:20" ht="18" x14ac:dyDescent="0.35">
      <c r="C862" s="382"/>
      <c r="D862" s="382"/>
      <c r="E862" s="382"/>
      <c r="F862" s="382"/>
      <c r="G862" s="382"/>
      <c r="H862" s="382"/>
      <c r="I862" s="382"/>
      <c r="J862" s="382"/>
      <c r="K862" s="382"/>
      <c r="L862" s="382"/>
      <c r="M862" s="382"/>
      <c r="N862" s="382"/>
      <c r="O862" s="382"/>
      <c r="P862" s="382"/>
      <c r="Q862" s="382"/>
      <c r="R862" s="382"/>
      <c r="S862" s="382"/>
      <c r="T862" s="382"/>
    </row>
    <row r="863" spans="3:20" ht="18" x14ac:dyDescent="0.35">
      <c r="C863" s="382"/>
      <c r="D863" s="382"/>
      <c r="E863" s="382"/>
      <c r="F863" s="382"/>
      <c r="G863" s="382"/>
      <c r="H863" s="382"/>
      <c r="I863" s="382"/>
      <c r="J863" s="382"/>
      <c r="K863" s="382"/>
      <c r="L863" s="382"/>
      <c r="M863" s="382"/>
      <c r="N863" s="382"/>
      <c r="O863" s="382"/>
      <c r="P863" s="382"/>
      <c r="Q863" s="382"/>
      <c r="R863" s="382"/>
      <c r="S863" s="382"/>
      <c r="T863" s="382"/>
    </row>
    <row r="864" spans="3:20" ht="18" x14ac:dyDescent="0.35">
      <c r="C864" s="382"/>
      <c r="D864" s="382"/>
      <c r="E864" s="382"/>
      <c r="F864" s="382"/>
      <c r="G864" s="382"/>
      <c r="H864" s="382"/>
      <c r="I864" s="382"/>
      <c r="J864" s="382"/>
      <c r="K864" s="382"/>
      <c r="L864" s="382"/>
      <c r="M864" s="382"/>
      <c r="N864" s="382"/>
      <c r="O864" s="382"/>
      <c r="P864" s="382"/>
      <c r="Q864" s="382"/>
      <c r="R864" s="382"/>
      <c r="S864" s="382"/>
      <c r="T864" s="382"/>
    </row>
    <row r="865" spans="3:20" ht="18" x14ac:dyDescent="0.35">
      <c r="C865" s="382"/>
      <c r="D865" s="382"/>
      <c r="E865" s="382"/>
      <c r="F865" s="382"/>
      <c r="G865" s="382"/>
      <c r="H865" s="382"/>
      <c r="I865" s="382"/>
      <c r="J865" s="382"/>
      <c r="K865" s="382"/>
      <c r="L865" s="382"/>
      <c r="M865" s="382"/>
      <c r="N865" s="382"/>
      <c r="O865" s="382"/>
      <c r="P865" s="382"/>
      <c r="Q865" s="382"/>
      <c r="R865" s="382"/>
      <c r="S865" s="382"/>
      <c r="T865" s="382"/>
    </row>
    <row r="866" spans="3:20" ht="18" x14ac:dyDescent="0.35">
      <c r="C866" s="382"/>
      <c r="D866" s="382"/>
      <c r="E866" s="382"/>
      <c r="F866" s="382"/>
      <c r="G866" s="382"/>
      <c r="H866" s="382"/>
      <c r="I866" s="382"/>
      <c r="J866" s="382"/>
      <c r="K866" s="382"/>
      <c r="L866" s="382"/>
      <c r="M866" s="382"/>
      <c r="N866" s="382"/>
      <c r="O866" s="382"/>
      <c r="P866" s="382"/>
      <c r="Q866" s="382"/>
      <c r="R866" s="382"/>
      <c r="S866" s="382"/>
      <c r="T866" s="382"/>
    </row>
    <row r="867" spans="3:20" ht="18" x14ac:dyDescent="0.35">
      <c r="C867" s="382"/>
      <c r="D867" s="382"/>
      <c r="E867" s="382"/>
      <c r="F867" s="382"/>
      <c r="G867" s="382"/>
      <c r="H867" s="382"/>
      <c r="I867" s="382"/>
      <c r="J867" s="382"/>
      <c r="K867" s="382"/>
      <c r="L867" s="382"/>
      <c r="M867" s="382"/>
      <c r="N867" s="382"/>
      <c r="O867" s="382"/>
      <c r="P867" s="382"/>
      <c r="Q867" s="382"/>
      <c r="R867" s="382"/>
      <c r="S867" s="382"/>
      <c r="T867" s="382"/>
    </row>
    <row r="868" spans="3:20" ht="18" x14ac:dyDescent="0.35">
      <c r="C868" s="382"/>
      <c r="D868" s="382"/>
      <c r="E868" s="382"/>
      <c r="F868" s="382"/>
      <c r="G868" s="382"/>
      <c r="H868" s="382"/>
      <c r="I868" s="382"/>
      <c r="J868" s="382"/>
      <c r="K868" s="382"/>
      <c r="L868" s="382"/>
      <c r="M868" s="382"/>
      <c r="N868" s="382"/>
      <c r="O868" s="382"/>
      <c r="P868" s="382"/>
      <c r="Q868" s="382"/>
      <c r="R868" s="382"/>
      <c r="S868" s="382"/>
      <c r="T868" s="382"/>
    </row>
    <row r="869" spans="3:20" ht="18" x14ac:dyDescent="0.35">
      <c r="C869" s="382"/>
      <c r="D869" s="382"/>
      <c r="E869" s="382"/>
      <c r="F869" s="382"/>
      <c r="G869" s="382"/>
      <c r="H869" s="382"/>
      <c r="I869" s="382"/>
      <c r="J869" s="382"/>
      <c r="K869" s="382"/>
      <c r="L869" s="382"/>
      <c r="M869" s="382"/>
      <c r="N869" s="382"/>
      <c r="O869" s="382"/>
      <c r="P869" s="382"/>
      <c r="Q869" s="382"/>
      <c r="R869" s="382"/>
      <c r="S869" s="382"/>
      <c r="T869" s="382"/>
    </row>
    <row r="870" spans="3:20" ht="18" x14ac:dyDescent="0.35">
      <c r="C870" s="382"/>
      <c r="D870" s="382"/>
      <c r="E870" s="382"/>
      <c r="F870" s="382"/>
      <c r="G870" s="382"/>
      <c r="H870" s="382"/>
      <c r="I870" s="382"/>
      <c r="J870" s="382"/>
      <c r="K870" s="382"/>
      <c r="L870" s="382"/>
      <c r="M870" s="382"/>
      <c r="N870" s="382"/>
      <c r="O870" s="382"/>
      <c r="P870" s="382"/>
      <c r="Q870" s="382"/>
      <c r="R870" s="382"/>
      <c r="S870" s="382"/>
      <c r="T870" s="382"/>
    </row>
    <row r="871" spans="3:20" ht="18" x14ac:dyDescent="0.35">
      <c r="C871" s="382"/>
      <c r="D871" s="382"/>
      <c r="E871" s="382"/>
      <c r="F871" s="382"/>
      <c r="G871" s="382"/>
      <c r="H871" s="382"/>
      <c r="I871" s="382"/>
      <c r="J871" s="382"/>
      <c r="K871" s="382"/>
      <c r="L871" s="382"/>
      <c r="M871" s="382"/>
      <c r="N871" s="382"/>
      <c r="O871" s="382"/>
      <c r="P871" s="382"/>
      <c r="Q871" s="382"/>
      <c r="R871" s="382"/>
      <c r="S871" s="382"/>
      <c r="T871" s="382"/>
    </row>
    <row r="872" spans="3:20" ht="18" x14ac:dyDescent="0.35">
      <c r="C872" s="382"/>
      <c r="D872" s="382"/>
      <c r="E872" s="382"/>
      <c r="F872" s="382"/>
      <c r="G872" s="382"/>
      <c r="H872" s="382"/>
      <c r="I872" s="382"/>
      <c r="J872" s="382"/>
      <c r="K872" s="382"/>
      <c r="L872" s="382"/>
      <c r="M872" s="382"/>
      <c r="N872" s="382"/>
      <c r="O872" s="382"/>
      <c r="P872" s="382"/>
      <c r="Q872" s="382"/>
      <c r="R872" s="382"/>
      <c r="S872" s="382"/>
      <c r="T872" s="382"/>
    </row>
    <row r="873" spans="3:20" ht="18" x14ac:dyDescent="0.35">
      <c r="C873" s="382"/>
      <c r="D873" s="382"/>
      <c r="E873" s="382"/>
      <c r="F873" s="382"/>
      <c r="G873" s="382"/>
      <c r="H873" s="382"/>
      <c r="I873" s="382"/>
      <c r="J873" s="382"/>
      <c r="K873" s="382"/>
      <c r="L873" s="382"/>
      <c r="M873" s="382"/>
      <c r="N873" s="382"/>
      <c r="O873" s="382"/>
      <c r="P873" s="382"/>
      <c r="Q873" s="382"/>
      <c r="R873" s="382"/>
      <c r="S873" s="382"/>
      <c r="T873" s="382"/>
    </row>
    <row r="874" spans="3:20" ht="18" x14ac:dyDescent="0.35">
      <c r="C874" s="382"/>
      <c r="D874" s="382"/>
      <c r="E874" s="382"/>
      <c r="F874" s="382"/>
      <c r="G874" s="382"/>
      <c r="H874" s="382"/>
      <c r="I874" s="382"/>
      <c r="J874" s="382"/>
      <c r="K874" s="382"/>
      <c r="L874" s="382"/>
      <c r="M874" s="382"/>
      <c r="N874" s="382"/>
      <c r="O874" s="382"/>
      <c r="P874" s="382"/>
      <c r="Q874" s="382"/>
      <c r="R874" s="382"/>
      <c r="S874" s="382"/>
      <c r="T874" s="382"/>
    </row>
    <row r="875" spans="3:20" ht="18" x14ac:dyDescent="0.35">
      <c r="C875" s="382"/>
      <c r="D875" s="382"/>
      <c r="E875" s="382"/>
      <c r="F875" s="382"/>
      <c r="G875" s="382"/>
      <c r="H875" s="382"/>
      <c r="I875" s="382"/>
      <c r="J875" s="382"/>
      <c r="K875" s="382"/>
      <c r="L875" s="382"/>
      <c r="M875" s="382"/>
      <c r="N875" s="382"/>
      <c r="O875" s="382"/>
      <c r="P875" s="382"/>
      <c r="Q875" s="382"/>
      <c r="R875" s="382"/>
      <c r="S875" s="382"/>
      <c r="T875" s="382"/>
    </row>
    <row r="876" spans="3:20" ht="18" x14ac:dyDescent="0.35">
      <c r="C876" s="382"/>
      <c r="D876" s="382"/>
      <c r="E876" s="382"/>
      <c r="F876" s="382"/>
      <c r="G876" s="382"/>
      <c r="H876" s="382"/>
      <c r="I876" s="382"/>
      <c r="J876" s="382"/>
      <c r="K876" s="382"/>
      <c r="L876" s="382"/>
      <c r="M876" s="382"/>
      <c r="N876" s="382"/>
      <c r="O876" s="382"/>
      <c r="P876" s="382"/>
      <c r="Q876" s="382"/>
      <c r="R876" s="382"/>
      <c r="S876" s="382"/>
      <c r="T876" s="382"/>
    </row>
    <row r="877" spans="3:20" ht="18" x14ac:dyDescent="0.35">
      <c r="C877" s="382"/>
      <c r="D877" s="382"/>
      <c r="E877" s="382"/>
      <c r="F877" s="382"/>
      <c r="G877" s="382"/>
      <c r="H877" s="382"/>
      <c r="I877" s="382"/>
      <c r="J877" s="382"/>
      <c r="K877" s="382"/>
      <c r="L877" s="382"/>
      <c r="M877" s="382"/>
      <c r="N877" s="382"/>
      <c r="O877" s="382"/>
      <c r="P877" s="382"/>
      <c r="Q877" s="382"/>
      <c r="R877" s="382"/>
      <c r="S877" s="382"/>
      <c r="T877" s="382"/>
    </row>
    <row r="878" spans="3:20" ht="18" x14ac:dyDescent="0.35">
      <c r="C878" s="382"/>
      <c r="D878" s="382"/>
      <c r="E878" s="382"/>
      <c r="F878" s="382"/>
      <c r="G878" s="382"/>
      <c r="H878" s="382"/>
      <c r="I878" s="382"/>
      <c r="J878" s="382"/>
      <c r="K878" s="382"/>
      <c r="L878" s="382"/>
      <c r="M878" s="382"/>
      <c r="N878" s="382"/>
      <c r="O878" s="382"/>
      <c r="P878" s="382"/>
      <c r="Q878" s="382"/>
      <c r="R878" s="382"/>
      <c r="S878" s="382"/>
      <c r="T878" s="382"/>
    </row>
    <row r="879" spans="3:20" ht="18" x14ac:dyDescent="0.35">
      <c r="C879" s="382"/>
      <c r="D879" s="382"/>
      <c r="E879" s="382"/>
      <c r="F879" s="382"/>
      <c r="G879" s="382"/>
      <c r="H879" s="382"/>
      <c r="I879" s="382"/>
      <c r="J879" s="382"/>
      <c r="K879" s="382"/>
      <c r="L879" s="382"/>
      <c r="M879" s="382"/>
      <c r="N879" s="382"/>
      <c r="O879" s="382"/>
      <c r="P879" s="382"/>
      <c r="Q879" s="382"/>
      <c r="R879" s="382"/>
      <c r="S879" s="382"/>
      <c r="T879" s="382"/>
    </row>
    <row r="880" spans="3:20" ht="18" x14ac:dyDescent="0.35">
      <c r="C880" s="382"/>
      <c r="D880" s="382"/>
      <c r="E880" s="382"/>
      <c r="F880" s="382"/>
      <c r="G880" s="382"/>
      <c r="H880" s="382"/>
      <c r="I880" s="382"/>
      <c r="J880" s="382"/>
      <c r="K880" s="382"/>
      <c r="L880" s="382"/>
      <c r="M880" s="382"/>
      <c r="N880" s="382"/>
      <c r="O880" s="382"/>
      <c r="P880" s="382"/>
      <c r="Q880" s="382"/>
      <c r="R880" s="382"/>
      <c r="S880" s="382"/>
      <c r="T880" s="382"/>
    </row>
    <row r="881" spans="3:20" ht="18" x14ac:dyDescent="0.35">
      <c r="C881" s="382"/>
      <c r="D881" s="382"/>
      <c r="E881" s="382"/>
      <c r="F881" s="382"/>
      <c r="G881" s="382"/>
      <c r="H881" s="382"/>
      <c r="I881" s="382"/>
      <c r="J881" s="382"/>
      <c r="K881" s="382"/>
      <c r="L881" s="382"/>
      <c r="M881" s="382"/>
      <c r="N881" s="382"/>
      <c r="O881" s="382"/>
      <c r="P881" s="382"/>
      <c r="Q881" s="382"/>
      <c r="R881" s="382"/>
      <c r="S881" s="382"/>
      <c r="T881" s="382"/>
    </row>
    <row r="882" spans="3:20" ht="18" x14ac:dyDescent="0.35">
      <c r="C882" s="382"/>
      <c r="D882" s="382"/>
      <c r="E882" s="382"/>
      <c r="F882" s="382"/>
      <c r="G882" s="382"/>
      <c r="H882" s="382"/>
      <c r="I882" s="382"/>
      <c r="J882" s="382"/>
      <c r="K882" s="382"/>
      <c r="L882" s="382"/>
      <c r="M882" s="382"/>
      <c r="N882" s="382"/>
      <c r="O882" s="382"/>
      <c r="P882" s="382"/>
      <c r="Q882" s="382"/>
      <c r="R882" s="382"/>
      <c r="S882" s="382"/>
      <c r="T882" s="382"/>
    </row>
    <row r="883" spans="3:20" ht="18" x14ac:dyDescent="0.35">
      <c r="C883" s="382"/>
      <c r="D883" s="382"/>
      <c r="E883" s="382"/>
      <c r="F883" s="382"/>
      <c r="G883" s="382"/>
      <c r="H883" s="382"/>
      <c r="I883" s="382"/>
      <c r="J883" s="382"/>
      <c r="K883" s="382"/>
      <c r="L883" s="382"/>
      <c r="M883" s="382"/>
      <c r="N883" s="382"/>
      <c r="O883" s="382"/>
      <c r="P883" s="382"/>
      <c r="Q883" s="382"/>
      <c r="R883" s="382"/>
      <c r="S883" s="382"/>
      <c r="T883" s="382"/>
    </row>
    <row r="884" spans="3:20" ht="18" x14ac:dyDescent="0.35">
      <c r="C884" s="382"/>
      <c r="D884" s="382"/>
      <c r="E884" s="382"/>
      <c r="F884" s="382"/>
      <c r="G884" s="382"/>
      <c r="H884" s="382"/>
      <c r="I884" s="382"/>
      <c r="J884" s="382"/>
      <c r="K884" s="382"/>
      <c r="L884" s="382"/>
      <c r="M884" s="382"/>
      <c r="N884" s="382"/>
      <c r="O884" s="382"/>
      <c r="P884" s="382"/>
      <c r="Q884" s="382"/>
      <c r="R884" s="382"/>
      <c r="S884" s="382"/>
      <c r="T884" s="382"/>
    </row>
    <row r="885" spans="3:20" ht="18" x14ac:dyDescent="0.35">
      <c r="C885" s="382"/>
      <c r="D885" s="382"/>
      <c r="E885" s="382"/>
      <c r="F885" s="382"/>
      <c r="G885" s="382"/>
      <c r="H885" s="382"/>
      <c r="I885" s="382"/>
      <c r="J885" s="382"/>
      <c r="K885" s="382"/>
      <c r="L885" s="382"/>
      <c r="M885" s="382"/>
      <c r="N885" s="382"/>
      <c r="O885" s="382"/>
      <c r="P885" s="382"/>
      <c r="Q885" s="382"/>
      <c r="R885" s="382"/>
      <c r="S885" s="382"/>
      <c r="T885" s="382"/>
    </row>
    <row r="886" spans="3:20" ht="18" x14ac:dyDescent="0.35">
      <c r="C886" s="382"/>
      <c r="D886" s="382"/>
      <c r="E886" s="382"/>
      <c r="F886" s="382"/>
      <c r="G886" s="382"/>
      <c r="H886" s="382"/>
      <c r="I886" s="382"/>
      <c r="J886" s="382"/>
      <c r="K886" s="382"/>
      <c r="L886" s="382"/>
      <c r="M886" s="382"/>
      <c r="N886" s="382"/>
      <c r="O886" s="382"/>
      <c r="P886" s="382"/>
      <c r="Q886" s="382"/>
      <c r="R886" s="382"/>
      <c r="S886" s="382"/>
      <c r="T886" s="382"/>
    </row>
    <row r="887" spans="3:20" ht="18" x14ac:dyDescent="0.35">
      <c r="C887" s="382"/>
      <c r="D887" s="382"/>
      <c r="E887" s="382"/>
      <c r="F887" s="382"/>
      <c r="G887" s="382"/>
      <c r="H887" s="382"/>
      <c r="I887" s="382"/>
      <c r="J887" s="382"/>
      <c r="K887" s="382"/>
      <c r="L887" s="382"/>
      <c r="M887" s="382"/>
      <c r="N887" s="382"/>
      <c r="O887" s="382"/>
      <c r="P887" s="382"/>
      <c r="Q887" s="382"/>
      <c r="R887" s="382"/>
      <c r="S887" s="382"/>
      <c r="T887" s="382"/>
    </row>
    <row r="888" spans="3:20" ht="18" x14ac:dyDescent="0.35">
      <c r="C888" s="382"/>
      <c r="D888" s="382"/>
      <c r="E888" s="382"/>
      <c r="F888" s="382"/>
      <c r="G888" s="382"/>
      <c r="H888" s="382"/>
      <c r="I888" s="382"/>
      <c r="J888" s="382"/>
      <c r="K888" s="382"/>
      <c r="L888" s="382"/>
      <c r="M888" s="382"/>
      <c r="N888" s="382"/>
      <c r="O888" s="382"/>
      <c r="P888" s="382"/>
      <c r="Q888" s="382"/>
      <c r="R888" s="382"/>
      <c r="S888" s="382"/>
      <c r="T888" s="382"/>
    </row>
    <row r="889" spans="3:20" ht="18" x14ac:dyDescent="0.35">
      <c r="C889" s="382"/>
      <c r="D889" s="382"/>
      <c r="E889" s="382"/>
      <c r="F889" s="382"/>
      <c r="G889" s="382"/>
      <c r="H889" s="382"/>
      <c r="I889" s="382"/>
      <c r="J889" s="382"/>
      <c r="K889" s="382"/>
      <c r="L889" s="382"/>
      <c r="M889" s="382"/>
      <c r="N889" s="382"/>
      <c r="O889" s="382"/>
      <c r="P889" s="382"/>
      <c r="Q889" s="382"/>
      <c r="R889" s="382"/>
      <c r="S889" s="382"/>
      <c r="T889" s="382"/>
    </row>
    <row r="890" spans="3:20" ht="18" x14ac:dyDescent="0.35">
      <c r="C890" s="382"/>
      <c r="D890" s="382"/>
      <c r="E890" s="382"/>
      <c r="F890" s="382"/>
      <c r="G890" s="382"/>
      <c r="H890" s="382"/>
      <c r="I890" s="382"/>
      <c r="J890" s="382"/>
      <c r="K890" s="382"/>
      <c r="L890" s="382"/>
      <c r="M890" s="382"/>
      <c r="N890" s="382"/>
      <c r="O890" s="382"/>
      <c r="P890" s="382"/>
      <c r="Q890" s="382"/>
      <c r="R890" s="382"/>
      <c r="S890" s="382"/>
      <c r="T890" s="382"/>
    </row>
    <row r="891" spans="3:20" ht="18" x14ac:dyDescent="0.35">
      <c r="C891" s="382"/>
      <c r="D891" s="382"/>
      <c r="E891" s="382"/>
      <c r="F891" s="382"/>
      <c r="G891" s="382"/>
      <c r="H891" s="382"/>
      <c r="I891" s="382"/>
      <c r="J891" s="382"/>
      <c r="K891" s="382"/>
      <c r="L891" s="382"/>
      <c r="M891" s="382"/>
      <c r="N891" s="382"/>
      <c r="O891" s="382"/>
      <c r="P891" s="382"/>
      <c r="Q891" s="382"/>
      <c r="R891" s="382"/>
      <c r="S891" s="382"/>
      <c r="T891" s="382"/>
    </row>
    <row r="892" spans="3:20" ht="18" x14ac:dyDescent="0.35">
      <c r="C892" s="382"/>
      <c r="D892" s="382"/>
      <c r="E892" s="382"/>
      <c r="F892" s="382"/>
      <c r="G892" s="382"/>
      <c r="H892" s="382"/>
      <c r="I892" s="382"/>
      <c r="J892" s="382"/>
      <c r="K892" s="382"/>
      <c r="L892" s="382"/>
      <c r="M892" s="382"/>
      <c r="N892" s="382"/>
      <c r="O892" s="382"/>
      <c r="P892" s="382"/>
      <c r="Q892" s="382"/>
      <c r="R892" s="382"/>
      <c r="S892" s="382"/>
      <c r="T892" s="382"/>
    </row>
    <row r="893" spans="3:20" ht="18" x14ac:dyDescent="0.35">
      <c r="C893" s="382"/>
      <c r="D893" s="382"/>
      <c r="E893" s="382"/>
      <c r="F893" s="382"/>
      <c r="G893" s="382"/>
      <c r="H893" s="382"/>
      <c r="I893" s="382"/>
      <c r="J893" s="382"/>
      <c r="K893" s="382"/>
      <c r="L893" s="382"/>
      <c r="M893" s="382"/>
      <c r="N893" s="382"/>
      <c r="O893" s="382"/>
      <c r="P893" s="382"/>
      <c r="Q893" s="382"/>
      <c r="R893" s="382"/>
      <c r="S893" s="382"/>
      <c r="T893" s="382"/>
    </row>
    <row r="894" spans="3:20" ht="18" x14ac:dyDescent="0.35">
      <c r="C894" s="382"/>
      <c r="D894" s="382"/>
      <c r="E894" s="382"/>
      <c r="F894" s="382"/>
      <c r="G894" s="382"/>
      <c r="H894" s="382"/>
      <c r="I894" s="382"/>
      <c r="J894" s="382"/>
      <c r="K894" s="382"/>
      <c r="L894" s="382"/>
      <c r="M894" s="382"/>
      <c r="N894" s="382"/>
      <c r="O894" s="382"/>
      <c r="P894" s="382"/>
      <c r="Q894" s="382"/>
      <c r="R894" s="382"/>
      <c r="S894" s="382"/>
      <c r="T894" s="382"/>
    </row>
    <row r="895" spans="3:20" ht="18" x14ac:dyDescent="0.35">
      <c r="C895" s="382"/>
      <c r="D895" s="382"/>
      <c r="E895" s="382"/>
      <c r="F895" s="382"/>
      <c r="G895" s="382"/>
      <c r="H895" s="382"/>
      <c r="I895" s="382"/>
      <c r="J895" s="382"/>
      <c r="K895" s="382"/>
      <c r="L895" s="382"/>
      <c r="M895" s="382"/>
      <c r="N895" s="382"/>
      <c r="O895" s="382"/>
      <c r="P895" s="382"/>
      <c r="Q895" s="382"/>
      <c r="R895" s="382"/>
      <c r="S895" s="382"/>
      <c r="T895" s="382"/>
    </row>
    <row r="896" spans="3:20" ht="18" x14ac:dyDescent="0.35">
      <c r="C896" s="382"/>
      <c r="D896" s="382"/>
      <c r="E896" s="382"/>
      <c r="F896" s="382"/>
      <c r="G896" s="382"/>
      <c r="H896" s="382"/>
      <c r="I896" s="382"/>
      <c r="J896" s="382"/>
      <c r="K896" s="382"/>
      <c r="L896" s="382"/>
      <c r="M896" s="382"/>
      <c r="N896" s="382"/>
      <c r="O896" s="382"/>
      <c r="P896" s="382"/>
      <c r="Q896" s="382"/>
      <c r="R896" s="382"/>
      <c r="S896" s="382"/>
      <c r="T896" s="382"/>
    </row>
    <row r="897" spans="3:20" ht="18" x14ac:dyDescent="0.35">
      <c r="C897" s="382"/>
      <c r="D897" s="382"/>
      <c r="E897" s="382"/>
      <c r="F897" s="382"/>
      <c r="G897" s="382"/>
      <c r="H897" s="382"/>
      <c r="I897" s="382"/>
      <c r="J897" s="382"/>
      <c r="K897" s="382"/>
      <c r="L897" s="382"/>
      <c r="M897" s="382"/>
      <c r="N897" s="382"/>
      <c r="O897" s="382"/>
      <c r="P897" s="382"/>
      <c r="Q897" s="382"/>
      <c r="R897" s="382"/>
      <c r="S897" s="382"/>
      <c r="T897" s="382"/>
    </row>
    <row r="898" spans="3:20" ht="18" x14ac:dyDescent="0.35">
      <c r="C898" s="382"/>
      <c r="D898" s="382"/>
      <c r="E898" s="382"/>
      <c r="F898" s="382"/>
      <c r="G898" s="382"/>
      <c r="H898" s="382"/>
      <c r="I898" s="382"/>
      <c r="J898" s="382"/>
      <c r="K898" s="382"/>
      <c r="L898" s="382"/>
      <c r="M898" s="382"/>
      <c r="N898" s="382"/>
      <c r="O898" s="382"/>
      <c r="P898" s="382"/>
      <c r="Q898" s="382"/>
      <c r="R898" s="382"/>
      <c r="S898" s="382"/>
      <c r="T898" s="382"/>
    </row>
    <row r="899" spans="3:20" ht="18" x14ac:dyDescent="0.35">
      <c r="C899" s="382"/>
      <c r="D899" s="382"/>
      <c r="E899" s="382"/>
      <c r="F899" s="382"/>
      <c r="G899" s="382"/>
      <c r="H899" s="382"/>
      <c r="I899" s="382"/>
      <c r="J899" s="382"/>
      <c r="K899" s="382"/>
      <c r="L899" s="382"/>
      <c r="M899" s="382"/>
      <c r="N899" s="382"/>
      <c r="O899" s="382"/>
      <c r="P899" s="382"/>
      <c r="Q899" s="382"/>
      <c r="R899" s="382"/>
      <c r="S899" s="382"/>
      <c r="T899" s="382"/>
    </row>
    <row r="900" spans="3:20" ht="18" x14ac:dyDescent="0.35">
      <c r="C900" s="382"/>
      <c r="D900" s="382"/>
      <c r="E900" s="382"/>
      <c r="F900" s="382"/>
      <c r="G900" s="382"/>
      <c r="H900" s="382"/>
      <c r="I900" s="382"/>
      <c r="J900" s="382"/>
      <c r="K900" s="382"/>
      <c r="L900" s="382"/>
      <c r="M900" s="382"/>
      <c r="N900" s="382"/>
      <c r="O900" s="382"/>
      <c r="P900" s="382"/>
      <c r="Q900" s="382"/>
      <c r="R900" s="382"/>
      <c r="S900" s="382"/>
      <c r="T900" s="382"/>
    </row>
    <row r="901" spans="3:20" ht="18" x14ac:dyDescent="0.35">
      <c r="C901" s="382"/>
      <c r="D901" s="382"/>
      <c r="E901" s="382"/>
      <c r="F901" s="382"/>
      <c r="G901" s="382"/>
      <c r="H901" s="382"/>
      <c r="I901" s="382"/>
      <c r="J901" s="382"/>
      <c r="K901" s="382"/>
      <c r="L901" s="382"/>
      <c r="M901" s="382"/>
      <c r="N901" s="382"/>
      <c r="O901" s="382"/>
      <c r="P901" s="382"/>
      <c r="Q901" s="382"/>
      <c r="R901" s="382"/>
      <c r="S901" s="382"/>
      <c r="T901" s="382"/>
    </row>
    <row r="902" spans="3:20" ht="18" x14ac:dyDescent="0.35">
      <c r="C902" s="382"/>
      <c r="D902" s="382"/>
      <c r="E902" s="382"/>
      <c r="F902" s="382"/>
      <c r="G902" s="382"/>
      <c r="H902" s="382"/>
      <c r="I902" s="382"/>
      <c r="J902" s="382"/>
      <c r="K902" s="382"/>
      <c r="L902" s="382"/>
      <c r="M902" s="382"/>
      <c r="N902" s="382"/>
      <c r="O902" s="382"/>
      <c r="P902" s="382"/>
      <c r="Q902" s="382"/>
      <c r="R902" s="382"/>
      <c r="S902" s="382"/>
      <c r="T902" s="382"/>
    </row>
    <row r="903" spans="3:20" ht="18" x14ac:dyDescent="0.35">
      <c r="C903" s="382"/>
      <c r="D903" s="382"/>
      <c r="E903" s="382"/>
      <c r="F903" s="382"/>
      <c r="G903" s="382"/>
      <c r="H903" s="382"/>
      <c r="I903" s="382"/>
      <c r="J903" s="382"/>
      <c r="K903" s="382"/>
      <c r="L903" s="382"/>
      <c r="M903" s="382"/>
      <c r="N903" s="382"/>
      <c r="O903" s="382"/>
      <c r="P903" s="382"/>
      <c r="Q903" s="382"/>
      <c r="R903" s="382"/>
      <c r="S903" s="382"/>
      <c r="T903" s="382"/>
    </row>
    <row r="904" spans="3:20" ht="18" x14ac:dyDescent="0.35">
      <c r="C904" s="382"/>
      <c r="D904" s="382"/>
      <c r="E904" s="382"/>
      <c r="F904" s="382"/>
      <c r="G904" s="382"/>
      <c r="H904" s="382"/>
      <c r="I904" s="382"/>
      <c r="J904" s="382"/>
      <c r="K904" s="382"/>
      <c r="L904" s="382"/>
      <c r="M904" s="382"/>
      <c r="N904" s="382"/>
      <c r="O904" s="382"/>
      <c r="P904" s="382"/>
      <c r="Q904" s="382"/>
      <c r="R904" s="382"/>
      <c r="S904" s="382"/>
      <c r="T904" s="382"/>
    </row>
    <row r="905" spans="3:20" ht="18" x14ac:dyDescent="0.35">
      <c r="C905" s="382"/>
      <c r="D905" s="382"/>
      <c r="E905" s="382"/>
      <c r="F905" s="382"/>
      <c r="G905" s="382"/>
      <c r="H905" s="382"/>
      <c r="I905" s="382"/>
      <c r="J905" s="382"/>
      <c r="K905" s="382"/>
      <c r="L905" s="382"/>
      <c r="M905" s="382"/>
      <c r="N905" s="382"/>
      <c r="O905" s="382"/>
      <c r="P905" s="382"/>
      <c r="Q905" s="382"/>
      <c r="R905" s="382"/>
      <c r="S905" s="382"/>
      <c r="T905" s="382"/>
    </row>
    <row r="906" spans="3:20" ht="18" x14ac:dyDescent="0.35">
      <c r="C906" s="382"/>
      <c r="D906" s="382"/>
      <c r="E906" s="382"/>
      <c r="F906" s="382"/>
      <c r="G906" s="382"/>
      <c r="H906" s="382"/>
      <c r="I906" s="382"/>
      <c r="J906" s="382"/>
      <c r="K906" s="382"/>
      <c r="L906" s="382"/>
      <c r="M906" s="382"/>
      <c r="N906" s="382"/>
      <c r="O906" s="382"/>
      <c r="P906" s="382"/>
      <c r="Q906" s="382"/>
      <c r="R906" s="382"/>
      <c r="S906" s="382"/>
      <c r="T906" s="382"/>
    </row>
    <row r="907" spans="3:20" ht="18" x14ac:dyDescent="0.35">
      <c r="C907" s="382"/>
      <c r="D907" s="382"/>
      <c r="E907" s="382"/>
      <c r="F907" s="382"/>
      <c r="G907" s="382"/>
      <c r="H907" s="382"/>
      <c r="I907" s="382"/>
      <c r="J907" s="382"/>
      <c r="K907" s="382"/>
      <c r="L907" s="382"/>
      <c r="M907" s="382"/>
      <c r="N907" s="382"/>
      <c r="O907" s="382"/>
      <c r="P907" s="382"/>
      <c r="Q907" s="382"/>
      <c r="R907" s="382"/>
      <c r="S907" s="382"/>
      <c r="T907" s="382"/>
    </row>
    <row r="908" spans="3:20" ht="18" x14ac:dyDescent="0.35">
      <c r="C908" s="382"/>
      <c r="D908" s="382"/>
      <c r="E908" s="382"/>
      <c r="F908" s="382"/>
      <c r="G908" s="382"/>
      <c r="H908" s="382"/>
      <c r="I908" s="382"/>
      <c r="J908" s="382"/>
      <c r="K908" s="382"/>
      <c r="L908" s="382"/>
      <c r="M908" s="382"/>
      <c r="N908" s="382"/>
      <c r="O908" s="382"/>
      <c r="P908" s="382"/>
      <c r="Q908" s="382"/>
      <c r="R908" s="382"/>
      <c r="S908" s="382"/>
      <c r="T908" s="382"/>
    </row>
    <row r="909" spans="3:20" ht="18" x14ac:dyDescent="0.35">
      <c r="C909" s="382"/>
      <c r="D909" s="382"/>
      <c r="E909" s="382"/>
      <c r="F909" s="382"/>
      <c r="G909" s="382"/>
      <c r="H909" s="382"/>
      <c r="I909" s="382"/>
      <c r="J909" s="382"/>
      <c r="K909" s="382"/>
      <c r="L909" s="382"/>
      <c r="M909" s="382"/>
      <c r="N909" s="382"/>
      <c r="O909" s="382"/>
      <c r="P909" s="382"/>
      <c r="Q909" s="382"/>
      <c r="R909" s="382"/>
      <c r="S909" s="382"/>
      <c r="T909" s="382"/>
    </row>
    <row r="910" spans="3:20" ht="18" x14ac:dyDescent="0.35">
      <c r="C910" s="382"/>
      <c r="D910" s="382"/>
      <c r="E910" s="382"/>
      <c r="F910" s="382"/>
      <c r="G910" s="382"/>
      <c r="H910" s="382"/>
      <c r="I910" s="382"/>
      <c r="J910" s="382"/>
      <c r="K910" s="382"/>
      <c r="L910" s="382"/>
      <c r="M910" s="382"/>
      <c r="N910" s="382"/>
      <c r="O910" s="382"/>
      <c r="P910" s="382"/>
      <c r="Q910" s="382"/>
      <c r="R910" s="382"/>
      <c r="S910" s="382"/>
      <c r="T910" s="382"/>
    </row>
    <row r="911" spans="3:20" ht="18" x14ac:dyDescent="0.35">
      <c r="C911" s="382"/>
      <c r="D911" s="382"/>
      <c r="E911" s="382"/>
      <c r="F911" s="382"/>
      <c r="G911" s="382"/>
      <c r="H911" s="382"/>
      <c r="I911" s="382"/>
      <c r="J911" s="382"/>
      <c r="K911" s="382"/>
      <c r="L911" s="382"/>
      <c r="M911" s="382"/>
      <c r="N911" s="382"/>
      <c r="O911" s="382"/>
      <c r="P911" s="382"/>
      <c r="Q911" s="382"/>
      <c r="R911" s="382"/>
      <c r="S911" s="382"/>
      <c r="T911" s="382"/>
    </row>
    <row r="912" spans="3:20" ht="18" x14ac:dyDescent="0.35">
      <c r="C912" s="382"/>
      <c r="D912" s="382"/>
      <c r="E912" s="382"/>
      <c r="F912" s="382"/>
      <c r="G912" s="382"/>
      <c r="H912" s="382"/>
      <c r="I912" s="382"/>
      <c r="J912" s="382"/>
      <c r="K912" s="382"/>
      <c r="L912" s="382"/>
      <c r="M912" s="382"/>
      <c r="N912" s="382"/>
      <c r="O912" s="382"/>
      <c r="P912" s="382"/>
      <c r="Q912" s="382"/>
      <c r="R912" s="382"/>
      <c r="S912" s="382"/>
      <c r="T912" s="382"/>
    </row>
    <row r="913" spans="3:20" ht="18" x14ac:dyDescent="0.35">
      <c r="C913" s="382"/>
      <c r="D913" s="382"/>
      <c r="E913" s="382"/>
      <c r="F913" s="382"/>
      <c r="G913" s="382"/>
      <c r="H913" s="382"/>
      <c r="I913" s="382"/>
      <c r="J913" s="382"/>
      <c r="K913" s="382"/>
      <c r="L913" s="382"/>
      <c r="M913" s="382"/>
      <c r="N913" s="382"/>
      <c r="O913" s="382"/>
      <c r="P913" s="382"/>
      <c r="Q913" s="382"/>
      <c r="R913" s="382"/>
      <c r="S913" s="382"/>
      <c r="T913" s="382"/>
    </row>
    <row r="914" spans="3:20" ht="18" x14ac:dyDescent="0.35">
      <c r="C914" s="382"/>
      <c r="D914" s="382"/>
      <c r="E914" s="382"/>
      <c r="F914" s="382"/>
      <c r="G914" s="382"/>
      <c r="H914" s="382"/>
      <c r="I914" s="382"/>
      <c r="J914" s="382"/>
      <c r="K914" s="382"/>
      <c r="L914" s="382"/>
      <c r="M914" s="382"/>
      <c r="N914" s="382"/>
      <c r="O914" s="382"/>
      <c r="P914" s="382"/>
      <c r="Q914" s="382"/>
      <c r="R914" s="382"/>
      <c r="S914" s="382"/>
      <c r="T914" s="382"/>
    </row>
    <row r="915" spans="3:20" ht="18" x14ac:dyDescent="0.35">
      <c r="C915" s="382"/>
      <c r="D915" s="382"/>
      <c r="E915" s="382"/>
      <c r="F915" s="382"/>
      <c r="G915" s="382"/>
      <c r="H915" s="382"/>
      <c r="I915" s="382"/>
      <c r="J915" s="382"/>
      <c r="K915" s="382"/>
      <c r="L915" s="382"/>
      <c r="M915" s="382"/>
      <c r="N915" s="382"/>
      <c r="O915" s="382"/>
      <c r="P915" s="382"/>
      <c r="Q915" s="382"/>
      <c r="R915" s="382"/>
      <c r="S915" s="382"/>
      <c r="T915" s="382"/>
    </row>
    <row r="916" spans="3:20" ht="18" x14ac:dyDescent="0.35">
      <c r="C916" s="382"/>
      <c r="D916" s="382"/>
      <c r="E916" s="382"/>
      <c r="F916" s="382"/>
      <c r="G916" s="382"/>
      <c r="H916" s="382"/>
      <c r="I916" s="382"/>
      <c r="J916" s="382"/>
      <c r="K916" s="382"/>
      <c r="L916" s="382"/>
      <c r="M916" s="382"/>
      <c r="N916" s="382"/>
      <c r="O916" s="382"/>
      <c r="P916" s="382"/>
      <c r="Q916" s="382"/>
      <c r="R916" s="382"/>
      <c r="S916" s="382"/>
      <c r="T916" s="382"/>
    </row>
    <row r="917" spans="3:20" ht="18" x14ac:dyDescent="0.35">
      <c r="C917" s="382"/>
      <c r="D917" s="382"/>
      <c r="E917" s="382"/>
      <c r="F917" s="382"/>
      <c r="G917" s="382"/>
      <c r="H917" s="382"/>
      <c r="I917" s="382"/>
      <c r="J917" s="382"/>
      <c r="K917" s="382"/>
      <c r="L917" s="382"/>
      <c r="M917" s="382"/>
      <c r="N917" s="382"/>
      <c r="O917" s="382"/>
      <c r="P917" s="382"/>
      <c r="Q917" s="382"/>
      <c r="R917" s="382"/>
      <c r="S917" s="382"/>
      <c r="T917" s="382"/>
    </row>
    <row r="918" spans="3:20" ht="18" x14ac:dyDescent="0.35">
      <c r="C918" s="382"/>
      <c r="D918" s="382"/>
      <c r="E918" s="382"/>
      <c r="F918" s="382"/>
      <c r="G918" s="382"/>
      <c r="H918" s="382"/>
      <c r="I918" s="382"/>
      <c r="J918" s="382"/>
      <c r="K918" s="382"/>
      <c r="L918" s="382"/>
      <c r="M918" s="382"/>
      <c r="N918" s="382"/>
      <c r="O918" s="382"/>
      <c r="P918" s="382"/>
      <c r="Q918" s="382"/>
      <c r="R918" s="382"/>
      <c r="S918" s="382"/>
      <c r="T918" s="382"/>
    </row>
    <row r="919" spans="3:20" ht="18" x14ac:dyDescent="0.35">
      <c r="C919" s="382"/>
      <c r="D919" s="382"/>
      <c r="E919" s="382"/>
      <c r="F919" s="382"/>
      <c r="G919" s="382"/>
      <c r="H919" s="382"/>
      <c r="I919" s="382"/>
      <c r="J919" s="382"/>
      <c r="K919" s="382"/>
      <c r="L919" s="382"/>
      <c r="M919" s="382"/>
      <c r="N919" s="382"/>
      <c r="O919" s="382"/>
      <c r="P919" s="382"/>
      <c r="Q919" s="382"/>
      <c r="R919" s="382"/>
      <c r="S919" s="382"/>
      <c r="T919" s="382"/>
    </row>
    <row r="920" spans="3:20" ht="18" x14ac:dyDescent="0.35">
      <c r="C920" s="382"/>
      <c r="D920" s="382"/>
      <c r="E920" s="382"/>
      <c r="F920" s="382"/>
      <c r="G920" s="382"/>
      <c r="H920" s="382"/>
      <c r="I920" s="382"/>
      <c r="J920" s="382"/>
      <c r="K920" s="382"/>
      <c r="L920" s="382"/>
      <c r="M920" s="382"/>
      <c r="N920" s="382"/>
      <c r="O920" s="382"/>
      <c r="P920" s="382"/>
      <c r="Q920" s="382"/>
      <c r="R920" s="382"/>
      <c r="S920" s="382"/>
      <c r="T920" s="382"/>
    </row>
    <row r="921" spans="3:20" ht="18" x14ac:dyDescent="0.35">
      <c r="C921" s="382"/>
      <c r="D921" s="382"/>
      <c r="E921" s="382"/>
      <c r="F921" s="382"/>
      <c r="G921" s="382"/>
      <c r="H921" s="382"/>
      <c r="I921" s="382"/>
      <c r="J921" s="382"/>
      <c r="K921" s="382"/>
      <c r="L921" s="382"/>
      <c r="M921" s="382"/>
      <c r="N921" s="382"/>
      <c r="O921" s="382"/>
      <c r="P921" s="382"/>
      <c r="Q921" s="382"/>
      <c r="R921" s="382"/>
      <c r="S921" s="382"/>
      <c r="T921" s="382"/>
    </row>
    <row r="922" spans="3:20" ht="18" x14ac:dyDescent="0.35">
      <c r="C922" s="382"/>
      <c r="D922" s="382"/>
      <c r="E922" s="382"/>
      <c r="F922" s="382"/>
      <c r="G922" s="382"/>
      <c r="H922" s="382"/>
      <c r="I922" s="382"/>
      <c r="J922" s="382"/>
      <c r="K922" s="382"/>
      <c r="L922" s="382"/>
      <c r="M922" s="382"/>
      <c r="N922" s="382"/>
      <c r="O922" s="382"/>
      <c r="P922" s="382"/>
      <c r="Q922" s="382"/>
      <c r="R922" s="382"/>
      <c r="S922" s="382"/>
      <c r="T922" s="382"/>
    </row>
    <row r="923" spans="3:20" ht="18" x14ac:dyDescent="0.35">
      <c r="C923" s="382"/>
      <c r="D923" s="382"/>
      <c r="E923" s="382"/>
      <c r="F923" s="382"/>
      <c r="G923" s="382"/>
      <c r="H923" s="382"/>
      <c r="I923" s="382"/>
      <c r="J923" s="382"/>
      <c r="K923" s="382"/>
      <c r="L923" s="382"/>
      <c r="M923" s="382"/>
      <c r="N923" s="382"/>
      <c r="O923" s="382"/>
      <c r="P923" s="382"/>
      <c r="Q923" s="382"/>
      <c r="R923" s="382"/>
      <c r="S923" s="382"/>
      <c r="T923" s="382"/>
    </row>
    <row r="924" spans="3:20" ht="18" x14ac:dyDescent="0.35">
      <c r="C924" s="382"/>
      <c r="D924" s="382"/>
      <c r="E924" s="382"/>
      <c r="F924" s="382"/>
      <c r="G924" s="382"/>
      <c r="H924" s="382"/>
      <c r="I924" s="382"/>
      <c r="J924" s="382"/>
      <c r="K924" s="382"/>
      <c r="L924" s="382"/>
      <c r="M924" s="382"/>
      <c r="N924" s="382"/>
      <c r="O924" s="382"/>
      <c r="P924" s="382"/>
      <c r="Q924" s="382"/>
      <c r="R924" s="382"/>
      <c r="S924" s="382"/>
      <c r="T924" s="382"/>
    </row>
    <row r="925" spans="3:20" ht="18" x14ac:dyDescent="0.35">
      <c r="C925" s="382"/>
      <c r="D925" s="382"/>
      <c r="E925" s="382"/>
      <c r="F925" s="382"/>
      <c r="G925" s="382"/>
      <c r="H925" s="382"/>
      <c r="I925" s="382"/>
      <c r="J925" s="382"/>
      <c r="K925" s="382"/>
      <c r="L925" s="382"/>
      <c r="M925" s="382"/>
      <c r="N925" s="382"/>
      <c r="O925" s="382"/>
      <c r="P925" s="382"/>
      <c r="Q925" s="382"/>
      <c r="R925" s="382"/>
      <c r="S925" s="382"/>
      <c r="T925" s="382"/>
    </row>
    <row r="926" spans="3:20" ht="18" x14ac:dyDescent="0.35">
      <c r="C926" s="382"/>
      <c r="D926" s="382"/>
      <c r="E926" s="382"/>
      <c r="F926" s="382"/>
      <c r="G926" s="382"/>
      <c r="H926" s="382"/>
      <c r="I926" s="382"/>
      <c r="J926" s="382"/>
      <c r="K926" s="382"/>
      <c r="L926" s="382"/>
      <c r="M926" s="382"/>
      <c r="N926" s="382"/>
      <c r="O926" s="382"/>
      <c r="P926" s="382"/>
      <c r="Q926" s="382"/>
      <c r="R926" s="382"/>
      <c r="S926" s="382"/>
      <c r="T926" s="382"/>
    </row>
    <row r="927" spans="3:20" ht="18" x14ac:dyDescent="0.35">
      <c r="C927" s="382"/>
      <c r="D927" s="382"/>
      <c r="E927" s="382"/>
      <c r="F927" s="382"/>
      <c r="G927" s="382"/>
      <c r="H927" s="382"/>
      <c r="I927" s="382"/>
      <c r="J927" s="382"/>
      <c r="K927" s="382"/>
      <c r="L927" s="382"/>
      <c r="M927" s="382"/>
      <c r="N927" s="382"/>
      <c r="O927" s="382"/>
      <c r="P927" s="382"/>
      <c r="Q927" s="382"/>
      <c r="R927" s="382"/>
      <c r="S927" s="382"/>
      <c r="T927" s="382"/>
    </row>
    <row r="928" spans="3:20" ht="18" x14ac:dyDescent="0.35">
      <c r="C928" s="382"/>
      <c r="D928" s="382"/>
      <c r="E928" s="382"/>
      <c r="F928" s="382"/>
      <c r="G928" s="382"/>
      <c r="H928" s="382"/>
      <c r="I928" s="382"/>
      <c r="J928" s="382"/>
      <c r="K928" s="382"/>
      <c r="L928" s="382"/>
      <c r="M928" s="382"/>
      <c r="N928" s="382"/>
      <c r="O928" s="382"/>
      <c r="P928" s="382"/>
      <c r="Q928" s="382"/>
      <c r="R928" s="382"/>
      <c r="S928" s="382"/>
      <c r="T928" s="382"/>
    </row>
    <row r="929" spans="3:20" ht="18" x14ac:dyDescent="0.35">
      <c r="C929" s="382"/>
      <c r="D929" s="382"/>
      <c r="E929" s="382"/>
      <c r="F929" s="382"/>
      <c r="G929" s="382"/>
      <c r="H929" s="382"/>
      <c r="I929" s="382"/>
      <c r="J929" s="382"/>
      <c r="K929" s="382"/>
      <c r="L929" s="382"/>
      <c r="M929" s="382"/>
      <c r="N929" s="382"/>
      <c r="O929" s="382"/>
      <c r="P929" s="382"/>
      <c r="Q929" s="382"/>
      <c r="R929" s="382"/>
      <c r="S929" s="382"/>
      <c r="T929" s="382"/>
    </row>
    <row r="930" spans="3:20" ht="18" x14ac:dyDescent="0.35">
      <c r="C930" s="382"/>
      <c r="D930" s="382"/>
      <c r="E930" s="382"/>
      <c r="F930" s="382"/>
      <c r="G930" s="382"/>
      <c r="H930" s="382"/>
      <c r="I930" s="382"/>
      <c r="J930" s="382"/>
      <c r="K930" s="382"/>
      <c r="L930" s="382"/>
      <c r="M930" s="382"/>
      <c r="N930" s="382"/>
      <c r="O930" s="382"/>
      <c r="P930" s="382"/>
      <c r="Q930" s="382"/>
      <c r="R930" s="382"/>
      <c r="S930" s="382"/>
      <c r="T930" s="382"/>
    </row>
    <row r="931" spans="3:20" ht="18" x14ac:dyDescent="0.35">
      <c r="C931" s="382"/>
      <c r="D931" s="382"/>
      <c r="E931" s="382"/>
      <c r="F931" s="382"/>
      <c r="G931" s="382"/>
      <c r="H931" s="382"/>
      <c r="I931" s="382"/>
      <c r="J931" s="382"/>
      <c r="K931" s="382"/>
      <c r="L931" s="382"/>
      <c r="M931" s="382"/>
      <c r="N931" s="382"/>
      <c r="O931" s="382"/>
      <c r="P931" s="382"/>
      <c r="Q931" s="382"/>
      <c r="R931" s="382"/>
      <c r="S931" s="382"/>
      <c r="T931" s="382"/>
    </row>
    <row r="932" spans="3:20" ht="18" x14ac:dyDescent="0.35">
      <c r="C932" s="382"/>
      <c r="D932" s="382"/>
      <c r="E932" s="382"/>
      <c r="F932" s="382"/>
      <c r="G932" s="382"/>
      <c r="H932" s="382"/>
      <c r="I932" s="382"/>
      <c r="J932" s="382"/>
      <c r="K932" s="382"/>
      <c r="L932" s="382"/>
      <c r="M932" s="382"/>
      <c r="N932" s="382"/>
      <c r="O932" s="382"/>
      <c r="P932" s="382"/>
      <c r="Q932" s="382"/>
      <c r="R932" s="382"/>
      <c r="S932" s="382"/>
      <c r="T932" s="382"/>
    </row>
    <row r="933" spans="3:20" ht="18" x14ac:dyDescent="0.35">
      <c r="C933" s="382"/>
      <c r="D933" s="382"/>
      <c r="E933" s="382"/>
      <c r="F933" s="382"/>
      <c r="G933" s="382"/>
      <c r="H933" s="382"/>
      <c r="I933" s="382"/>
      <c r="J933" s="382"/>
      <c r="K933" s="382"/>
      <c r="L933" s="382"/>
      <c r="M933" s="382"/>
      <c r="N933" s="382"/>
      <c r="O933" s="382"/>
      <c r="P933" s="382"/>
      <c r="Q933" s="382"/>
      <c r="R933" s="382"/>
      <c r="S933" s="382"/>
      <c r="T933" s="382"/>
    </row>
    <row r="934" spans="3:20" ht="18" x14ac:dyDescent="0.35">
      <c r="C934" s="382"/>
      <c r="D934" s="382"/>
      <c r="E934" s="382"/>
      <c r="F934" s="382"/>
      <c r="G934" s="382"/>
      <c r="H934" s="382"/>
      <c r="I934" s="382"/>
      <c r="J934" s="382"/>
      <c r="K934" s="382"/>
      <c r="L934" s="382"/>
      <c r="M934" s="382"/>
      <c r="N934" s="382"/>
      <c r="O934" s="382"/>
      <c r="P934" s="382"/>
      <c r="Q934" s="382"/>
      <c r="R934" s="382"/>
      <c r="S934" s="382"/>
      <c r="T934" s="382"/>
    </row>
    <row r="935" spans="3:20" ht="18" x14ac:dyDescent="0.35">
      <c r="C935" s="382"/>
      <c r="D935" s="382"/>
      <c r="E935" s="382"/>
      <c r="F935" s="382"/>
      <c r="G935" s="382"/>
      <c r="H935" s="382"/>
      <c r="I935" s="382"/>
      <c r="J935" s="382"/>
      <c r="K935" s="382"/>
      <c r="L935" s="382"/>
      <c r="M935" s="382"/>
      <c r="N935" s="382"/>
      <c r="O935" s="382"/>
      <c r="P935" s="382"/>
      <c r="Q935" s="382"/>
      <c r="R935" s="382"/>
      <c r="S935" s="382"/>
      <c r="T935" s="382"/>
    </row>
    <row r="936" spans="3:20" ht="18" x14ac:dyDescent="0.35">
      <c r="C936" s="382"/>
      <c r="D936" s="382"/>
      <c r="E936" s="382"/>
      <c r="F936" s="382"/>
      <c r="G936" s="382"/>
      <c r="H936" s="382"/>
      <c r="I936" s="382"/>
      <c r="J936" s="382"/>
      <c r="K936" s="382"/>
      <c r="L936" s="382"/>
      <c r="M936" s="382"/>
      <c r="N936" s="382"/>
      <c r="O936" s="382"/>
      <c r="P936" s="382"/>
      <c r="Q936" s="382"/>
      <c r="R936" s="382"/>
      <c r="S936" s="382"/>
      <c r="T936" s="382"/>
    </row>
    <row r="937" spans="3:20" ht="18" x14ac:dyDescent="0.35">
      <c r="C937" s="382"/>
      <c r="D937" s="382"/>
      <c r="E937" s="382"/>
      <c r="F937" s="382"/>
      <c r="G937" s="382"/>
      <c r="H937" s="382"/>
      <c r="I937" s="382"/>
      <c r="J937" s="382"/>
      <c r="K937" s="382"/>
      <c r="L937" s="382"/>
      <c r="M937" s="382"/>
      <c r="N937" s="382"/>
      <c r="O937" s="382"/>
      <c r="P937" s="382"/>
      <c r="Q937" s="382"/>
      <c r="R937" s="382"/>
      <c r="S937" s="382"/>
      <c r="T937" s="382"/>
    </row>
    <row r="938" spans="3:20" ht="18" x14ac:dyDescent="0.35">
      <c r="C938" s="382"/>
      <c r="D938" s="382"/>
      <c r="E938" s="382"/>
      <c r="F938" s="382"/>
      <c r="G938" s="382"/>
      <c r="H938" s="382"/>
      <c r="I938" s="382"/>
      <c r="J938" s="382"/>
      <c r="K938" s="382"/>
      <c r="L938" s="382"/>
      <c r="M938" s="382"/>
      <c r="N938" s="382"/>
      <c r="O938" s="382"/>
      <c r="P938" s="382"/>
      <c r="Q938" s="382"/>
      <c r="R938" s="382"/>
      <c r="S938" s="382"/>
      <c r="T938" s="382"/>
    </row>
    <row r="939" spans="3:20" ht="18" x14ac:dyDescent="0.35">
      <c r="C939" s="382"/>
      <c r="D939" s="382"/>
      <c r="E939" s="382"/>
      <c r="F939" s="382"/>
      <c r="G939" s="382"/>
      <c r="H939" s="382"/>
      <c r="I939" s="382"/>
      <c r="J939" s="382"/>
      <c r="K939" s="382"/>
      <c r="L939" s="382"/>
      <c r="M939" s="382"/>
      <c r="N939" s="382"/>
      <c r="O939" s="382"/>
      <c r="P939" s="382"/>
      <c r="Q939" s="382"/>
      <c r="R939" s="382"/>
      <c r="S939" s="382"/>
      <c r="T939" s="382"/>
    </row>
    <row r="940" spans="3:20" ht="18" x14ac:dyDescent="0.35">
      <c r="C940" s="382"/>
      <c r="D940" s="382"/>
      <c r="E940" s="382"/>
      <c r="F940" s="382"/>
      <c r="G940" s="382"/>
      <c r="H940" s="382"/>
      <c r="I940" s="382"/>
      <c r="J940" s="382"/>
      <c r="K940" s="382"/>
      <c r="L940" s="382"/>
      <c r="M940" s="382"/>
      <c r="N940" s="382"/>
      <c r="O940" s="382"/>
      <c r="P940" s="382"/>
      <c r="Q940" s="382"/>
      <c r="R940" s="382"/>
      <c r="S940" s="382"/>
      <c r="T940" s="382"/>
    </row>
    <row r="941" spans="3:20" ht="18" x14ac:dyDescent="0.35">
      <c r="C941" s="382"/>
      <c r="D941" s="382"/>
      <c r="E941" s="382"/>
      <c r="F941" s="382"/>
      <c r="G941" s="382"/>
      <c r="H941" s="382"/>
      <c r="I941" s="382"/>
      <c r="J941" s="382"/>
      <c r="K941" s="382"/>
      <c r="L941" s="382"/>
      <c r="M941" s="382"/>
      <c r="N941" s="382"/>
      <c r="O941" s="382"/>
      <c r="P941" s="382"/>
      <c r="Q941" s="382"/>
      <c r="R941" s="382"/>
      <c r="S941" s="382"/>
      <c r="T941" s="382"/>
    </row>
    <row r="942" spans="3:20" ht="18" x14ac:dyDescent="0.35">
      <c r="C942" s="382"/>
      <c r="D942" s="382"/>
      <c r="E942" s="382"/>
      <c r="F942" s="382"/>
      <c r="G942" s="382"/>
      <c r="H942" s="382"/>
      <c r="I942" s="382"/>
      <c r="J942" s="382"/>
      <c r="K942" s="382"/>
      <c r="L942" s="382"/>
      <c r="M942" s="382"/>
      <c r="N942" s="382"/>
      <c r="O942" s="382"/>
      <c r="P942" s="382"/>
      <c r="Q942" s="382"/>
      <c r="R942" s="382"/>
      <c r="S942" s="382"/>
      <c r="T942" s="382"/>
    </row>
    <row r="943" spans="3:20" ht="18" x14ac:dyDescent="0.35">
      <c r="C943" s="382"/>
      <c r="D943" s="382"/>
      <c r="E943" s="382"/>
      <c r="F943" s="382"/>
      <c r="G943" s="382"/>
      <c r="H943" s="382"/>
      <c r="I943" s="382"/>
      <c r="J943" s="382"/>
      <c r="K943" s="382"/>
      <c r="L943" s="382"/>
      <c r="M943" s="382"/>
      <c r="N943" s="382"/>
      <c r="O943" s="382"/>
      <c r="P943" s="382"/>
      <c r="Q943" s="382"/>
      <c r="R943" s="382"/>
      <c r="S943" s="382"/>
      <c r="T943" s="382"/>
    </row>
    <row r="944" spans="3:20" ht="18" x14ac:dyDescent="0.35">
      <c r="C944" s="382"/>
      <c r="D944" s="382"/>
      <c r="E944" s="382"/>
      <c r="F944" s="382"/>
      <c r="G944" s="382"/>
      <c r="H944" s="382"/>
      <c r="I944" s="382"/>
      <c r="J944" s="382"/>
      <c r="K944" s="382"/>
      <c r="L944" s="382"/>
      <c r="M944" s="382"/>
      <c r="N944" s="382"/>
      <c r="O944" s="382"/>
      <c r="P944" s="382"/>
      <c r="Q944" s="382"/>
      <c r="R944" s="382"/>
      <c r="S944" s="382"/>
      <c r="T944" s="382"/>
    </row>
    <row r="945" spans="3:20" ht="18" x14ac:dyDescent="0.35">
      <c r="C945" s="382"/>
      <c r="D945" s="382"/>
      <c r="E945" s="382"/>
      <c r="F945" s="382"/>
      <c r="G945" s="382"/>
      <c r="H945" s="382"/>
      <c r="I945" s="382"/>
      <c r="J945" s="382"/>
      <c r="K945" s="382"/>
      <c r="L945" s="382"/>
      <c r="M945" s="382"/>
      <c r="N945" s="382"/>
      <c r="O945" s="382"/>
      <c r="P945" s="382"/>
      <c r="Q945" s="382"/>
      <c r="R945" s="382"/>
      <c r="S945" s="382"/>
      <c r="T945" s="382"/>
    </row>
    <row r="946" spans="3:20" ht="18" x14ac:dyDescent="0.35">
      <c r="C946" s="382"/>
      <c r="D946" s="382"/>
      <c r="E946" s="382"/>
      <c r="F946" s="382"/>
      <c r="G946" s="382"/>
      <c r="H946" s="382"/>
      <c r="I946" s="382"/>
      <c r="J946" s="382"/>
      <c r="K946" s="382"/>
      <c r="L946" s="382"/>
      <c r="M946" s="382"/>
      <c r="N946" s="382"/>
      <c r="O946" s="382"/>
      <c r="P946" s="382"/>
      <c r="Q946" s="382"/>
      <c r="R946" s="382"/>
      <c r="S946" s="382"/>
      <c r="T946" s="382"/>
    </row>
    <row r="947" spans="3:20" ht="18" x14ac:dyDescent="0.35">
      <c r="C947" s="382"/>
      <c r="D947" s="382"/>
      <c r="E947" s="382"/>
      <c r="F947" s="382"/>
      <c r="G947" s="382"/>
      <c r="H947" s="382"/>
      <c r="I947" s="382"/>
      <c r="J947" s="382"/>
      <c r="K947" s="382"/>
      <c r="L947" s="382"/>
      <c r="M947" s="382"/>
      <c r="N947" s="382"/>
      <c r="O947" s="382"/>
      <c r="P947" s="382"/>
      <c r="Q947" s="382"/>
      <c r="R947" s="382"/>
      <c r="S947" s="382"/>
      <c r="T947" s="382"/>
    </row>
    <row r="948" spans="3:20" ht="18" x14ac:dyDescent="0.35">
      <c r="C948" s="382"/>
      <c r="D948" s="382"/>
      <c r="E948" s="382"/>
      <c r="F948" s="382"/>
      <c r="G948" s="382"/>
      <c r="H948" s="382"/>
      <c r="I948" s="382"/>
      <c r="J948" s="382"/>
      <c r="K948" s="382"/>
      <c r="L948" s="382"/>
      <c r="M948" s="382"/>
      <c r="N948" s="382"/>
      <c r="O948" s="382"/>
      <c r="P948" s="382"/>
      <c r="Q948" s="382"/>
      <c r="R948" s="382"/>
      <c r="S948" s="382"/>
      <c r="T948" s="382"/>
    </row>
    <row r="949" spans="3:20" ht="18" x14ac:dyDescent="0.35">
      <c r="C949" s="382"/>
      <c r="D949" s="382"/>
      <c r="E949" s="382"/>
      <c r="F949" s="382"/>
      <c r="G949" s="382"/>
      <c r="H949" s="382"/>
      <c r="I949" s="382"/>
      <c r="J949" s="382"/>
      <c r="K949" s="382"/>
      <c r="L949" s="382"/>
      <c r="M949" s="382"/>
      <c r="N949" s="382"/>
      <c r="O949" s="382"/>
      <c r="P949" s="382"/>
      <c r="Q949" s="382"/>
      <c r="R949" s="382"/>
      <c r="S949" s="382"/>
      <c r="T949" s="382"/>
    </row>
    <row r="950" spans="3:20" ht="18" x14ac:dyDescent="0.35">
      <c r="C950" s="382"/>
      <c r="D950" s="382"/>
      <c r="E950" s="382"/>
      <c r="F950" s="382"/>
      <c r="G950" s="382"/>
      <c r="H950" s="382"/>
      <c r="I950" s="382"/>
      <c r="J950" s="382"/>
      <c r="K950" s="382"/>
      <c r="L950" s="382"/>
      <c r="M950" s="382"/>
      <c r="N950" s="382"/>
      <c r="O950" s="382"/>
      <c r="P950" s="382"/>
      <c r="Q950" s="382"/>
      <c r="R950" s="382"/>
      <c r="S950" s="382"/>
      <c r="T950" s="382"/>
    </row>
    <row r="951" spans="3:20" ht="18" x14ac:dyDescent="0.35">
      <c r="C951" s="382"/>
      <c r="D951" s="382"/>
      <c r="E951" s="382"/>
      <c r="F951" s="382"/>
      <c r="G951" s="382"/>
      <c r="H951" s="382"/>
      <c r="I951" s="382"/>
      <c r="J951" s="382"/>
      <c r="K951" s="382"/>
      <c r="L951" s="382"/>
      <c r="M951" s="382"/>
      <c r="N951" s="382"/>
      <c r="O951" s="382"/>
      <c r="P951" s="382"/>
      <c r="Q951" s="382"/>
      <c r="R951" s="382"/>
      <c r="S951" s="382"/>
      <c r="T951" s="382"/>
    </row>
    <row r="952" spans="3:20" ht="18" x14ac:dyDescent="0.35">
      <c r="C952" s="382"/>
      <c r="D952" s="382"/>
      <c r="E952" s="382"/>
      <c r="F952" s="382"/>
      <c r="G952" s="382"/>
      <c r="H952" s="382"/>
      <c r="I952" s="382"/>
      <c r="J952" s="382"/>
      <c r="K952" s="382"/>
      <c r="L952" s="382"/>
      <c r="M952" s="382"/>
      <c r="N952" s="382"/>
      <c r="O952" s="382"/>
      <c r="P952" s="382"/>
      <c r="Q952" s="382"/>
      <c r="R952" s="382"/>
      <c r="S952" s="382"/>
      <c r="T952" s="382"/>
    </row>
    <row r="953" spans="3:20" ht="18" x14ac:dyDescent="0.35">
      <c r="C953" s="382"/>
      <c r="D953" s="382"/>
      <c r="E953" s="382"/>
      <c r="F953" s="382"/>
      <c r="G953" s="382"/>
      <c r="H953" s="382"/>
      <c r="I953" s="382"/>
      <c r="J953" s="382"/>
      <c r="K953" s="382"/>
      <c r="L953" s="382"/>
      <c r="M953" s="382"/>
      <c r="N953" s="382"/>
      <c r="O953" s="382"/>
      <c r="P953" s="382"/>
      <c r="Q953" s="382"/>
      <c r="R953" s="382"/>
      <c r="S953" s="382"/>
      <c r="T953" s="382"/>
    </row>
    <row r="954" spans="3:20" ht="18" x14ac:dyDescent="0.35">
      <c r="C954" s="382"/>
      <c r="D954" s="382"/>
      <c r="E954" s="382"/>
      <c r="F954" s="382"/>
      <c r="G954" s="382"/>
      <c r="H954" s="382"/>
      <c r="I954" s="382"/>
      <c r="J954" s="382"/>
      <c r="K954" s="382"/>
      <c r="L954" s="382"/>
      <c r="M954" s="382"/>
      <c r="N954" s="382"/>
      <c r="O954" s="382"/>
      <c r="P954" s="382"/>
      <c r="Q954" s="382"/>
      <c r="R954" s="382"/>
      <c r="S954" s="382"/>
      <c r="T954" s="382"/>
    </row>
    <row r="955" spans="3:20" ht="18" x14ac:dyDescent="0.35">
      <c r="C955" s="382"/>
      <c r="D955" s="382"/>
      <c r="E955" s="382"/>
      <c r="F955" s="382"/>
      <c r="G955" s="382"/>
      <c r="H955" s="382"/>
      <c r="I955" s="382"/>
      <c r="J955" s="382"/>
      <c r="K955" s="382"/>
      <c r="L955" s="382"/>
      <c r="M955" s="382"/>
      <c r="N955" s="382"/>
      <c r="O955" s="382"/>
      <c r="P955" s="382"/>
      <c r="Q955" s="382"/>
      <c r="R955" s="382"/>
      <c r="S955" s="382"/>
      <c r="T955" s="382"/>
    </row>
    <row r="956" spans="3:20" ht="18" x14ac:dyDescent="0.35">
      <c r="C956" s="382"/>
      <c r="D956" s="382"/>
      <c r="E956" s="382"/>
      <c r="F956" s="382"/>
      <c r="G956" s="382"/>
      <c r="H956" s="382"/>
      <c r="I956" s="382"/>
      <c r="J956" s="382"/>
      <c r="K956" s="382"/>
      <c r="L956" s="382"/>
      <c r="M956" s="382"/>
      <c r="N956" s="382"/>
      <c r="O956" s="382"/>
      <c r="P956" s="382"/>
      <c r="Q956" s="382"/>
      <c r="R956" s="382"/>
      <c r="S956" s="382"/>
      <c r="T956" s="382"/>
    </row>
    <row r="957" spans="3:20" ht="18" x14ac:dyDescent="0.35">
      <c r="C957" s="382"/>
      <c r="D957" s="382"/>
      <c r="E957" s="382"/>
      <c r="F957" s="382"/>
      <c r="G957" s="382"/>
      <c r="H957" s="382"/>
      <c r="I957" s="382"/>
      <c r="J957" s="382"/>
      <c r="K957" s="382"/>
      <c r="L957" s="382"/>
      <c r="M957" s="382"/>
      <c r="N957" s="382"/>
      <c r="O957" s="382"/>
      <c r="P957" s="382"/>
      <c r="Q957" s="382"/>
      <c r="R957" s="382"/>
      <c r="S957" s="382"/>
      <c r="T957" s="382"/>
    </row>
    <row r="958" spans="3:20" ht="18" x14ac:dyDescent="0.35">
      <c r="C958" s="382"/>
      <c r="D958" s="382"/>
      <c r="E958" s="382"/>
      <c r="F958" s="382"/>
      <c r="G958" s="382"/>
      <c r="H958" s="382"/>
      <c r="I958" s="382"/>
      <c r="J958" s="382"/>
      <c r="K958" s="382"/>
      <c r="L958" s="382"/>
      <c r="M958" s="382"/>
      <c r="N958" s="382"/>
      <c r="O958" s="382"/>
      <c r="P958" s="382"/>
      <c r="Q958" s="382"/>
      <c r="R958" s="382"/>
      <c r="S958" s="382"/>
      <c r="T958" s="382"/>
    </row>
    <row r="959" spans="3:20" ht="18" x14ac:dyDescent="0.35">
      <c r="C959" s="382"/>
      <c r="D959" s="382"/>
      <c r="E959" s="382"/>
      <c r="F959" s="382"/>
      <c r="G959" s="382"/>
      <c r="H959" s="382"/>
      <c r="I959" s="382"/>
      <c r="J959" s="382"/>
      <c r="K959" s="382"/>
      <c r="L959" s="382"/>
      <c r="M959" s="382"/>
      <c r="N959" s="382"/>
      <c r="O959" s="382"/>
      <c r="P959" s="382"/>
      <c r="Q959" s="382"/>
      <c r="R959" s="382"/>
      <c r="S959" s="382"/>
      <c r="T959" s="382"/>
    </row>
    <row r="960" spans="3:20" ht="18" x14ac:dyDescent="0.35">
      <c r="C960" s="382"/>
      <c r="D960" s="382"/>
      <c r="E960" s="382"/>
      <c r="F960" s="382"/>
      <c r="G960" s="382"/>
      <c r="H960" s="382"/>
      <c r="I960" s="382"/>
      <c r="J960" s="382"/>
      <c r="K960" s="382"/>
      <c r="L960" s="382"/>
      <c r="M960" s="382"/>
      <c r="N960" s="382"/>
      <c r="O960" s="382"/>
      <c r="P960" s="382"/>
      <c r="Q960" s="382"/>
      <c r="R960" s="382"/>
      <c r="S960" s="382"/>
      <c r="T960" s="382"/>
    </row>
    <row r="961" spans="3:20" ht="18" x14ac:dyDescent="0.35">
      <c r="C961" s="382"/>
      <c r="D961" s="382"/>
      <c r="E961" s="382"/>
      <c r="F961" s="382"/>
      <c r="G961" s="382"/>
      <c r="H961" s="382"/>
      <c r="I961" s="382"/>
      <c r="J961" s="382"/>
      <c r="K961" s="382"/>
      <c r="L961" s="382"/>
      <c r="M961" s="382"/>
      <c r="N961" s="382"/>
      <c r="O961" s="382"/>
      <c r="P961" s="382"/>
      <c r="Q961" s="382"/>
      <c r="R961" s="382"/>
      <c r="S961" s="382"/>
      <c r="T961" s="382"/>
    </row>
    <row r="962" spans="3:20" ht="18" x14ac:dyDescent="0.35">
      <c r="C962" s="382"/>
      <c r="D962" s="382"/>
      <c r="E962" s="382"/>
      <c r="F962" s="382"/>
      <c r="G962" s="382"/>
      <c r="H962" s="382"/>
      <c r="I962" s="382"/>
      <c r="J962" s="382"/>
      <c r="K962" s="382"/>
      <c r="L962" s="382"/>
      <c r="M962" s="382"/>
      <c r="N962" s="382"/>
      <c r="O962" s="382"/>
      <c r="P962" s="382"/>
      <c r="Q962" s="382"/>
      <c r="R962" s="382"/>
      <c r="S962" s="382"/>
      <c r="T962" s="382"/>
    </row>
    <row r="963" spans="3:20" ht="18" x14ac:dyDescent="0.35">
      <c r="C963" s="382"/>
      <c r="D963" s="382"/>
      <c r="E963" s="382"/>
      <c r="F963" s="382"/>
      <c r="G963" s="382"/>
      <c r="H963" s="382"/>
      <c r="I963" s="382"/>
      <c r="J963" s="382"/>
      <c r="K963" s="382"/>
      <c r="L963" s="382"/>
      <c r="M963" s="382"/>
      <c r="N963" s="382"/>
      <c r="O963" s="382"/>
      <c r="P963" s="382"/>
      <c r="Q963" s="382"/>
      <c r="R963" s="382"/>
      <c r="S963" s="382"/>
      <c r="T963" s="382"/>
    </row>
    <row r="964" spans="3:20" ht="18" x14ac:dyDescent="0.35">
      <c r="C964" s="382"/>
      <c r="D964" s="382"/>
      <c r="E964" s="382"/>
      <c r="F964" s="382"/>
      <c r="G964" s="382"/>
      <c r="H964" s="382"/>
      <c r="I964" s="382"/>
      <c r="J964" s="382"/>
      <c r="K964" s="382"/>
      <c r="L964" s="382"/>
      <c r="M964" s="382"/>
      <c r="N964" s="382"/>
      <c r="O964" s="382"/>
      <c r="P964" s="382"/>
      <c r="Q964" s="382"/>
      <c r="R964" s="382"/>
      <c r="S964" s="382"/>
      <c r="T964" s="382"/>
    </row>
    <row r="965" spans="3:20" ht="18" x14ac:dyDescent="0.35">
      <c r="C965" s="382"/>
      <c r="D965" s="382"/>
      <c r="E965" s="382"/>
      <c r="F965" s="382"/>
      <c r="G965" s="382"/>
      <c r="H965" s="382"/>
      <c r="I965" s="382"/>
      <c r="J965" s="382"/>
      <c r="K965" s="382"/>
      <c r="L965" s="382"/>
      <c r="M965" s="382"/>
      <c r="N965" s="382"/>
      <c r="O965" s="382"/>
      <c r="P965" s="382"/>
      <c r="Q965" s="382"/>
      <c r="R965" s="382"/>
      <c r="S965" s="382"/>
      <c r="T965" s="382"/>
    </row>
    <row r="966" spans="3:20" ht="18" x14ac:dyDescent="0.35">
      <c r="C966" s="382"/>
      <c r="D966" s="382"/>
      <c r="E966" s="382"/>
      <c r="F966" s="382"/>
      <c r="G966" s="382"/>
      <c r="H966" s="382"/>
      <c r="I966" s="382"/>
      <c r="J966" s="382"/>
      <c r="K966" s="382"/>
      <c r="L966" s="382"/>
      <c r="M966" s="382"/>
      <c r="N966" s="382"/>
      <c r="O966" s="382"/>
      <c r="P966" s="382"/>
      <c r="Q966" s="382"/>
      <c r="R966" s="382"/>
      <c r="S966" s="382"/>
      <c r="T966" s="382"/>
    </row>
    <row r="967" spans="3:20" ht="18" x14ac:dyDescent="0.35">
      <c r="C967" s="382"/>
      <c r="D967" s="382"/>
      <c r="E967" s="382"/>
      <c r="F967" s="382"/>
      <c r="G967" s="382"/>
      <c r="H967" s="382"/>
      <c r="I967" s="382"/>
      <c r="J967" s="382"/>
      <c r="K967" s="382"/>
      <c r="L967" s="382"/>
      <c r="M967" s="382"/>
      <c r="N967" s="382"/>
      <c r="O967" s="382"/>
      <c r="P967" s="382"/>
      <c r="Q967" s="382"/>
      <c r="R967" s="382"/>
      <c r="S967" s="382"/>
      <c r="T967" s="382"/>
    </row>
    <row r="968" spans="3:20" ht="18" x14ac:dyDescent="0.35">
      <c r="C968" s="382"/>
      <c r="D968" s="382"/>
      <c r="E968" s="382"/>
      <c r="F968" s="382"/>
      <c r="G968" s="382"/>
      <c r="H968" s="382"/>
      <c r="I968" s="382"/>
      <c r="J968" s="382"/>
      <c r="K968" s="382"/>
      <c r="L968" s="382"/>
      <c r="M968" s="382"/>
      <c r="N968" s="382"/>
      <c r="O968" s="382"/>
      <c r="P968" s="382"/>
      <c r="Q968" s="382"/>
      <c r="R968" s="382"/>
      <c r="S968" s="382"/>
      <c r="T968" s="382"/>
    </row>
    <row r="969" spans="3:20" ht="18" x14ac:dyDescent="0.35">
      <c r="C969" s="382"/>
      <c r="D969" s="382"/>
      <c r="E969" s="382"/>
      <c r="F969" s="382"/>
      <c r="G969" s="382"/>
      <c r="H969" s="382"/>
      <c r="I969" s="382"/>
      <c r="J969" s="382"/>
      <c r="K969" s="382"/>
      <c r="L969" s="382"/>
      <c r="M969" s="382"/>
      <c r="N969" s="382"/>
      <c r="O969" s="382"/>
      <c r="P969" s="382"/>
      <c r="Q969" s="382"/>
      <c r="R969" s="382"/>
      <c r="S969" s="382"/>
      <c r="T969" s="382"/>
    </row>
    <row r="970" spans="3:20" ht="18" x14ac:dyDescent="0.35">
      <c r="C970" s="382"/>
      <c r="D970" s="382"/>
      <c r="E970" s="382"/>
      <c r="F970" s="382"/>
      <c r="G970" s="382"/>
      <c r="H970" s="382"/>
      <c r="I970" s="382"/>
      <c r="J970" s="382"/>
      <c r="K970" s="382"/>
      <c r="L970" s="382"/>
      <c r="M970" s="382"/>
      <c r="N970" s="382"/>
      <c r="O970" s="382"/>
      <c r="P970" s="382"/>
      <c r="Q970" s="382"/>
      <c r="R970" s="382"/>
      <c r="S970" s="382"/>
      <c r="T970" s="382"/>
    </row>
    <row r="971" spans="3:20" ht="18" x14ac:dyDescent="0.35">
      <c r="C971" s="382"/>
      <c r="D971" s="382"/>
      <c r="E971" s="382"/>
      <c r="F971" s="382"/>
      <c r="G971" s="382"/>
      <c r="H971" s="382"/>
      <c r="I971" s="382"/>
      <c r="J971" s="382"/>
      <c r="K971" s="382"/>
      <c r="L971" s="382"/>
      <c r="M971" s="382"/>
      <c r="N971" s="382"/>
      <c r="O971" s="382"/>
      <c r="P971" s="382"/>
      <c r="Q971" s="382"/>
      <c r="R971" s="382"/>
      <c r="S971" s="382"/>
      <c r="T971" s="382"/>
    </row>
    <row r="972" spans="3:20" ht="18" x14ac:dyDescent="0.35">
      <c r="C972" s="382"/>
      <c r="D972" s="382"/>
      <c r="E972" s="382"/>
      <c r="F972" s="382"/>
      <c r="G972" s="382"/>
      <c r="H972" s="382"/>
      <c r="I972" s="382"/>
      <c r="J972" s="382"/>
      <c r="K972" s="382"/>
      <c r="L972" s="382"/>
      <c r="M972" s="382"/>
      <c r="N972" s="382"/>
      <c r="O972" s="382"/>
      <c r="P972" s="382"/>
      <c r="Q972" s="382"/>
      <c r="R972" s="382"/>
      <c r="S972" s="382"/>
      <c r="T972" s="382"/>
    </row>
    <row r="973" spans="3:20" ht="18" x14ac:dyDescent="0.35">
      <c r="C973" s="382"/>
      <c r="D973" s="382"/>
      <c r="E973" s="382"/>
      <c r="F973" s="382"/>
      <c r="G973" s="382"/>
      <c r="H973" s="382"/>
      <c r="I973" s="382"/>
      <c r="J973" s="382"/>
      <c r="K973" s="382"/>
      <c r="L973" s="382"/>
      <c r="M973" s="382"/>
      <c r="N973" s="382"/>
      <c r="O973" s="382"/>
      <c r="P973" s="382"/>
      <c r="Q973" s="382"/>
      <c r="R973" s="382"/>
      <c r="S973" s="382"/>
      <c r="T973" s="382"/>
    </row>
    <row r="974" spans="3:20" ht="18" x14ac:dyDescent="0.35">
      <c r="C974" s="382"/>
      <c r="D974" s="382"/>
      <c r="E974" s="382"/>
      <c r="F974" s="382"/>
      <c r="G974" s="382"/>
      <c r="H974" s="382"/>
      <c r="I974" s="382"/>
      <c r="J974" s="382"/>
      <c r="K974" s="382"/>
      <c r="L974" s="382"/>
      <c r="M974" s="382"/>
      <c r="N974" s="382"/>
      <c r="O974" s="382"/>
      <c r="P974" s="382"/>
      <c r="Q974" s="382"/>
      <c r="R974" s="382"/>
      <c r="S974" s="382"/>
      <c r="T974" s="382"/>
    </row>
    <row r="975" spans="3:20" ht="18" x14ac:dyDescent="0.35">
      <c r="C975" s="382"/>
      <c r="D975" s="382"/>
      <c r="E975" s="382"/>
      <c r="F975" s="382"/>
      <c r="G975" s="382"/>
      <c r="H975" s="382"/>
      <c r="I975" s="382"/>
      <c r="J975" s="382"/>
      <c r="K975" s="382"/>
      <c r="L975" s="382"/>
      <c r="M975" s="382"/>
      <c r="N975" s="382"/>
      <c r="O975" s="382"/>
      <c r="P975" s="382"/>
      <c r="Q975" s="382"/>
      <c r="R975" s="382"/>
      <c r="S975" s="382"/>
      <c r="T975" s="382"/>
    </row>
    <row r="976" spans="3:20" ht="18" x14ac:dyDescent="0.35">
      <c r="C976" s="382"/>
      <c r="D976" s="382"/>
      <c r="E976" s="382"/>
      <c r="F976" s="382"/>
      <c r="G976" s="382"/>
      <c r="H976" s="382"/>
      <c r="I976" s="382"/>
      <c r="J976" s="382"/>
      <c r="K976" s="382"/>
      <c r="L976" s="382"/>
      <c r="M976" s="382"/>
      <c r="N976" s="382"/>
      <c r="O976" s="382"/>
      <c r="P976" s="382"/>
      <c r="Q976" s="382"/>
      <c r="R976" s="382"/>
      <c r="S976" s="382"/>
      <c r="T976" s="382"/>
    </row>
    <row r="977" spans="3:20" ht="18" x14ac:dyDescent="0.35">
      <c r="C977" s="382"/>
      <c r="D977" s="382"/>
      <c r="E977" s="382"/>
      <c r="F977" s="382"/>
      <c r="G977" s="382"/>
      <c r="H977" s="382"/>
      <c r="I977" s="382"/>
      <c r="J977" s="382"/>
      <c r="K977" s="382"/>
      <c r="L977" s="382"/>
      <c r="M977" s="382"/>
      <c r="N977" s="382"/>
      <c r="O977" s="382"/>
      <c r="P977" s="382"/>
      <c r="Q977" s="382"/>
      <c r="R977" s="382"/>
      <c r="S977" s="382"/>
      <c r="T977" s="382"/>
    </row>
    <row r="978" spans="3:20" ht="18" x14ac:dyDescent="0.35">
      <c r="C978" s="382"/>
      <c r="D978" s="382"/>
      <c r="E978" s="382"/>
      <c r="F978" s="382"/>
      <c r="G978" s="382"/>
      <c r="H978" s="382"/>
      <c r="I978" s="382"/>
      <c r="J978" s="382"/>
      <c r="K978" s="382"/>
      <c r="L978" s="382"/>
      <c r="M978" s="382"/>
      <c r="N978" s="382"/>
      <c r="O978" s="382"/>
      <c r="P978" s="382"/>
      <c r="Q978" s="382"/>
      <c r="R978" s="382"/>
      <c r="S978" s="382"/>
      <c r="T978" s="382"/>
    </row>
    <row r="979" spans="3:20" ht="18" x14ac:dyDescent="0.35">
      <c r="C979" s="382"/>
      <c r="D979" s="382"/>
      <c r="E979" s="382"/>
      <c r="F979" s="382"/>
      <c r="G979" s="382"/>
      <c r="H979" s="382"/>
      <c r="I979" s="382"/>
      <c r="J979" s="382"/>
      <c r="K979" s="382"/>
      <c r="L979" s="382"/>
      <c r="M979" s="382"/>
      <c r="N979" s="382"/>
      <c r="O979" s="382"/>
      <c r="P979" s="382"/>
      <c r="Q979" s="382"/>
      <c r="R979" s="382"/>
      <c r="S979" s="382"/>
      <c r="T979" s="382"/>
    </row>
    <row r="980" spans="3:20" ht="18" x14ac:dyDescent="0.35">
      <c r="C980" s="382"/>
      <c r="D980" s="382"/>
      <c r="E980" s="382"/>
      <c r="F980" s="382"/>
      <c r="G980" s="382"/>
      <c r="H980" s="382"/>
      <c r="I980" s="382"/>
      <c r="J980" s="382"/>
      <c r="K980" s="382"/>
      <c r="L980" s="382"/>
      <c r="M980" s="382"/>
      <c r="N980" s="382"/>
      <c r="O980" s="382"/>
      <c r="P980" s="382"/>
      <c r="Q980" s="382"/>
      <c r="R980" s="382"/>
      <c r="S980" s="382"/>
      <c r="T980" s="382"/>
    </row>
    <row r="981" spans="3:20" ht="18" x14ac:dyDescent="0.35">
      <c r="C981" s="382"/>
      <c r="D981" s="382"/>
      <c r="E981" s="382"/>
      <c r="F981" s="382"/>
      <c r="G981" s="382"/>
      <c r="H981" s="382"/>
      <c r="I981" s="382"/>
      <c r="J981" s="382"/>
      <c r="K981" s="382"/>
      <c r="L981" s="382"/>
      <c r="M981" s="382"/>
      <c r="N981" s="382"/>
      <c r="O981" s="382"/>
      <c r="P981" s="382"/>
      <c r="Q981" s="382"/>
      <c r="R981" s="382"/>
      <c r="S981" s="382"/>
      <c r="T981" s="382"/>
    </row>
    <row r="982" spans="3:20" ht="18" x14ac:dyDescent="0.35">
      <c r="C982" s="382"/>
      <c r="D982" s="382"/>
      <c r="E982" s="382"/>
      <c r="F982" s="382"/>
      <c r="G982" s="382"/>
      <c r="H982" s="382"/>
      <c r="I982" s="382"/>
      <c r="J982" s="382"/>
      <c r="K982" s="382"/>
      <c r="L982" s="382"/>
      <c r="M982" s="382"/>
      <c r="N982" s="382"/>
      <c r="O982" s="382"/>
      <c r="P982" s="382"/>
      <c r="Q982" s="382"/>
      <c r="R982" s="382"/>
      <c r="S982" s="382"/>
      <c r="T982" s="382"/>
    </row>
    <row r="983" spans="3:20" ht="18" x14ac:dyDescent="0.35">
      <c r="C983" s="382"/>
      <c r="D983" s="382"/>
      <c r="E983" s="382"/>
      <c r="F983" s="382"/>
      <c r="G983" s="382"/>
      <c r="H983" s="382"/>
      <c r="I983" s="382"/>
      <c r="J983" s="382"/>
      <c r="K983" s="382"/>
      <c r="L983" s="382"/>
      <c r="M983" s="382"/>
      <c r="N983" s="382"/>
      <c r="O983" s="382"/>
      <c r="P983" s="382"/>
      <c r="Q983" s="382"/>
      <c r="R983" s="382"/>
      <c r="S983" s="382"/>
      <c r="T983" s="382"/>
    </row>
    <row r="984" spans="3:20" ht="18" x14ac:dyDescent="0.35">
      <c r="C984" s="382"/>
      <c r="D984" s="382"/>
      <c r="E984" s="382"/>
      <c r="F984" s="382"/>
      <c r="G984" s="382"/>
      <c r="H984" s="382"/>
      <c r="I984" s="382"/>
      <c r="J984" s="382"/>
      <c r="K984" s="382"/>
      <c r="L984" s="382"/>
      <c r="M984" s="382"/>
      <c r="N984" s="382"/>
      <c r="O984" s="382"/>
      <c r="P984" s="382"/>
      <c r="Q984" s="382"/>
      <c r="R984" s="382"/>
      <c r="S984" s="382"/>
      <c r="T984" s="382"/>
    </row>
    <row r="985" spans="3:20" ht="18" x14ac:dyDescent="0.35">
      <c r="C985" s="382"/>
      <c r="D985" s="382"/>
      <c r="E985" s="382"/>
      <c r="F985" s="382"/>
      <c r="G985" s="382"/>
      <c r="H985" s="382"/>
      <c r="I985" s="382"/>
      <c r="J985" s="382"/>
      <c r="K985" s="382"/>
      <c r="L985" s="382"/>
      <c r="M985" s="382"/>
      <c r="N985" s="382"/>
      <c r="O985" s="382"/>
      <c r="P985" s="382"/>
      <c r="Q985" s="382"/>
      <c r="R985" s="382"/>
      <c r="S985" s="382"/>
      <c r="T985" s="382"/>
    </row>
    <row r="986" spans="3:20" ht="18" x14ac:dyDescent="0.35">
      <c r="C986" s="382"/>
      <c r="D986" s="382"/>
      <c r="E986" s="382"/>
      <c r="F986" s="382"/>
      <c r="G986" s="382"/>
      <c r="H986" s="382"/>
      <c r="I986" s="382"/>
      <c r="J986" s="382"/>
      <c r="K986" s="382"/>
      <c r="L986" s="382"/>
      <c r="M986" s="382"/>
      <c r="N986" s="382"/>
      <c r="O986" s="382"/>
      <c r="P986" s="382"/>
      <c r="Q986" s="382"/>
      <c r="R986" s="382"/>
      <c r="S986" s="382"/>
      <c r="T986" s="382"/>
    </row>
    <row r="987" spans="3:20" ht="18" x14ac:dyDescent="0.35">
      <c r="C987" s="382"/>
      <c r="D987" s="382"/>
      <c r="E987" s="382"/>
      <c r="F987" s="382"/>
      <c r="G987" s="382"/>
      <c r="H987" s="382"/>
      <c r="I987" s="382"/>
      <c r="J987" s="382"/>
      <c r="K987" s="382"/>
      <c r="L987" s="382"/>
      <c r="M987" s="382"/>
      <c r="N987" s="382"/>
      <c r="O987" s="382"/>
      <c r="P987" s="382"/>
      <c r="Q987" s="382"/>
      <c r="R987" s="382"/>
      <c r="S987" s="382"/>
      <c r="T987" s="382"/>
    </row>
    <row r="988" spans="3:20" ht="18" x14ac:dyDescent="0.35">
      <c r="C988" s="382"/>
      <c r="D988" s="382"/>
      <c r="E988" s="382"/>
      <c r="F988" s="382"/>
      <c r="G988" s="382"/>
      <c r="H988" s="382"/>
      <c r="I988" s="382"/>
      <c r="J988" s="382"/>
      <c r="K988" s="382"/>
      <c r="L988" s="382"/>
      <c r="M988" s="382"/>
      <c r="N988" s="382"/>
      <c r="O988" s="382"/>
      <c r="P988" s="382"/>
      <c r="Q988" s="382"/>
      <c r="R988" s="382"/>
      <c r="S988" s="382"/>
      <c r="T988" s="382"/>
    </row>
    <row r="989" spans="3:20" ht="18" x14ac:dyDescent="0.35">
      <c r="C989" s="382"/>
      <c r="D989" s="382"/>
      <c r="E989" s="382"/>
      <c r="F989" s="382"/>
      <c r="G989" s="382"/>
      <c r="H989" s="382"/>
      <c r="I989" s="382"/>
      <c r="J989" s="382"/>
      <c r="K989" s="382"/>
      <c r="L989" s="382"/>
      <c r="M989" s="382"/>
      <c r="N989" s="382"/>
      <c r="O989" s="382"/>
      <c r="P989" s="382"/>
      <c r="Q989" s="382"/>
      <c r="R989" s="382"/>
      <c r="S989" s="382"/>
      <c r="T989" s="382"/>
    </row>
    <row r="990" spans="3:20" ht="18" x14ac:dyDescent="0.35">
      <c r="C990" s="382"/>
      <c r="D990" s="382"/>
      <c r="E990" s="382"/>
      <c r="F990" s="382"/>
      <c r="G990" s="382"/>
      <c r="H990" s="382"/>
      <c r="I990" s="382"/>
      <c r="J990" s="382"/>
      <c r="K990" s="382"/>
      <c r="L990" s="382"/>
      <c r="M990" s="382"/>
      <c r="N990" s="382"/>
      <c r="O990" s="382"/>
      <c r="P990" s="382"/>
      <c r="Q990" s="382"/>
      <c r="R990" s="382"/>
      <c r="S990" s="382"/>
      <c r="T990" s="382"/>
    </row>
    <row r="991" spans="3:20" ht="18" x14ac:dyDescent="0.35">
      <c r="C991" s="382"/>
      <c r="D991" s="382"/>
      <c r="E991" s="382"/>
      <c r="F991" s="382"/>
      <c r="G991" s="382"/>
      <c r="H991" s="382"/>
      <c r="I991" s="382"/>
      <c r="J991" s="382"/>
      <c r="K991" s="382"/>
      <c r="L991" s="382"/>
      <c r="M991" s="382"/>
      <c r="N991" s="382"/>
      <c r="O991" s="382"/>
      <c r="P991" s="382"/>
      <c r="Q991" s="382"/>
      <c r="R991" s="382"/>
      <c r="S991" s="382"/>
      <c r="T991" s="382"/>
    </row>
    <row r="992" spans="3:20" ht="18" x14ac:dyDescent="0.35">
      <c r="C992" s="382"/>
      <c r="D992" s="382"/>
      <c r="E992" s="382"/>
      <c r="F992" s="382"/>
      <c r="G992" s="382"/>
      <c r="H992" s="382"/>
      <c r="I992" s="382"/>
      <c r="J992" s="382"/>
      <c r="K992" s="382"/>
      <c r="L992" s="382"/>
      <c r="M992" s="382"/>
      <c r="N992" s="382"/>
      <c r="O992" s="382"/>
      <c r="P992" s="382"/>
      <c r="Q992" s="382"/>
      <c r="R992" s="382"/>
      <c r="S992" s="382"/>
      <c r="T992" s="382"/>
    </row>
    <row r="993" spans="3:20" ht="18" x14ac:dyDescent="0.35">
      <c r="C993" s="382"/>
      <c r="D993" s="382"/>
      <c r="E993" s="382"/>
      <c r="F993" s="382"/>
      <c r="G993" s="382"/>
      <c r="H993" s="382"/>
      <c r="I993" s="382"/>
      <c r="J993" s="382"/>
      <c r="K993" s="382"/>
      <c r="L993" s="382"/>
      <c r="M993" s="382"/>
      <c r="N993" s="382"/>
      <c r="O993" s="382"/>
      <c r="P993" s="382"/>
      <c r="Q993" s="382"/>
      <c r="R993" s="382"/>
      <c r="S993" s="382"/>
      <c r="T993" s="382"/>
    </row>
    <row r="994" spans="3:20" ht="18" x14ac:dyDescent="0.35">
      <c r="C994" s="382"/>
      <c r="D994" s="382"/>
      <c r="E994" s="382"/>
      <c r="F994" s="382"/>
      <c r="G994" s="382"/>
      <c r="H994" s="382"/>
      <c r="I994" s="382"/>
      <c r="J994" s="382"/>
      <c r="K994" s="382"/>
      <c r="L994" s="382"/>
      <c r="M994" s="382"/>
      <c r="N994" s="382"/>
      <c r="O994" s="382"/>
      <c r="P994" s="382"/>
      <c r="Q994" s="382"/>
      <c r="R994" s="382"/>
      <c r="S994" s="382"/>
      <c r="T994" s="382"/>
    </row>
    <row r="995" spans="3:20" ht="18" x14ac:dyDescent="0.35">
      <c r="C995" s="382"/>
      <c r="D995" s="382"/>
      <c r="E995" s="382"/>
      <c r="F995" s="382"/>
      <c r="G995" s="382"/>
      <c r="H995" s="382"/>
      <c r="I995" s="382"/>
      <c r="J995" s="382"/>
      <c r="K995" s="382"/>
      <c r="L995" s="382"/>
      <c r="M995" s="382"/>
      <c r="N995" s="382"/>
      <c r="O995" s="382"/>
      <c r="P995" s="382"/>
      <c r="Q995" s="382"/>
      <c r="R995" s="382"/>
      <c r="S995" s="382"/>
      <c r="T995" s="382"/>
    </row>
    <row r="996" spans="3:20" ht="18" x14ac:dyDescent="0.35">
      <c r="C996" s="382"/>
      <c r="D996" s="382"/>
      <c r="E996" s="382"/>
      <c r="F996" s="382"/>
      <c r="G996" s="382"/>
      <c r="H996" s="382"/>
      <c r="I996" s="382"/>
      <c r="J996" s="382"/>
      <c r="K996" s="382"/>
      <c r="L996" s="382"/>
      <c r="M996" s="382"/>
      <c r="N996" s="382"/>
      <c r="O996" s="382"/>
      <c r="P996" s="382"/>
      <c r="Q996" s="382"/>
      <c r="R996" s="382"/>
      <c r="S996" s="382"/>
      <c r="T996" s="382"/>
    </row>
    <row r="997" spans="3:20" ht="18" x14ac:dyDescent="0.35">
      <c r="C997" s="382"/>
      <c r="D997" s="382"/>
      <c r="E997" s="382"/>
      <c r="F997" s="382"/>
      <c r="G997" s="382"/>
      <c r="H997" s="382"/>
      <c r="I997" s="382"/>
      <c r="J997" s="382"/>
      <c r="K997" s="382"/>
      <c r="L997" s="382"/>
      <c r="M997" s="382"/>
      <c r="N997" s="382"/>
      <c r="O997" s="382"/>
      <c r="P997" s="382"/>
      <c r="Q997" s="382"/>
      <c r="R997" s="382"/>
      <c r="S997" s="382"/>
      <c r="T997" s="382"/>
    </row>
    <row r="998" spans="3:20" ht="18" x14ac:dyDescent="0.35">
      <c r="C998" s="382"/>
      <c r="D998" s="382"/>
      <c r="E998" s="382"/>
      <c r="F998" s="382"/>
      <c r="G998" s="382"/>
      <c r="H998" s="382"/>
      <c r="I998" s="382"/>
      <c r="J998" s="382"/>
      <c r="K998" s="382"/>
      <c r="L998" s="382"/>
      <c r="M998" s="382"/>
      <c r="N998" s="382"/>
      <c r="O998" s="382"/>
      <c r="P998" s="382"/>
      <c r="Q998" s="382"/>
      <c r="R998" s="382"/>
      <c r="S998" s="382"/>
      <c r="T998" s="382"/>
    </row>
    <row r="999" spans="3:20" ht="18" x14ac:dyDescent="0.35">
      <c r="C999" s="382"/>
      <c r="D999" s="382"/>
      <c r="E999" s="382"/>
      <c r="F999" s="382"/>
      <c r="G999" s="382"/>
      <c r="H999" s="382"/>
      <c r="I999" s="382"/>
      <c r="J999" s="382"/>
      <c r="K999" s="382"/>
      <c r="L999" s="382"/>
      <c r="M999" s="382"/>
      <c r="N999" s="382"/>
      <c r="O999" s="382"/>
      <c r="P999" s="382"/>
      <c r="Q999" s="382"/>
      <c r="R999" s="382"/>
      <c r="S999" s="382"/>
      <c r="T999" s="382"/>
    </row>
    <row r="1000" spans="3:20" ht="18" x14ac:dyDescent="0.35">
      <c r="C1000" s="382"/>
      <c r="D1000" s="382"/>
      <c r="E1000" s="382"/>
      <c r="F1000" s="382"/>
      <c r="G1000" s="382"/>
      <c r="H1000" s="382"/>
      <c r="I1000" s="382"/>
      <c r="J1000" s="382"/>
      <c r="K1000" s="382"/>
      <c r="L1000" s="382"/>
      <c r="M1000" s="382"/>
      <c r="N1000" s="382"/>
      <c r="O1000" s="382"/>
      <c r="P1000" s="382"/>
      <c r="Q1000" s="382"/>
      <c r="R1000" s="382"/>
      <c r="S1000" s="382"/>
      <c r="T1000" s="382"/>
    </row>
    <row r="1001" spans="3:20" ht="18" x14ac:dyDescent="0.35">
      <c r="C1001" s="382"/>
      <c r="D1001" s="382"/>
      <c r="E1001" s="382"/>
      <c r="F1001" s="382"/>
      <c r="G1001" s="382"/>
      <c r="H1001" s="382"/>
      <c r="I1001" s="382"/>
      <c r="J1001" s="382"/>
      <c r="K1001" s="382"/>
      <c r="L1001" s="382"/>
      <c r="M1001" s="382"/>
      <c r="N1001" s="382"/>
      <c r="O1001" s="382"/>
      <c r="P1001" s="382"/>
      <c r="Q1001" s="382"/>
      <c r="R1001" s="382"/>
      <c r="S1001" s="382"/>
      <c r="T1001" s="382"/>
    </row>
    <row r="1002" spans="3:20" ht="18" x14ac:dyDescent="0.35">
      <c r="C1002" s="382"/>
      <c r="D1002" s="382"/>
      <c r="E1002" s="382"/>
      <c r="F1002" s="382"/>
      <c r="G1002" s="382"/>
      <c r="H1002" s="382"/>
      <c r="I1002" s="382"/>
      <c r="J1002" s="382"/>
      <c r="K1002" s="382"/>
      <c r="L1002" s="382"/>
      <c r="M1002" s="382"/>
      <c r="N1002" s="382"/>
      <c r="O1002" s="382"/>
      <c r="P1002" s="382"/>
      <c r="Q1002" s="382"/>
      <c r="R1002" s="382"/>
      <c r="S1002" s="382"/>
      <c r="T1002" s="382"/>
    </row>
    <row r="1003" spans="3:20" ht="18" x14ac:dyDescent="0.35">
      <c r="C1003" s="382"/>
      <c r="D1003" s="382"/>
      <c r="E1003" s="382"/>
      <c r="F1003" s="382"/>
      <c r="G1003" s="382"/>
      <c r="H1003" s="382"/>
      <c r="I1003" s="382"/>
      <c r="J1003" s="382"/>
      <c r="K1003" s="382"/>
      <c r="L1003" s="382"/>
      <c r="M1003" s="382"/>
      <c r="N1003" s="382"/>
      <c r="O1003" s="382"/>
      <c r="P1003" s="382"/>
      <c r="Q1003" s="382"/>
      <c r="R1003" s="382"/>
      <c r="S1003" s="382"/>
      <c r="T1003" s="382"/>
    </row>
    <row r="1004" spans="3:20" ht="18" x14ac:dyDescent="0.35">
      <c r="C1004" s="382"/>
      <c r="D1004" s="382"/>
      <c r="E1004" s="382"/>
      <c r="F1004" s="382"/>
      <c r="G1004" s="382"/>
      <c r="H1004" s="382"/>
      <c r="I1004" s="382"/>
      <c r="J1004" s="382"/>
      <c r="K1004" s="382"/>
      <c r="L1004" s="382"/>
      <c r="M1004" s="382"/>
      <c r="N1004" s="382"/>
      <c r="O1004" s="382"/>
      <c r="P1004" s="382"/>
      <c r="Q1004" s="382"/>
      <c r="R1004" s="382"/>
      <c r="S1004" s="382"/>
      <c r="T1004" s="382"/>
    </row>
    <row r="1005" spans="3:20" ht="18" x14ac:dyDescent="0.35">
      <c r="C1005" s="382"/>
      <c r="D1005" s="382"/>
      <c r="E1005" s="382"/>
      <c r="F1005" s="382"/>
      <c r="G1005" s="382"/>
      <c r="H1005" s="382"/>
      <c r="I1005" s="382"/>
      <c r="J1005" s="382"/>
      <c r="K1005" s="382"/>
      <c r="L1005" s="382"/>
      <c r="M1005" s="382"/>
      <c r="N1005" s="382"/>
      <c r="O1005" s="382"/>
      <c r="P1005" s="382"/>
      <c r="Q1005" s="382"/>
      <c r="R1005" s="382"/>
      <c r="S1005" s="382"/>
      <c r="T1005" s="382"/>
    </row>
    <row r="1006" spans="3:20" ht="18" x14ac:dyDescent="0.35">
      <c r="C1006" s="382"/>
      <c r="D1006" s="382"/>
      <c r="E1006" s="382"/>
      <c r="F1006" s="382"/>
      <c r="G1006" s="382"/>
      <c r="H1006" s="382"/>
      <c r="I1006" s="382"/>
      <c r="J1006" s="382"/>
      <c r="K1006" s="382"/>
      <c r="L1006" s="382"/>
      <c r="M1006" s="382"/>
      <c r="N1006" s="382"/>
      <c r="O1006" s="382"/>
      <c r="P1006" s="382"/>
      <c r="Q1006" s="382"/>
      <c r="R1006" s="382"/>
      <c r="S1006" s="382"/>
      <c r="T1006" s="382"/>
    </row>
    <row r="1007" spans="3:20" ht="18" x14ac:dyDescent="0.35">
      <c r="C1007" s="382"/>
      <c r="D1007" s="382"/>
      <c r="E1007" s="382"/>
      <c r="F1007" s="382"/>
      <c r="G1007" s="382"/>
      <c r="H1007" s="382"/>
      <c r="I1007" s="382"/>
      <c r="J1007" s="382"/>
      <c r="K1007" s="382"/>
      <c r="L1007" s="382"/>
      <c r="M1007" s="382"/>
      <c r="N1007" s="382"/>
      <c r="O1007" s="382"/>
      <c r="P1007" s="382"/>
      <c r="Q1007" s="382"/>
      <c r="R1007" s="382"/>
      <c r="S1007" s="382"/>
      <c r="T1007" s="382"/>
    </row>
    <row r="1008" spans="3:20" ht="18" x14ac:dyDescent="0.35">
      <c r="C1008" s="382"/>
      <c r="D1008" s="382"/>
      <c r="E1008" s="382"/>
      <c r="F1008" s="382"/>
      <c r="G1008" s="382"/>
      <c r="H1008" s="382"/>
      <c r="I1008" s="382"/>
      <c r="J1008" s="382"/>
      <c r="K1008" s="382"/>
      <c r="L1008" s="382"/>
      <c r="M1008" s="382"/>
      <c r="N1008" s="382"/>
      <c r="O1008" s="382"/>
      <c r="P1008" s="382"/>
      <c r="Q1008" s="382"/>
      <c r="R1008" s="382"/>
      <c r="S1008" s="382"/>
      <c r="T1008" s="382"/>
    </row>
    <row r="1009" spans="3:20" ht="18" x14ac:dyDescent="0.35">
      <c r="C1009" s="382"/>
      <c r="D1009" s="382"/>
      <c r="E1009" s="382"/>
      <c r="F1009" s="382"/>
      <c r="G1009" s="382"/>
      <c r="H1009" s="382"/>
      <c r="I1009" s="382"/>
      <c r="J1009" s="382"/>
      <c r="K1009" s="382"/>
      <c r="L1009" s="382"/>
      <c r="M1009" s="382"/>
      <c r="N1009" s="382"/>
      <c r="O1009" s="382"/>
      <c r="P1009" s="382"/>
      <c r="Q1009" s="382"/>
      <c r="R1009" s="382"/>
      <c r="S1009" s="382"/>
      <c r="T1009" s="382"/>
    </row>
    <row r="1010" spans="3:20" ht="18" x14ac:dyDescent="0.35">
      <c r="C1010" s="382"/>
      <c r="D1010" s="382"/>
      <c r="E1010" s="382"/>
      <c r="F1010" s="382"/>
      <c r="G1010" s="382"/>
      <c r="H1010" s="382"/>
      <c r="I1010" s="382"/>
      <c r="J1010" s="382"/>
      <c r="K1010" s="382"/>
      <c r="L1010" s="382"/>
      <c r="M1010" s="382"/>
      <c r="N1010" s="382"/>
      <c r="O1010" s="382"/>
      <c r="P1010" s="382"/>
      <c r="Q1010" s="382"/>
      <c r="R1010" s="382"/>
      <c r="S1010" s="382"/>
      <c r="T1010" s="382"/>
    </row>
    <row r="1011" spans="3:20" ht="18" x14ac:dyDescent="0.35">
      <c r="C1011" s="382"/>
      <c r="D1011" s="382"/>
      <c r="E1011" s="382"/>
      <c r="F1011" s="382"/>
      <c r="G1011" s="382"/>
      <c r="H1011" s="382"/>
      <c r="I1011" s="382"/>
      <c r="J1011" s="382"/>
      <c r="K1011" s="382"/>
      <c r="L1011" s="382"/>
      <c r="M1011" s="382"/>
      <c r="N1011" s="382"/>
      <c r="O1011" s="382"/>
      <c r="P1011" s="382"/>
      <c r="Q1011" s="382"/>
      <c r="R1011" s="382"/>
      <c r="S1011" s="382"/>
      <c r="T1011" s="382"/>
    </row>
    <row r="1012" spans="3:20" ht="18" x14ac:dyDescent="0.35">
      <c r="C1012" s="382"/>
      <c r="D1012" s="382"/>
      <c r="E1012" s="382"/>
      <c r="F1012" s="382"/>
      <c r="G1012" s="382"/>
      <c r="H1012" s="382"/>
      <c r="I1012" s="382"/>
      <c r="J1012" s="382"/>
      <c r="K1012" s="382"/>
      <c r="L1012" s="382"/>
      <c r="M1012" s="382"/>
      <c r="N1012" s="382"/>
      <c r="O1012" s="382"/>
      <c r="P1012" s="382"/>
      <c r="Q1012" s="382"/>
      <c r="R1012" s="382"/>
      <c r="S1012" s="382"/>
      <c r="T1012" s="382"/>
    </row>
  </sheetData>
  <mergeCells count="89">
    <mergeCell ref="E18:E20"/>
    <mergeCell ref="E22:E24"/>
    <mergeCell ref="E26:E28"/>
    <mergeCell ref="T43:T45"/>
    <mergeCell ref="T31:T41"/>
    <mergeCell ref="R31:R41"/>
    <mergeCell ref="P39:P41"/>
    <mergeCell ref="K22:M22"/>
    <mergeCell ref="R10:R28"/>
    <mergeCell ref="T10:T28"/>
    <mergeCell ref="R43:R45"/>
    <mergeCell ref="K44:M44"/>
    <mergeCell ref="P31:P33"/>
    <mergeCell ref="K32:M32"/>
    <mergeCell ref="G43:I43"/>
    <mergeCell ref="G44:I44"/>
    <mergeCell ref="D57:T57"/>
    <mergeCell ref="D58:T58"/>
    <mergeCell ref="D64:E64"/>
    <mergeCell ref="D47:E53"/>
    <mergeCell ref="P47:T49"/>
    <mergeCell ref="G48:I48"/>
    <mergeCell ref="K48:M48"/>
    <mergeCell ref="G49:G53"/>
    <mergeCell ref="H49:H53"/>
    <mergeCell ref="I49:I53"/>
    <mergeCell ref="K49:K53"/>
    <mergeCell ref="L49:L53"/>
    <mergeCell ref="M49:M53"/>
    <mergeCell ref="D56:T56"/>
    <mergeCell ref="P51:T53"/>
    <mergeCell ref="Q54:R54"/>
    <mergeCell ref="D43:D45"/>
    <mergeCell ref="E43:E45"/>
    <mergeCell ref="K43:M43"/>
    <mergeCell ref="P43:P45"/>
    <mergeCell ref="D31:D41"/>
    <mergeCell ref="E31:E33"/>
    <mergeCell ref="G31:I31"/>
    <mergeCell ref="K31:M31"/>
    <mergeCell ref="G40:I40"/>
    <mergeCell ref="K40:M40"/>
    <mergeCell ref="G32:I32"/>
    <mergeCell ref="E39:E41"/>
    <mergeCell ref="G39:I39"/>
    <mergeCell ref="K39:M39"/>
    <mergeCell ref="K35:M35"/>
    <mergeCell ref="K36:M36"/>
    <mergeCell ref="G26:I26"/>
    <mergeCell ref="K26:M26"/>
    <mergeCell ref="G18:I18"/>
    <mergeCell ref="K18:M18"/>
    <mergeCell ref="G36:I36"/>
    <mergeCell ref="E35:E37"/>
    <mergeCell ref="G35:I35"/>
    <mergeCell ref="G27:I27"/>
    <mergeCell ref="K27:M27"/>
    <mergeCell ref="P35:P37"/>
    <mergeCell ref="D10:D28"/>
    <mergeCell ref="G10:I10"/>
    <mergeCell ref="K10:M10"/>
    <mergeCell ref="G19:I19"/>
    <mergeCell ref="K19:M19"/>
    <mergeCell ref="G22:I22"/>
    <mergeCell ref="G11:I11"/>
    <mergeCell ref="G14:I14"/>
    <mergeCell ref="K14:M14"/>
    <mergeCell ref="G15:I15"/>
    <mergeCell ref="K15:M15"/>
    <mergeCell ref="G23:I23"/>
    <mergeCell ref="K23:M23"/>
    <mergeCell ref="K11:M11"/>
    <mergeCell ref="E10:E12"/>
    <mergeCell ref="E14:E16"/>
    <mergeCell ref="D6:E6"/>
    <mergeCell ref="G6:N6"/>
    <mergeCell ref="P6:T6"/>
    <mergeCell ref="G8:I8"/>
    <mergeCell ref="D2:E4"/>
    <mergeCell ref="F2:O4"/>
    <mergeCell ref="P2:T2"/>
    <mergeCell ref="P3:T3"/>
    <mergeCell ref="P4:T4"/>
    <mergeCell ref="K8:M8"/>
    <mergeCell ref="P10:P12"/>
    <mergeCell ref="P14:P16"/>
    <mergeCell ref="P18:P20"/>
    <mergeCell ref="P22:P24"/>
    <mergeCell ref="P26:P2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F651-3195-475D-905F-C8715D25DDA3}">
  <sheetPr codeName="Hoja6"/>
  <dimension ref="A1:G500"/>
  <sheetViews>
    <sheetView topLeftCell="A2" workbookViewId="0">
      <selection activeCell="G2" sqref="A2:G500"/>
    </sheetView>
  </sheetViews>
  <sheetFormatPr baseColWidth="10" defaultColWidth="10.88671875" defaultRowHeight="14.4" zeroHeight="1" x14ac:dyDescent="0.3"/>
  <cols>
    <col min="1" max="1" width="10.88671875" style="225"/>
    <col min="2" max="2" width="27.6640625" style="226" bestFit="1" customWidth="1"/>
    <col min="3" max="7" width="10.88671875" style="226"/>
    <col min="8" max="16384" width="10.88671875" style="225"/>
  </cols>
  <sheetData>
    <row r="1" spans="1:7" s="298" customFormat="1" ht="178.8" x14ac:dyDescent="0.3">
      <c r="A1" s="294" t="s">
        <v>227</v>
      </c>
      <c r="B1" s="294" t="s">
        <v>129</v>
      </c>
      <c r="C1" s="295" t="s">
        <v>228</v>
      </c>
      <c r="D1" s="295" t="s">
        <v>229</v>
      </c>
      <c r="E1" s="296" t="s">
        <v>230</v>
      </c>
      <c r="F1" s="297" t="s">
        <v>231</v>
      </c>
      <c r="G1" s="296" t="s">
        <v>232</v>
      </c>
    </row>
    <row r="2" spans="1:7" x14ac:dyDescent="0.3">
      <c r="A2" s="299" t="str">
        <f>IF('ASIGNACIÓN ASIGNATURAS'!$AF2=1,'ASIGNACIÓN ASIGNATURAS'!$M2,"")</f>
        <v/>
      </c>
      <c r="B2" s="299" t="str">
        <f>IF('ASIGNACIÓN ASIGNATURAS'!$AF2=1,'ASIGNACIÓN ASIGNATURAS'!$O2,"")</f>
        <v/>
      </c>
      <c r="C2" s="299" t="str">
        <f>IF('ASIGNACIÓN ASIGNATURAS'!$AF2=1,'ASIGNACIÓN ASIGNATURAS'!$P2,"")</f>
        <v/>
      </c>
      <c r="D2" s="299" t="str">
        <f>IF('ASIGNACIÓN ASIGNATURAS'!$AF2=1,'ASIGNACIÓN ASIGNATURAS'!$S2,"")</f>
        <v/>
      </c>
      <c r="E2" s="299" t="str">
        <f>IF('ASIGNACIÓN ASIGNATURAS'!$AF2=1,'ASIGNACIÓN ASIGNATURAS'!$T2,"")</f>
        <v/>
      </c>
      <c r="F2" s="299" t="str">
        <f>IF('ASIGNACIÓN ASIGNATURAS'!$AF2=1,'ASIGNACIÓN ASIGNATURAS'!$U2,"")</f>
        <v/>
      </c>
      <c r="G2" s="300" t="str">
        <f>IF(B2='PLAN DE ESTUDIO'!$XFD$41,"",+E2+F2)</f>
        <v/>
      </c>
    </row>
    <row r="3" spans="1:7" x14ac:dyDescent="0.3">
      <c r="A3" s="299" t="str">
        <f>IF('ASIGNACIÓN ASIGNATURAS'!$AF3=1,'ASIGNACIÓN ASIGNATURAS'!$M3,"")</f>
        <v/>
      </c>
      <c r="B3" s="299" t="str">
        <f>IF('ASIGNACIÓN ASIGNATURAS'!$AF3=1,'ASIGNACIÓN ASIGNATURAS'!$O3,"")</f>
        <v/>
      </c>
      <c r="C3" s="299" t="str">
        <f>IF('ASIGNACIÓN ASIGNATURAS'!$AF3=1,'ASIGNACIÓN ASIGNATURAS'!$P3,"")</f>
        <v/>
      </c>
      <c r="D3" s="299" t="str">
        <f>IF('ASIGNACIÓN ASIGNATURAS'!$AF3=1,'ASIGNACIÓN ASIGNATURAS'!$S3,"")</f>
        <v/>
      </c>
      <c r="E3" s="299" t="str">
        <f>IF('ASIGNACIÓN ASIGNATURAS'!$AF3=1,'ASIGNACIÓN ASIGNATURAS'!$T3,"")</f>
        <v/>
      </c>
      <c r="F3" s="299" t="str">
        <f>IF('ASIGNACIÓN ASIGNATURAS'!$AF3=1,'ASIGNACIÓN ASIGNATURAS'!$U3,"")</f>
        <v/>
      </c>
      <c r="G3" s="300" t="str">
        <f>IF(B3='PLAN DE ESTUDIO'!$XFD$41,"",+E3+F3)</f>
        <v/>
      </c>
    </row>
    <row r="4" spans="1:7" x14ac:dyDescent="0.3">
      <c r="A4" s="299" t="str">
        <f>IF('ASIGNACIÓN ASIGNATURAS'!$AF4=1,'ASIGNACIÓN ASIGNATURAS'!$M4,"")</f>
        <v/>
      </c>
      <c r="B4" s="299" t="str">
        <f>IF('ASIGNACIÓN ASIGNATURAS'!$AF4=1,'ASIGNACIÓN ASIGNATURAS'!$O4,"")</f>
        <v/>
      </c>
      <c r="C4" s="299" t="str">
        <f>IF('ASIGNACIÓN ASIGNATURAS'!$AF4=1,'ASIGNACIÓN ASIGNATURAS'!$P4,"")</f>
        <v/>
      </c>
      <c r="D4" s="299" t="str">
        <f>IF('ASIGNACIÓN ASIGNATURAS'!$AF4=1,'ASIGNACIÓN ASIGNATURAS'!$S4,"")</f>
        <v/>
      </c>
      <c r="E4" s="299" t="str">
        <f>IF('ASIGNACIÓN ASIGNATURAS'!$AF4=1,'ASIGNACIÓN ASIGNATURAS'!$T4,"")</f>
        <v/>
      </c>
      <c r="F4" s="299" t="str">
        <f>IF('ASIGNACIÓN ASIGNATURAS'!$AF4=1,'ASIGNACIÓN ASIGNATURAS'!$U4,"")</f>
        <v/>
      </c>
      <c r="G4" s="300" t="str">
        <f>IF(B4='PLAN DE ESTUDIO'!$XFD$41,"",+E4+F4)</f>
        <v/>
      </c>
    </row>
    <row r="5" spans="1:7" x14ac:dyDescent="0.3">
      <c r="A5" s="299" t="str">
        <f>IF('ASIGNACIÓN ASIGNATURAS'!$AF5=1,'ASIGNACIÓN ASIGNATURAS'!$M5,"")</f>
        <v/>
      </c>
      <c r="B5" s="299" t="str">
        <f>IF('ASIGNACIÓN ASIGNATURAS'!$AF5=1,'ASIGNACIÓN ASIGNATURAS'!$O5,"")</f>
        <v/>
      </c>
      <c r="C5" s="299" t="str">
        <f>IF('ASIGNACIÓN ASIGNATURAS'!$AF5=1,'ASIGNACIÓN ASIGNATURAS'!$P5,"")</f>
        <v/>
      </c>
      <c r="D5" s="299" t="str">
        <f>IF('ASIGNACIÓN ASIGNATURAS'!$AF5=1,'ASIGNACIÓN ASIGNATURAS'!$S5,"")</f>
        <v/>
      </c>
      <c r="E5" s="299" t="str">
        <f>IF('ASIGNACIÓN ASIGNATURAS'!$AF5=1,'ASIGNACIÓN ASIGNATURAS'!$T5,"")</f>
        <v/>
      </c>
      <c r="F5" s="299" t="str">
        <f>IF('ASIGNACIÓN ASIGNATURAS'!$AF5=1,'ASIGNACIÓN ASIGNATURAS'!$U5,"")</f>
        <v/>
      </c>
      <c r="G5" s="300" t="str">
        <f>IF(B5='PLAN DE ESTUDIO'!$XFD$41,"",+E5+F5)</f>
        <v/>
      </c>
    </row>
    <row r="6" spans="1:7" x14ac:dyDescent="0.3">
      <c r="A6" s="299" t="str">
        <f>IF('ASIGNACIÓN ASIGNATURAS'!$AF6=1,'ASIGNACIÓN ASIGNATURAS'!$M6,"")</f>
        <v/>
      </c>
      <c r="B6" s="299" t="str">
        <f>IF('ASIGNACIÓN ASIGNATURAS'!$AF6=1,'ASIGNACIÓN ASIGNATURAS'!$O6,"")</f>
        <v/>
      </c>
      <c r="C6" s="299" t="str">
        <f>IF('ASIGNACIÓN ASIGNATURAS'!$AF6=1,'ASIGNACIÓN ASIGNATURAS'!$P6,"")</f>
        <v/>
      </c>
      <c r="D6" s="299" t="str">
        <f>IF('ASIGNACIÓN ASIGNATURAS'!$AF6=1,'ASIGNACIÓN ASIGNATURAS'!$S6,"")</f>
        <v/>
      </c>
      <c r="E6" s="299" t="str">
        <f>IF('ASIGNACIÓN ASIGNATURAS'!$AF6=1,'ASIGNACIÓN ASIGNATURAS'!$T6,"")</f>
        <v/>
      </c>
      <c r="F6" s="299" t="str">
        <f>IF('ASIGNACIÓN ASIGNATURAS'!$AF6=1,'ASIGNACIÓN ASIGNATURAS'!$U6,"")</f>
        <v/>
      </c>
      <c r="G6" s="300" t="str">
        <f>IF(B6='PLAN DE ESTUDIO'!$XFD$41,"",+E6+F6)</f>
        <v/>
      </c>
    </row>
    <row r="7" spans="1:7" x14ac:dyDescent="0.3">
      <c r="A7" s="299" t="str">
        <f>IF('ASIGNACIÓN ASIGNATURAS'!$AF7=1,'ASIGNACIÓN ASIGNATURAS'!$M7,"")</f>
        <v/>
      </c>
      <c r="B7" s="299" t="str">
        <f>IF('ASIGNACIÓN ASIGNATURAS'!$AF7=1,'ASIGNACIÓN ASIGNATURAS'!$O7,"")</f>
        <v/>
      </c>
      <c r="C7" s="299" t="str">
        <f>IF('ASIGNACIÓN ASIGNATURAS'!$AF7=1,'ASIGNACIÓN ASIGNATURAS'!$P7,"")</f>
        <v/>
      </c>
      <c r="D7" s="299" t="str">
        <f>IF('ASIGNACIÓN ASIGNATURAS'!$AF7=1,'ASIGNACIÓN ASIGNATURAS'!$S7,"")</f>
        <v/>
      </c>
      <c r="E7" s="299" t="str">
        <f>IF('ASIGNACIÓN ASIGNATURAS'!$AF7=1,'ASIGNACIÓN ASIGNATURAS'!$T7,"")</f>
        <v/>
      </c>
      <c r="F7" s="299" t="str">
        <f>IF('ASIGNACIÓN ASIGNATURAS'!$AF7=1,'ASIGNACIÓN ASIGNATURAS'!$U7,"")</f>
        <v/>
      </c>
      <c r="G7" s="300" t="str">
        <f>IF(B7='PLAN DE ESTUDIO'!$XFD$41,"",+E7+F7)</f>
        <v/>
      </c>
    </row>
    <row r="8" spans="1:7" x14ac:dyDescent="0.3">
      <c r="A8" s="299" t="str">
        <f>IF('ASIGNACIÓN ASIGNATURAS'!$AF8=1,'ASIGNACIÓN ASIGNATURAS'!$M8,"")</f>
        <v/>
      </c>
      <c r="B8" s="299" t="str">
        <f>IF('ASIGNACIÓN ASIGNATURAS'!$AF8=1,'ASIGNACIÓN ASIGNATURAS'!$O8,"")</f>
        <v/>
      </c>
      <c r="C8" s="299" t="str">
        <f>IF('ASIGNACIÓN ASIGNATURAS'!$AF8=1,'ASIGNACIÓN ASIGNATURAS'!$P8,"")</f>
        <v/>
      </c>
      <c r="D8" s="299" t="str">
        <f>IF('ASIGNACIÓN ASIGNATURAS'!$AF8=1,'ASIGNACIÓN ASIGNATURAS'!$S8,"")</f>
        <v/>
      </c>
      <c r="E8" s="299" t="str">
        <f>IF('ASIGNACIÓN ASIGNATURAS'!$AF8=1,'ASIGNACIÓN ASIGNATURAS'!$T8,"")</f>
        <v/>
      </c>
      <c r="F8" s="299" t="str">
        <f>IF('ASIGNACIÓN ASIGNATURAS'!$AF8=1,'ASIGNACIÓN ASIGNATURAS'!$U8,"")</f>
        <v/>
      </c>
      <c r="G8" s="300" t="str">
        <f>IF(B8='PLAN DE ESTUDIO'!$XFD$41,"",+E8+F8)</f>
        <v/>
      </c>
    </row>
    <row r="9" spans="1:7" x14ac:dyDescent="0.3">
      <c r="A9" s="299" t="str">
        <f>IF('ASIGNACIÓN ASIGNATURAS'!$AF9=1,'ASIGNACIÓN ASIGNATURAS'!$M9,"")</f>
        <v/>
      </c>
      <c r="B9" s="299" t="str">
        <f>IF('ASIGNACIÓN ASIGNATURAS'!$AF9=1,'ASIGNACIÓN ASIGNATURAS'!$O9,"")</f>
        <v/>
      </c>
      <c r="C9" s="299" t="str">
        <f>IF('ASIGNACIÓN ASIGNATURAS'!$AF9=1,'ASIGNACIÓN ASIGNATURAS'!$P9,"")</f>
        <v/>
      </c>
      <c r="D9" s="299" t="str">
        <f>IF('ASIGNACIÓN ASIGNATURAS'!$AF9=1,'ASIGNACIÓN ASIGNATURAS'!$S9,"")</f>
        <v/>
      </c>
      <c r="E9" s="299" t="str">
        <f>IF('ASIGNACIÓN ASIGNATURAS'!$AF9=1,'ASIGNACIÓN ASIGNATURAS'!$T9,"")</f>
        <v/>
      </c>
      <c r="F9" s="299" t="str">
        <f>IF('ASIGNACIÓN ASIGNATURAS'!$AF9=1,'ASIGNACIÓN ASIGNATURAS'!$U9,"")</f>
        <v/>
      </c>
      <c r="G9" s="300" t="str">
        <f>IF(B9='PLAN DE ESTUDIO'!$XFD$41,"",+E9+F9)</f>
        <v/>
      </c>
    </row>
    <row r="10" spans="1:7" x14ac:dyDescent="0.3">
      <c r="A10" s="299" t="str">
        <f>IF('ASIGNACIÓN ASIGNATURAS'!$AF10=1,'ASIGNACIÓN ASIGNATURAS'!$M10,"")</f>
        <v/>
      </c>
      <c r="B10" s="299" t="str">
        <f>IF('ASIGNACIÓN ASIGNATURAS'!$AF10=1,'ASIGNACIÓN ASIGNATURAS'!$O10,"")</f>
        <v/>
      </c>
      <c r="C10" s="299" t="str">
        <f>IF('ASIGNACIÓN ASIGNATURAS'!$AF10=1,'ASIGNACIÓN ASIGNATURAS'!$P10,"")</f>
        <v/>
      </c>
      <c r="D10" s="299" t="str">
        <f>IF('ASIGNACIÓN ASIGNATURAS'!$AF10=1,'ASIGNACIÓN ASIGNATURAS'!$S10,"")</f>
        <v/>
      </c>
      <c r="E10" s="299" t="str">
        <f>IF('ASIGNACIÓN ASIGNATURAS'!$AF10=1,'ASIGNACIÓN ASIGNATURAS'!$T10,"")</f>
        <v/>
      </c>
      <c r="F10" s="299" t="str">
        <f>IF('ASIGNACIÓN ASIGNATURAS'!$AF10=1,'ASIGNACIÓN ASIGNATURAS'!$U10,"")</f>
        <v/>
      </c>
      <c r="G10" s="300" t="str">
        <f>IF(B10='PLAN DE ESTUDIO'!$XFD$41,"",+E10+F10)</f>
        <v/>
      </c>
    </row>
    <row r="11" spans="1:7" x14ac:dyDescent="0.3">
      <c r="A11" s="299" t="str">
        <f>IF('ASIGNACIÓN ASIGNATURAS'!$AF11=1,'ASIGNACIÓN ASIGNATURAS'!$M11,"")</f>
        <v/>
      </c>
      <c r="B11" s="299" t="str">
        <f>IF('ASIGNACIÓN ASIGNATURAS'!$AF11=1,'ASIGNACIÓN ASIGNATURAS'!$O11,"")</f>
        <v/>
      </c>
      <c r="C11" s="299" t="str">
        <f>IF('ASIGNACIÓN ASIGNATURAS'!$AF11=1,'ASIGNACIÓN ASIGNATURAS'!$P11,"")</f>
        <v/>
      </c>
      <c r="D11" s="299" t="str">
        <f>IF('ASIGNACIÓN ASIGNATURAS'!$AF11=1,'ASIGNACIÓN ASIGNATURAS'!$S11,"")</f>
        <v/>
      </c>
      <c r="E11" s="299" t="str">
        <f>IF('ASIGNACIÓN ASIGNATURAS'!$AF11=1,'ASIGNACIÓN ASIGNATURAS'!$T11,"")</f>
        <v/>
      </c>
      <c r="F11" s="299" t="str">
        <f>IF('ASIGNACIÓN ASIGNATURAS'!$AF11=1,'ASIGNACIÓN ASIGNATURAS'!$U11,"")</f>
        <v/>
      </c>
      <c r="G11" s="300" t="str">
        <f>IF(B11='PLAN DE ESTUDIO'!$XFD$41,"",+E11+F11)</f>
        <v/>
      </c>
    </row>
    <row r="12" spans="1:7" x14ac:dyDescent="0.3">
      <c r="A12" s="299" t="str">
        <f>IF('ASIGNACIÓN ASIGNATURAS'!$AF12=1,'ASIGNACIÓN ASIGNATURAS'!$M12,"")</f>
        <v/>
      </c>
      <c r="B12" s="299" t="str">
        <f>IF('ASIGNACIÓN ASIGNATURAS'!$AF12=1,'ASIGNACIÓN ASIGNATURAS'!$O12,"")</f>
        <v/>
      </c>
      <c r="C12" s="299" t="str">
        <f>IF('ASIGNACIÓN ASIGNATURAS'!$AF12=1,'ASIGNACIÓN ASIGNATURAS'!$P12,"")</f>
        <v/>
      </c>
      <c r="D12" s="299" t="str">
        <f>IF('ASIGNACIÓN ASIGNATURAS'!$AF12=1,'ASIGNACIÓN ASIGNATURAS'!$S12,"")</f>
        <v/>
      </c>
      <c r="E12" s="299" t="str">
        <f>IF('ASIGNACIÓN ASIGNATURAS'!$AF12=1,'ASIGNACIÓN ASIGNATURAS'!$T12,"")</f>
        <v/>
      </c>
      <c r="F12" s="299" t="str">
        <f>IF('ASIGNACIÓN ASIGNATURAS'!$AF12=1,'ASIGNACIÓN ASIGNATURAS'!$U12,"")</f>
        <v/>
      </c>
      <c r="G12" s="300" t="str">
        <f>IF(B12='PLAN DE ESTUDIO'!$XFD$41,"",+E12+F12)</f>
        <v/>
      </c>
    </row>
    <row r="13" spans="1:7" x14ac:dyDescent="0.3">
      <c r="A13" s="299" t="str">
        <f>IF('ASIGNACIÓN ASIGNATURAS'!$AF13=1,'ASIGNACIÓN ASIGNATURAS'!$M13,"")</f>
        <v/>
      </c>
      <c r="B13" s="299" t="str">
        <f>IF('ASIGNACIÓN ASIGNATURAS'!$AF13=1,'ASIGNACIÓN ASIGNATURAS'!$O13,"")</f>
        <v/>
      </c>
      <c r="C13" s="299" t="str">
        <f>IF('ASIGNACIÓN ASIGNATURAS'!$AF13=1,'ASIGNACIÓN ASIGNATURAS'!$P13,"")</f>
        <v/>
      </c>
      <c r="D13" s="299" t="str">
        <f>IF('ASIGNACIÓN ASIGNATURAS'!$AF13=1,'ASIGNACIÓN ASIGNATURAS'!$S13,"")</f>
        <v/>
      </c>
      <c r="E13" s="299" t="str">
        <f>IF('ASIGNACIÓN ASIGNATURAS'!$AF13=1,'ASIGNACIÓN ASIGNATURAS'!$T13,"")</f>
        <v/>
      </c>
      <c r="F13" s="299" t="str">
        <f>IF('ASIGNACIÓN ASIGNATURAS'!$AF13=1,'ASIGNACIÓN ASIGNATURAS'!$U13,"")</f>
        <v/>
      </c>
      <c r="G13" s="300" t="str">
        <f>IF(B13='PLAN DE ESTUDIO'!$XFD$41,"",+E13+F13)</f>
        <v/>
      </c>
    </row>
    <row r="14" spans="1:7" x14ac:dyDescent="0.3">
      <c r="A14" s="299" t="str">
        <f>IF('ASIGNACIÓN ASIGNATURAS'!$AF14=1,'ASIGNACIÓN ASIGNATURAS'!$M14,"")</f>
        <v/>
      </c>
      <c r="B14" s="299" t="str">
        <f>IF('ASIGNACIÓN ASIGNATURAS'!$AF14=1,'ASIGNACIÓN ASIGNATURAS'!$O14,"")</f>
        <v/>
      </c>
      <c r="C14" s="299" t="str">
        <f>IF('ASIGNACIÓN ASIGNATURAS'!$AF14=1,'ASIGNACIÓN ASIGNATURAS'!$P14,"")</f>
        <v/>
      </c>
      <c r="D14" s="299" t="str">
        <f>IF('ASIGNACIÓN ASIGNATURAS'!$AF14=1,'ASIGNACIÓN ASIGNATURAS'!$S14,"")</f>
        <v/>
      </c>
      <c r="E14" s="299" t="str">
        <f>IF('ASIGNACIÓN ASIGNATURAS'!$AF14=1,'ASIGNACIÓN ASIGNATURAS'!$T14,"")</f>
        <v/>
      </c>
      <c r="F14" s="299" t="str">
        <f>IF('ASIGNACIÓN ASIGNATURAS'!$AF14=1,'ASIGNACIÓN ASIGNATURAS'!$U14,"")</f>
        <v/>
      </c>
      <c r="G14" s="300" t="str">
        <f>IF(B14='PLAN DE ESTUDIO'!$XFD$41,"",+E14+F14)</f>
        <v/>
      </c>
    </row>
    <row r="15" spans="1:7" x14ac:dyDescent="0.3">
      <c r="A15" s="299" t="str">
        <f>IF('ASIGNACIÓN ASIGNATURAS'!$AF15=1,'ASIGNACIÓN ASIGNATURAS'!$M15,"")</f>
        <v/>
      </c>
      <c r="B15" s="299" t="str">
        <f>IF('ASIGNACIÓN ASIGNATURAS'!$AF15=1,'ASIGNACIÓN ASIGNATURAS'!$O15,"")</f>
        <v/>
      </c>
      <c r="C15" s="299" t="str">
        <f>IF('ASIGNACIÓN ASIGNATURAS'!$AF15=1,'ASIGNACIÓN ASIGNATURAS'!$P15,"")</f>
        <v/>
      </c>
      <c r="D15" s="299" t="str">
        <f>IF('ASIGNACIÓN ASIGNATURAS'!$AF15=1,'ASIGNACIÓN ASIGNATURAS'!$S15,"")</f>
        <v/>
      </c>
      <c r="E15" s="299" t="str">
        <f>IF('ASIGNACIÓN ASIGNATURAS'!$AF15=1,'ASIGNACIÓN ASIGNATURAS'!$T15,"")</f>
        <v/>
      </c>
      <c r="F15" s="299" t="str">
        <f>IF('ASIGNACIÓN ASIGNATURAS'!$AF15=1,'ASIGNACIÓN ASIGNATURAS'!$U15,"")</f>
        <v/>
      </c>
      <c r="G15" s="300" t="str">
        <f>IF(B15='PLAN DE ESTUDIO'!$XFD$41,"",+E15+F15)</f>
        <v/>
      </c>
    </row>
    <row r="16" spans="1:7" x14ac:dyDescent="0.3">
      <c r="A16" s="299" t="str">
        <f>IF('ASIGNACIÓN ASIGNATURAS'!$AF16=1,'ASIGNACIÓN ASIGNATURAS'!$M16,"")</f>
        <v/>
      </c>
      <c r="B16" s="299" t="str">
        <f>IF('ASIGNACIÓN ASIGNATURAS'!$AF16=1,'ASIGNACIÓN ASIGNATURAS'!$O16,"")</f>
        <v/>
      </c>
      <c r="C16" s="299" t="str">
        <f>IF('ASIGNACIÓN ASIGNATURAS'!$AF16=1,'ASIGNACIÓN ASIGNATURAS'!$P16,"")</f>
        <v/>
      </c>
      <c r="D16" s="299" t="str">
        <f>IF('ASIGNACIÓN ASIGNATURAS'!$AF16=1,'ASIGNACIÓN ASIGNATURAS'!$S16,"")</f>
        <v/>
      </c>
      <c r="E16" s="299" t="str">
        <f>IF('ASIGNACIÓN ASIGNATURAS'!$AF16=1,'ASIGNACIÓN ASIGNATURAS'!$T16,"")</f>
        <v/>
      </c>
      <c r="F16" s="299" t="str">
        <f>IF('ASIGNACIÓN ASIGNATURAS'!$AF16=1,'ASIGNACIÓN ASIGNATURAS'!$U16,"")</f>
        <v/>
      </c>
      <c r="G16" s="300" t="str">
        <f>IF(B16='PLAN DE ESTUDIO'!$XFD$41,"",+E16+F16)</f>
        <v/>
      </c>
    </row>
    <row r="17" spans="1:7" x14ac:dyDescent="0.3">
      <c r="A17" s="299" t="str">
        <f>IF('ASIGNACIÓN ASIGNATURAS'!$AF17=1,'ASIGNACIÓN ASIGNATURAS'!$M17,"")</f>
        <v/>
      </c>
      <c r="B17" s="299" t="str">
        <f>IF('ASIGNACIÓN ASIGNATURAS'!$AF17=1,'ASIGNACIÓN ASIGNATURAS'!$O17,"")</f>
        <v/>
      </c>
      <c r="C17" s="299" t="str">
        <f>IF('ASIGNACIÓN ASIGNATURAS'!$AF17=1,'ASIGNACIÓN ASIGNATURAS'!$P17,"")</f>
        <v/>
      </c>
      <c r="D17" s="299" t="str">
        <f>IF('ASIGNACIÓN ASIGNATURAS'!$AF17=1,'ASIGNACIÓN ASIGNATURAS'!$S17,"")</f>
        <v/>
      </c>
      <c r="E17" s="299" t="str">
        <f>IF('ASIGNACIÓN ASIGNATURAS'!$AF17=1,'ASIGNACIÓN ASIGNATURAS'!$T17,"")</f>
        <v/>
      </c>
      <c r="F17" s="299" t="str">
        <f>IF('ASIGNACIÓN ASIGNATURAS'!$AF17=1,'ASIGNACIÓN ASIGNATURAS'!$U17,"")</f>
        <v/>
      </c>
      <c r="G17" s="300" t="str">
        <f>IF(B17='PLAN DE ESTUDIO'!$XFD$41,"",+E17+F17)</f>
        <v/>
      </c>
    </row>
    <row r="18" spans="1:7" x14ac:dyDescent="0.3">
      <c r="A18" s="299" t="str">
        <f>IF('ASIGNACIÓN ASIGNATURAS'!$AF18=1,'ASIGNACIÓN ASIGNATURAS'!$M18,"")</f>
        <v/>
      </c>
      <c r="B18" s="299" t="str">
        <f>IF('ASIGNACIÓN ASIGNATURAS'!$AF18=1,'ASIGNACIÓN ASIGNATURAS'!$O18,"")</f>
        <v/>
      </c>
      <c r="C18" s="299" t="str">
        <f>IF('ASIGNACIÓN ASIGNATURAS'!$AF18=1,'ASIGNACIÓN ASIGNATURAS'!$P18,"")</f>
        <v/>
      </c>
      <c r="D18" s="299" t="str">
        <f>IF('ASIGNACIÓN ASIGNATURAS'!$AF18=1,'ASIGNACIÓN ASIGNATURAS'!$S18,"")</f>
        <v/>
      </c>
      <c r="E18" s="299" t="str">
        <f>IF('ASIGNACIÓN ASIGNATURAS'!$AF18=1,'ASIGNACIÓN ASIGNATURAS'!$T18,"")</f>
        <v/>
      </c>
      <c r="F18" s="299" t="str">
        <f>IF('ASIGNACIÓN ASIGNATURAS'!$AF18=1,'ASIGNACIÓN ASIGNATURAS'!$U18,"")</f>
        <v/>
      </c>
      <c r="G18" s="300" t="str">
        <f>IF(B18='PLAN DE ESTUDIO'!$XFD$41,"",+E18+F18)</f>
        <v/>
      </c>
    </row>
    <row r="19" spans="1:7" x14ac:dyDescent="0.3">
      <c r="A19" s="299" t="str">
        <f>IF('ASIGNACIÓN ASIGNATURAS'!$AF19=1,'ASIGNACIÓN ASIGNATURAS'!$M19,"")</f>
        <v/>
      </c>
      <c r="B19" s="299" t="str">
        <f>IF('ASIGNACIÓN ASIGNATURAS'!$AF19=1,'ASIGNACIÓN ASIGNATURAS'!$O19,"")</f>
        <v/>
      </c>
      <c r="C19" s="299" t="str">
        <f>IF('ASIGNACIÓN ASIGNATURAS'!$AF19=1,'ASIGNACIÓN ASIGNATURAS'!$P19,"")</f>
        <v/>
      </c>
      <c r="D19" s="299" t="str">
        <f>IF('ASIGNACIÓN ASIGNATURAS'!$AF19=1,'ASIGNACIÓN ASIGNATURAS'!$S19,"")</f>
        <v/>
      </c>
      <c r="E19" s="299" t="str">
        <f>IF('ASIGNACIÓN ASIGNATURAS'!$AF19=1,'ASIGNACIÓN ASIGNATURAS'!$T19,"")</f>
        <v/>
      </c>
      <c r="F19" s="299" t="str">
        <f>IF('ASIGNACIÓN ASIGNATURAS'!$AF19=1,'ASIGNACIÓN ASIGNATURAS'!$U19,"")</f>
        <v/>
      </c>
      <c r="G19" s="300" t="str">
        <f>IF(B19='PLAN DE ESTUDIO'!$XFD$41,"",+E19+F19)</f>
        <v/>
      </c>
    </row>
    <row r="20" spans="1:7" x14ac:dyDescent="0.3">
      <c r="A20" s="299" t="str">
        <f>IF('ASIGNACIÓN ASIGNATURAS'!$AF20=1,'ASIGNACIÓN ASIGNATURAS'!$M20,"")</f>
        <v/>
      </c>
      <c r="B20" s="299" t="str">
        <f>IF('ASIGNACIÓN ASIGNATURAS'!$AF20=1,'ASIGNACIÓN ASIGNATURAS'!$O20,"")</f>
        <v/>
      </c>
      <c r="C20" s="299" t="str">
        <f>IF('ASIGNACIÓN ASIGNATURAS'!$AF20=1,'ASIGNACIÓN ASIGNATURAS'!$P20,"")</f>
        <v/>
      </c>
      <c r="D20" s="299" t="str">
        <f>IF('ASIGNACIÓN ASIGNATURAS'!$AF20=1,'ASIGNACIÓN ASIGNATURAS'!$S20,"")</f>
        <v/>
      </c>
      <c r="E20" s="299" t="str">
        <f>IF('ASIGNACIÓN ASIGNATURAS'!$AF20=1,'ASIGNACIÓN ASIGNATURAS'!$T20,"")</f>
        <v/>
      </c>
      <c r="F20" s="299" t="str">
        <f>IF('ASIGNACIÓN ASIGNATURAS'!$AF20=1,'ASIGNACIÓN ASIGNATURAS'!$U20,"")</f>
        <v/>
      </c>
      <c r="G20" s="300" t="str">
        <f>IF(B20='PLAN DE ESTUDIO'!$XFD$41,"",+E20+F20)</f>
        <v/>
      </c>
    </row>
    <row r="21" spans="1:7" x14ac:dyDescent="0.3">
      <c r="A21" s="299" t="str">
        <f>IF('ASIGNACIÓN ASIGNATURAS'!$AF21=1,'ASIGNACIÓN ASIGNATURAS'!$M21,"")</f>
        <v/>
      </c>
      <c r="B21" s="299" t="str">
        <f>IF('ASIGNACIÓN ASIGNATURAS'!$AF21=1,'ASIGNACIÓN ASIGNATURAS'!$O21,"")</f>
        <v/>
      </c>
      <c r="C21" s="299" t="str">
        <f>IF('ASIGNACIÓN ASIGNATURAS'!$AF21=1,'ASIGNACIÓN ASIGNATURAS'!$P21,"")</f>
        <v/>
      </c>
      <c r="D21" s="299" t="str">
        <f>IF('ASIGNACIÓN ASIGNATURAS'!$AF21=1,'ASIGNACIÓN ASIGNATURAS'!$S21,"")</f>
        <v/>
      </c>
      <c r="E21" s="299" t="str">
        <f>IF('ASIGNACIÓN ASIGNATURAS'!$AF21=1,'ASIGNACIÓN ASIGNATURAS'!$T21,"")</f>
        <v/>
      </c>
      <c r="F21" s="299" t="str">
        <f>IF('ASIGNACIÓN ASIGNATURAS'!$AF21=1,'ASIGNACIÓN ASIGNATURAS'!$U21,"")</f>
        <v/>
      </c>
      <c r="G21" s="300" t="str">
        <f>IF(B21='PLAN DE ESTUDIO'!$XFD$41,"",+E21+F21)</f>
        <v/>
      </c>
    </row>
    <row r="22" spans="1:7" x14ac:dyDescent="0.3">
      <c r="A22" s="299" t="str">
        <f>IF('ASIGNACIÓN ASIGNATURAS'!$AF22=1,'ASIGNACIÓN ASIGNATURAS'!$M22,"")</f>
        <v/>
      </c>
      <c r="B22" s="299" t="str">
        <f>IF('ASIGNACIÓN ASIGNATURAS'!$AF22=1,'ASIGNACIÓN ASIGNATURAS'!$O22,"")</f>
        <v/>
      </c>
      <c r="C22" s="299" t="str">
        <f>IF('ASIGNACIÓN ASIGNATURAS'!$AF22=1,'ASIGNACIÓN ASIGNATURAS'!$P22,"")</f>
        <v/>
      </c>
      <c r="D22" s="299" t="str">
        <f>IF('ASIGNACIÓN ASIGNATURAS'!$AF22=1,'ASIGNACIÓN ASIGNATURAS'!$S22,"")</f>
        <v/>
      </c>
      <c r="E22" s="299" t="str">
        <f>IF('ASIGNACIÓN ASIGNATURAS'!$AF22=1,'ASIGNACIÓN ASIGNATURAS'!$T22,"")</f>
        <v/>
      </c>
      <c r="F22" s="299" t="str">
        <f>IF('ASIGNACIÓN ASIGNATURAS'!$AF22=1,'ASIGNACIÓN ASIGNATURAS'!$U22,"")</f>
        <v/>
      </c>
      <c r="G22" s="300" t="str">
        <f>IF(B22='PLAN DE ESTUDIO'!$XFD$41,"",+E22+F22)</f>
        <v/>
      </c>
    </row>
    <row r="23" spans="1:7" x14ac:dyDescent="0.3">
      <c r="A23" s="299" t="str">
        <f>IF('ASIGNACIÓN ASIGNATURAS'!$AF23=1,'ASIGNACIÓN ASIGNATURAS'!$M23,"")</f>
        <v/>
      </c>
      <c r="B23" s="299" t="str">
        <f>IF('ASIGNACIÓN ASIGNATURAS'!$AF23=1,'ASIGNACIÓN ASIGNATURAS'!$O23,"")</f>
        <v/>
      </c>
      <c r="C23" s="299" t="str">
        <f>IF('ASIGNACIÓN ASIGNATURAS'!$AF23=1,'ASIGNACIÓN ASIGNATURAS'!$P23,"")</f>
        <v/>
      </c>
      <c r="D23" s="299" t="str">
        <f>IF('ASIGNACIÓN ASIGNATURAS'!$AF23=1,'ASIGNACIÓN ASIGNATURAS'!$S23,"")</f>
        <v/>
      </c>
      <c r="E23" s="299" t="str">
        <f>IF('ASIGNACIÓN ASIGNATURAS'!$AF23=1,'ASIGNACIÓN ASIGNATURAS'!$T23,"")</f>
        <v/>
      </c>
      <c r="F23" s="299" t="str">
        <f>IF('ASIGNACIÓN ASIGNATURAS'!$AF23=1,'ASIGNACIÓN ASIGNATURAS'!$U23,"")</f>
        <v/>
      </c>
      <c r="G23" s="300" t="str">
        <f>IF(B23='PLAN DE ESTUDIO'!$XFD$41,"",+E23+F23)</f>
        <v/>
      </c>
    </row>
    <row r="24" spans="1:7" x14ac:dyDescent="0.3">
      <c r="A24" s="299" t="str">
        <f>IF('ASIGNACIÓN ASIGNATURAS'!$AF24=1,'ASIGNACIÓN ASIGNATURAS'!$M24,"")</f>
        <v/>
      </c>
      <c r="B24" s="299" t="str">
        <f>IF('ASIGNACIÓN ASIGNATURAS'!$AF24=1,'ASIGNACIÓN ASIGNATURAS'!$O24,"")</f>
        <v/>
      </c>
      <c r="C24" s="299" t="str">
        <f>IF('ASIGNACIÓN ASIGNATURAS'!$AF24=1,'ASIGNACIÓN ASIGNATURAS'!$P24,"")</f>
        <v/>
      </c>
      <c r="D24" s="299" t="str">
        <f>IF('ASIGNACIÓN ASIGNATURAS'!$AF24=1,'ASIGNACIÓN ASIGNATURAS'!$S24,"")</f>
        <v/>
      </c>
      <c r="E24" s="299" t="str">
        <f>IF('ASIGNACIÓN ASIGNATURAS'!$AF24=1,'ASIGNACIÓN ASIGNATURAS'!$T24,"")</f>
        <v/>
      </c>
      <c r="F24" s="299" t="str">
        <f>IF('ASIGNACIÓN ASIGNATURAS'!$AF24=1,'ASIGNACIÓN ASIGNATURAS'!$U24,"")</f>
        <v/>
      </c>
      <c r="G24" s="300" t="str">
        <f>IF(B24='PLAN DE ESTUDIO'!$XFD$41,"",+E24+F24)</f>
        <v/>
      </c>
    </row>
    <row r="25" spans="1:7" x14ac:dyDescent="0.3">
      <c r="A25" s="299" t="str">
        <f>IF('ASIGNACIÓN ASIGNATURAS'!$AF25=1,'ASIGNACIÓN ASIGNATURAS'!$M25,"")</f>
        <v/>
      </c>
      <c r="B25" s="299" t="str">
        <f>IF('ASIGNACIÓN ASIGNATURAS'!$AF25=1,'ASIGNACIÓN ASIGNATURAS'!$O25,"")</f>
        <v/>
      </c>
      <c r="C25" s="299" t="str">
        <f>IF('ASIGNACIÓN ASIGNATURAS'!$AF25=1,'ASIGNACIÓN ASIGNATURAS'!$P25,"")</f>
        <v/>
      </c>
      <c r="D25" s="299" t="str">
        <f>IF('ASIGNACIÓN ASIGNATURAS'!$AF25=1,'ASIGNACIÓN ASIGNATURAS'!$S25,"")</f>
        <v/>
      </c>
      <c r="E25" s="299" t="str">
        <f>IF('ASIGNACIÓN ASIGNATURAS'!$AF25=1,'ASIGNACIÓN ASIGNATURAS'!$T25,"")</f>
        <v/>
      </c>
      <c r="F25" s="299" t="str">
        <f>IF('ASIGNACIÓN ASIGNATURAS'!$AF25=1,'ASIGNACIÓN ASIGNATURAS'!$U25,"")</f>
        <v/>
      </c>
      <c r="G25" s="300" t="str">
        <f>IF(B25='PLAN DE ESTUDIO'!$XFD$41,"",+E25+F25)</f>
        <v/>
      </c>
    </row>
    <row r="26" spans="1:7" x14ac:dyDescent="0.3">
      <c r="A26" s="299" t="str">
        <f>IF('ASIGNACIÓN ASIGNATURAS'!$AF26=1,'ASIGNACIÓN ASIGNATURAS'!$M26,"")</f>
        <v/>
      </c>
      <c r="B26" s="299" t="str">
        <f>IF('ASIGNACIÓN ASIGNATURAS'!$AF26=1,'ASIGNACIÓN ASIGNATURAS'!$O26,"")</f>
        <v/>
      </c>
      <c r="C26" s="299" t="str">
        <f>IF('ASIGNACIÓN ASIGNATURAS'!$AF26=1,'ASIGNACIÓN ASIGNATURAS'!$P26,"")</f>
        <v/>
      </c>
      <c r="D26" s="299" t="str">
        <f>IF('ASIGNACIÓN ASIGNATURAS'!$AF26=1,'ASIGNACIÓN ASIGNATURAS'!$S26,"")</f>
        <v/>
      </c>
      <c r="E26" s="299" t="str">
        <f>IF('ASIGNACIÓN ASIGNATURAS'!$AF26=1,'ASIGNACIÓN ASIGNATURAS'!$T26,"")</f>
        <v/>
      </c>
      <c r="F26" s="299" t="str">
        <f>IF('ASIGNACIÓN ASIGNATURAS'!$AF26=1,'ASIGNACIÓN ASIGNATURAS'!$U26,"")</f>
        <v/>
      </c>
      <c r="G26" s="300" t="str">
        <f>IF(B26='PLAN DE ESTUDIO'!$XFD$41,"",+E26+F26)</f>
        <v/>
      </c>
    </row>
    <row r="27" spans="1:7" x14ac:dyDescent="0.3">
      <c r="A27" s="299" t="str">
        <f>IF('ASIGNACIÓN ASIGNATURAS'!$AF27=1,'ASIGNACIÓN ASIGNATURAS'!$M27,"")</f>
        <v/>
      </c>
      <c r="B27" s="299" t="str">
        <f>IF('ASIGNACIÓN ASIGNATURAS'!$AF27=1,'ASIGNACIÓN ASIGNATURAS'!$O27,"")</f>
        <v/>
      </c>
      <c r="C27" s="299" t="str">
        <f>IF('ASIGNACIÓN ASIGNATURAS'!$AF27=1,'ASIGNACIÓN ASIGNATURAS'!$P27,"")</f>
        <v/>
      </c>
      <c r="D27" s="299" t="str">
        <f>IF('ASIGNACIÓN ASIGNATURAS'!$AF27=1,'ASIGNACIÓN ASIGNATURAS'!$S27,"")</f>
        <v/>
      </c>
      <c r="E27" s="299" t="str">
        <f>IF('ASIGNACIÓN ASIGNATURAS'!$AF27=1,'ASIGNACIÓN ASIGNATURAS'!$T27,"")</f>
        <v/>
      </c>
      <c r="F27" s="299" t="str">
        <f>IF('ASIGNACIÓN ASIGNATURAS'!$AF27=1,'ASIGNACIÓN ASIGNATURAS'!$U27,"")</f>
        <v/>
      </c>
      <c r="G27" s="300" t="str">
        <f>IF(B27='PLAN DE ESTUDIO'!$XFD$41,"",+E27+F27)</f>
        <v/>
      </c>
    </row>
    <row r="28" spans="1:7" x14ac:dyDescent="0.3">
      <c r="A28" s="299" t="str">
        <f>IF('ASIGNACIÓN ASIGNATURAS'!$AF28=1,'ASIGNACIÓN ASIGNATURAS'!$M28,"")</f>
        <v/>
      </c>
      <c r="B28" s="299" t="str">
        <f>IF('ASIGNACIÓN ASIGNATURAS'!$AF28=1,'ASIGNACIÓN ASIGNATURAS'!$O28,"")</f>
        <v/>
      </c>
      <c r="C28" s="299" t="str">
        <f>IF('ASIGNACIÓN ASIGNATURAS'!$AF28=1,'ASIGNACIÓN ASIGNATURAS'!$P28,"")</f>
        <v/>
      </c>
      <c r="D28" s="299" t="str">
        <f>IF('ASIGNACIÓN ASIGNATURAS'!$AF28=1,'ASIGNACIÓN ASIGNATURAS'!$S28,"")</f>
        <v/>
      </c>
      <c r="E28" s="299" t="str">
        <f>IF('ASIGNACIÓN ASIGNATURAS'!$AF28=1,'ASIGNACIÓN ASIGNATURAS'!$T28,"")</f>
        <v/>
      </c>
      <c r="F28" s="299" t="str">
        <f>IF('ASIGNACIÓN ASIGNATURAS'!$AF28=1,'ASIGNACIÓN ASIGNATURAS'!$U28,"")</f>
        <v/>
      </c>
      <c r="G28" s="300" t="str">
        <f>IF(B28='PLAN DE ESTUDIO'!$XFD$41,"",+E28+F28)</f>
        <v/>
      </c>
    </row>
    <row r="29" spans="1:7" x14ac:dyDescent="0.3">
      <c r="A29" s="299" t="str">
        <f>IF('ASIGNACIÓN ASIGNATURAS'!$AF29=1,'ASIGNACIÓN ASIGNATURAS'!$M29,"")</f>
        <v/>
      </c>
      <c r="B29" s="299" t="str">
        <f>IF('ASIGNACIÓN ASIGNATURAS'!$AF29=1,'ASIGNACIÓN ASIGNATURAS'!$O29,"")</f>
        <v/>
      </c>
      <c r="C29" s="299" t="str">
        <f>IF('ASIGNACIÓN ASIGNATURAS'!$AF29=1,'ASIGNACIÓN ASIGNATURAS'!$P29,"")</f>
        <v/>
      </c>
      <c r="D29" s="299" t="str">
        <f>IF('ASIGNACIÓN ASIGNATURAS'!$AF29=1,'ASIGNACIÓN ASIGNATURAS'!$S29,"")</f>
        <v/>
      </c>
      <c r="E29" s="299" t="str">
        <f>IF('ASIGNACIÓN ASIGNATURAS'!$AF29=1,'ASIGNACIÓN ASIGNATURAS'!$T29,"")</f>
        <v/>
      </c>
      <c r="F29" s="299" t="str">
        <f>IF('ASIGNACIÓN ASIGNATURAS'!$AF29=1,'ASIGNACIÓN ASIGNATURAS'!$U29,"")</f>
        <v/>
      </c>
      <c r="G29" s="300" t="str">
        <f>IF(B29='PLAN DE ESTUDIO'!$XFD$41,"",+E29+F29)</f>
        <v/>
      </c>
    </row>
    <row r="30" spans="1:7" x14ac:dyDescent="0.3">
      <c r="A30" s="299" t="str">
        <f>IF('ASIGNACIÓN ASIGNATURAS'!$AF30=1,'ASIGNACIÓN ASIGNATURAS'!$M30,"")</f>
        <v/>
      </c>
      <c r="B30" s="299" t="str">
        <f>IF('ASIGNACIÓN ASIGNATURAS'!$AF30=1,'ASIGNACIÓN ASIGNATURAS'!$O30,"")</f>
        <v/>
      </c>
      <c r="C30" s="299" t="str">
        <f>IF('ASIGNACIÓN ASIGNATURAS'!$AF30=1,'ASIGNACIÓN ASIGNATURAS'!$P30,"")</f>
        <v/>
      </c>
      <c r="D30" s="299" t="str">
        <f>IF('ASIGNACIÓN ASIGNATURAS'!$AF30=1,'ASIGNACIÓN ASIGNATURAS'!$S30,"")</f>
        <v/>
      </c>
      <c r="E30" s="299" t="str">
        <f>IF('ASIGNACIÓN ASIGNATURAS'!$AF30=1,'ASIGNACIÓN ASIGNATURAS'!$T30,"")</f>
        <v/>
      </c>
      <c r="F30" s="299" t="str">
        <f>IF('ASIGNACIÓN ASIGNATURAS'!$AF30=1,'ASIGNACIÓN ASIGNATURAS'!$U30,"")</f>
        <v/>
      </c>
      <c r="G30" s="300" t="str">
        <f>IF(B30='PLAN DE ESTUDIO'!$XFD$41,"",+E30+F30)</f>
        <v/>
      </c>
    </row>
    <row r="31" spans="1:7" x14ac:dyDescent="0.3">
      <c r="A31" s="299" t="str">
        <f>IF('ASIGNACIÓN ASIGNATURAS'!$AF31=1,'ASIGNACIÓN ASIGNATURAS'!$M31,"")</f>
        <v/>
      </c>
      <c r="B31" s="299" t="str">
        <f>IF('ASIGNACIÓN ASIGNATURAS'!$AF31=1,'ASIGNACIÓN ASIGNATURAS'!$O31,"")</f>
        <v/>
      </c>
      <c r="C31" s="299" t="str">
        <f>IF('ASIGNACIÓN ASIGNATURAS'!$AF31=1,'ASIGNACIÓN ASIGNATURAS'!$P31,"")</f>
        <v/>
      </c>
      <c r="D31" s="299" t="str">
        <f>IF('ASIGNACIÓN ASIGNATURAS'!$AF31=1,'ASIGNACIÓN ASIGNATURAS'!$S31,"")</f>
        <v/>
      </c>
      <c r="E31" s="299" t="str">
        <f>IF('ASIGNACIÓN ASIGNATURAS'!$AF31=1,'ASIGNACIÓN ASIGNATURAS'!$T31,"")</f>
        <v/>
      </c>
      <c r="F31" s="299" t="str">
        <f>IF('ASIGNACIÓN ASIGNATURAS'!$AF31=1,'ASIGNACIÓN ASIGNATURAS'!$U31,"")</f>
        <v/>
      </c>
      <c r="G31" s="300" t="str">
        <f>IF(B31='PLAN DE ESTUDIO'!$XFD$41,"",+E31+F31)</f>
        <v/>
      </c>
    </row>
    <row r="32" spans="1:7" x14ac:dyDescent="0.3">
      <c r="A32" s="299" t="str">
        <f>IF('ASIGNACIÓN ASIGNATURAS'!$AF32=1,'ASIGNACIÓN ASIGNATURAS'!$M32,"")</f>
        <v/>
      </c>
      <c r="B32" s="299" t="str">
        <f>IF('ASIGNACIÓN ASIGNATURAS'!$AF32=1,'ASIGNACIÓN ASIGNATURAS'!$O32,"")</f>
        <v/>
      </c>
      <c r="C32" s="299" t="str">
        <f>IF('ASIGNACIÓN ASIGNATURAS'!$AF32=1,'ASIGNACIÓN ASIGNATURAS'!$P32,"")</f>
        <v/>
      </c>
      <c r="D32" s="299" t="str">
        <f>IF('ASIGNACIÓN ASIGNATURAS'!$AF32=1,'ASIGNACIÓN ASIGNATURAS'!$S32,"")</f>
        <v/>
      </c>
      <c r="E32" s="299" t="str">
        <f>IF('ASIGNACIÓN ASIGNATURAS'!$AF32=1,'ASIGNACIÓN ASIGNATURAS'!$T32,"")</f>
        <v/>
      </c>
      <c r="F32" s="299" t="str">
        <f>IF('ASIGNACIÓN ASIGNATURAS'!$AF32=1,'ASIGNACIÓN ASIGNATURAS'!$U32,"")</f>
        <v/>
      </c>
      <c r="G32" s="300" t="str">
        <f>IF(B32='PLAN DE ESTUDIO'!$XFD$41,"",+E32+F32)</f>
        <v/>
      </c>
    </row>
    <row r="33" spans="1:7" x14ac:dyDescent="0.3">
      <c r="A33" s="299" t="str">
        <f>IF('ASIGNACIÓN ASIGNATURAS'!$AF33=1,'ASIGNACIÓN ASIGNATURAS'!$M33,"")</f>
        <v/>
      </c>
      <c r="B33" s="299" t="str">
        <f>IF('ASIGNACIÓN ASIGNATURAS'!$AF33=1,'ASIGNACIÓN ASIGNATURAS'!$O33,"")</f>
        <v/>
      </c>
      <c r="C33" s="299" t="str">
        <f>IF('ASIGNACIÓN ASIGNATURAS'!$AF33=1,'ASIGNACIÓN ASIGNATURAS'!$P33,"")</f>
        <v/>
      </c>
      <c r="D33" s="299" t="str">
        <f>IF('ASIGNACIÓN ASIGNATURAS'!$AF33=1,'ASIGNACIÓN ASIGNATURAS'!$S33,"")</f>
        <v/>
      </c>
      <c r="E33" s="299" t="str">
        <f>IF('ASIGNACIÓN ASIGNATURAS'!$AF33=1,'ASIGNACIÓN ASIGNATURAS'!$T33,"")</f>
        <v/>
      </c>
      <c r="F33" s="299" t="str">
        <f>IF('ASIGNACIÓN ASIGNATURAS'!$AF33=1,'ASIGNACIÓN ASIGNATURAS'!$U33,"")</f>
        <v/>
      </c>
      <c r="G33" s="300" t="str">
        <f>IF(B33='PLAN DE ESTUDIO'!$XFD$41,"",+E33+F33)</f>
        <v/>
      </c>
    </row>
    <row r="34" spans="1:7" x14ac:dyDescent="0.3">
      <c r="A34" s="299" t="str">
        <f>IF('ASIGNACIÓN ASIGNATURAS'!$AF34=1,'ASIGNACIÓN ASIGNATURAS'!$M34,"")</f>
        <v/>
      </c>
      <c r="B34" s="299" t="str">
        <f>IF('ASIGNACIÓN ASIGNATURAS'!$AF34=1,'ASIGNACIÓN ASIGNATURAS'!$O34,"")</f>
        <v/>
      </c>
      <c r="C34" s="299" t="str">
        <f>IF('ASIGNACIÓN ASIGNATURAS'!$AF34=1,'ASIGNACIÓN ASIGNATURAS'!$P34,"")</f>
        <v/>
      </c>
      <c r="D34" s="299" t="str">
        <f>IF('ASIGNACIÓN ASIGNATURAS'!$AF34=1,'ASIGNACIÓN ASIGNATURAS'!$S34,"")</f>
        <v/>
      </c>
      <c r="E34" s="299" t="str">
        <f>IF('ASIGNACIÓN ASIGNATURAS'!$AF34=1,'ASIGNACIÓN ASIGNATURAS'!$T34,"")</f>
        <v/>
      </c>
      <c r="F34" s="299" t="str">
        <f>IF('ASIGNACIÓN ASIGNATURAS'!$AF34=1,'ASIGNACIÓN ASIGNATURAS'!$U34,"")</f>
        <v/>
      </c>
      <c r="G34" s="300" t="str">
        <f>IF(B34='PLAN DE ESTUDIO'!$XFD$41,"",+E34+F34)</f>
        <v/>
      </c>
    </row>
    <row r="35" spans="1:7" x14ac:dyDescent="0.3">
      <c r="A35" s="299" t="str">
        <f>IF('ASIGNACIÓN ASIGNATURAS'!$AF35=1,'ASIGNACIÓN ASIGNATURAS'!$M35,"")</f>
        <v/>
      </c>
      <c r="B35" s="299" t="str">
        <f>IF('ASIGNACIÓN ASIGNATURAS'!$AF35=1,'ASIGNACIÓN ASIGNATURAS'!$O35,"")</f>
        <v/>
      </c>
      <c r="C35" s="299" t="str">
        <f>IF('ASIGNACIÓN ASIGNATURAS'!$AF35=1,'ASIGNACIÓN ASIGNATURAS'!$P35,"")</f>
        <v/>
      </c>
      <c r="D35" s="299" t="str">
        <f>IF('ASIGNACIÓN ASIGNATURAS'!$AF35=1,'ASIGNACIÓN ASIGNATURAS'!$S35,"")</f>
        <v/>
      </c>
      <c r="E35" s="299" t="str">
        <f>IF('ASIGNACIÓN ASIGNATURAS'!$AF35=1,'ASIGNACIÓN ASIGNATURAS'!$T35,"")</f>
        <v/>
      </c>
      <c r="F35" s="299" t="str">
        <f>IF('ASIGNACIÓN ASIGNATURAS'!$AF35=1,'ASIGNACIÓN ASIGNATURAS'!$U35,"")</f>
        <v/>
      </c>
      <c r="G35" s="300" t="str">
        <f>IF(B35='PLAN DE ESTUDIO'!$XFD$41,"",+E35+F35)</f>
        <v/>
      </c>
    </row>
    <row r="36" spans="1:7" x14ac:dyDescent="0.3">
      <c r="A36" s="299" t="str">
        <f>IF('ASIGNACIÓN ASIGNATURAS'!$AF36=1,'ASIGNACIÓN ASIGNATURAS'!$M36,"")</f>
        <v/>
      </c>
      <c r="B36" s="299" t="str">
        <f>IF('ASIGNACIÓN ASIGNATURAS'!$AF36=1,'ASIGNACIÓN ASIGNATURAS'!$O36,"")</f>
        <v/>
      </c>
      <c r="C36" s="299" t="str">
        <f>IF('ASIGNACIÓN ASIGNATURAS'!$AF36=1,'ASIGNACIÓN ASIGNATURAS'!$P36,"")</f>
        <v/>
      </c>
      <c r="D36" s="299" t="str">
        <f>IF('ASIGNACIÓN ASIGNATURAS'!$AF36=1,'ASIGNACIÓN ASIGNATURAS'!$S36,"")</f>
        <v/>
      </c>
      <c r="E36" s="299" t="str">
        <f>IF('ASIGNACIÓN ASIGNATURAS'!$AF36=1,'ASIGNACIÓN ASIGNATURAS'!$T36,"")</f>
        <v/>
      </c>
      <c r="F36" s="299" t="str">
        <f>IF('ASIGNACIÓN ASIGNATURAS'!$AF36=1,'ASIGNACIÓN ASIGNATURAS'!$U36,"")</f>
        <v/>
      </c>
      <c r="G36" s="300" t="str">
        <f>IF(B36='PLAN DE ESTUDIO'!$XFD$41,"",+E36+F36)</f>
        <v/>
      </c>
    </row>
    <row r="37" spans="1:7" x14ac:dyDescent="0.3">
      <c r="A37" s="299" t="str">
        <f>IF('ASIGNACIÓN ASIGNATURAS'!$AF37=1,'ASIGNACIÓN ASIGNATURAS'!$M37,"")</f>
        <v/>
      </c>
      <c r="B37" s="299" t="str">
        <f>IF('ASIGNACIÓN ASIGNATURAS'!$AF37=1,'ASIGNACIÓN ASIGNATURAS'!$O37,"")</f>
        <v/>
      </c>
      <c r="C37" s="299" t="str">
        <f>IF('ASIGNACIÓN ASIGNATURAS'!$AF37=1,'ASIGNACIÓN ASIGNATURAS'!$P37,"")</f>
        <v/>
      </c>
      <c r="D37" s="299" t="str">
        <f>IF('ASIGNACIÓN ASIGNATURAS'!$AF37=1,'ASIGNACIÓN ASIGNATURAS'!$S37,"")</f>
        <v/>
      </c>
      <c r="E37" s="299" t="str">
        <f>IF('ASIGNACIÓN ASIGNATURAS'!$AF37=1,'ASIGNACIÓN ASIGNATURAS'!$T37,"")</f>
        <v/>
      </c>
      <c r="F37" s="299" t="str">
        <f>IF('ASIGNACIÓN ASIGNATURAS'!$AF37=1,'ASIGNACIÓN ASIGNATURAS'!$U37,"")</f>
        <v/>
      </c>
      <c r="G37" s="300" t="str">
        <f>IF(B37='PLAN DE ESTUDIO'!$XFD$41,"",+E37+F37)</f>
        <v/>
      </c>
    </row>
    <row r="38" spans="1:7" x14ac:dyDescent="0.3">
      <c r="A38" s="299" t="str">
        <f>IF('ASIGNACIÓN ASIGNATURAS'!$AF38=1,'ASIGNACIÓN ASIGNATURAS'!$M38,"")</f>
        <v/>
      </c>
      <c r="B38" s="299" t="str">
        <f>IF('ASIGNACIÓN ASIGNATURAS'!$AF38=1,'ASIGNACIÓN ASIGNATURAS'!$O38,"")</f>
        <v/>
      </c>
      <c r="C38" s="299" t="str">
        <f>IF('ASIGNACIÓN ASIGNATURAS'!$AF38=1,'ASIGNACIÓN ASIGNATURAS'!$P38,"")</f>
        <v/>
      </c>
      <c r="D38" s="299" t="str">
        <f>IF('ASIGNACIÓN ASIGNATURAS'!$AF38=1,'ASIGNACIÓN ASIGNATURAS'!$S38,"")</f>
        <v/>
      </c>
      <c r="E38" s="299" t="str">
        <f>IF('ASIGNACIÓN ASIGNATURAS'!$AF38=1,'ASIGNACIÓN ASIGNATURAS'!$T38,"")</f>
        <v/>
      </c>
      <c r="F38" s="299" t="str">
        <f>IF('ASIGNACIÓN ASIGNATURAS'!$AF38=1,'ASIGNACIÓN ASIGNATURAS'!$U38,"")</f>
        <v/>
      </c>
      <c r="G38" s="300" t="str">
        <f>IF(B38='PLAN DE ESTUDIO'!$XFD$41,"",+E38+F38)</f>
        <v/>
      </c>
    </row>
    <row r="39" spans="1:7" x14ac:dyDescent="0.3">
      <c r="A39" s="299" t="str">
        <f>IF('ASIGNACIÓN ASIGNATURAS'!$AF39=1,'ASIGNACIÓN ASIGNATURAS'!$M39,"")</f>
        <v/>
      </c>
      <c r="B39" s="299" t="str">
        <f>IF('ASIGNACIÓN ASIGNATURAS'!$AF39=1,'ASIGNACIÓN ASIGNATURAS'!$O39,"")</f>
        <v/>
      </c>
      <c r="C39" s="299" t="str">
        <f>IF('ASIGNACIÓN ASIGNATURAS'!$AF39=1,'ASIGNACIÓN ASIGNATURAS'!$P39,"")</f>
        <v/>
      </c>
      <c r="D39" s="299" t="str">
        <f>IF('ASIGNACIÓN ASIGNATURAS'!$AF39=1,'ASIGNACIÓN ASIGNATURAS'!$S39,"")</f>
        <v/>
      </c>
      <c r="E39" s="299" t="str">
        <f>IF('ASIGNACIÓN ASIGNATURAS'!$AF39=1,'ASIGNACIÓN ASIGNATURAS'!$T39,"")</f>
        <v/>
      </c>
      <c r="F39" s="299" t="str">
        <f>IF('ASIGNACIÓN ASIGNATURAS'!$AF39=1,'ASIGNACIÓN ASIGNATURAS'!$U39,"")</f>
        <v/>
      </c>
      <c r="G39" s="300" t="str">
        <f>IF(B39='PLAN DE ESTUDIO'!$XFD$41,"",+E39+F39)</f>
        <v/>
      </c>
    </row>
    <row r="40" spans="1:7" x14ac:dyDescent="0.3">
      <c r="A40" s="299" t="str">
        <f>IF('ASIGNACIÓN ASIGNATURAS'!$AF40=1,'ASIGNACIÓN ASIGNATURAS'!$M40,"")</f>
        <v/>
      </c>
      <c r="B40" s="299" t="str">
        <f>IF('ASIGNACIÓN ASIGNATURAS'!$AF40=1,'ASIGNACIÓN ASIGNATURAS'!$O40,"")</f>
        <v/>
      </c>
      <c r="C40" s="299" t="str">
        <f>IF('ASIGNACIÓN ASIGNATURAS'!$AF40=1,'ASIGNACIÓN ASIGNATURAS'!$P40,"")</f>
        <v/>
      </c>
      <c r="D40" s="299" t="str">
        <f>IF('ASIGNACIÓN ASIGNATURAS'!$AF40=1,'ASIGNACIÓN ASIGNATURAS'!$S40,"")</f>
        <v/>
      </c>
      <c r="E40" s="299" t="str">
        <f>IF('ASIGNACIÓN ASIGNATURAS'!$AF40=1,'ASIGNACIÓN ASIGNATURAS'!$T40,"")</f>
        <v/>
      </c>
      <c r="F40" s="299" t="str">
        <f>IF('ASIGNACIÓN ASIGNATURAS'!$AF40=1,'ASIGNACIÓN ASIGNATURAS'!$U40,"")</f>
        <v/>
      </c>
      <c r="G40" s="300" t="str">
        <f>IF(B40='PLAN DE ESTUDIO'!$XFD$41,"",+E40+F40)</f>
        <v/>
      </c>
    </row>
    <row r="41" spans="1:7" x14ac:dyDescent="0.3">
      <c r="A41" s="299" t="str">
        <f>IF('ASIGNACIÓN ASIGNATURAS'!$AF41=1,'ASIGNACIÓN ASIGNATURAS'!$M41,"")</f>
        <v/>
      </c>
      <c r="B41" s="299" t="str">
        <f>IF('ASIGNACIÓN ASIGNATURAS'!$AF41=1,'ASIGNACIÓN ASIGNATURAS'!$O41,"")</f>
        <v/>
      </c>
      <c r="C41" s="299" t="str">
        <f>IF('ASIGNACIÓN ASIGNATURAS'!$AF41=1,'ASIGNACIÓN ASIGNATURAS'!$P41,"")</f>
        <v/>
      </c>
      <c r="D41" s="299" t="str">
        <f>IF('ASIGNACIÓN ASIGNATURAS'!$AF41=1,'ASIGNACIÓN ASIGNATURAS'!$S41,"")</f>
        <v/>
      </c>
      <c r="E41" s="299" t="str">
        <f>IF('ASIGNACIÓN ASIGNATURAS'!$AF41=1,'ASIGNACIÓN ASIGNATURAS'!$T41,"")</f>
        <v/>
      </c>
      <c r="F41" s="299" t="str">
        <f>IF('ASIGNACIÓN ASIGNATURAS'!$AF41=1,'ASIGNACIÓN ASIGNATURAS'!$U41,"")</f>
        <v/>
      </c>
      <c r="G41" s="300" t="str">
        <f>IF(B41='PLAN DE ESTUDIO'!$XFD$41,"",+E41+F41)</f>
        <v/>
      </c>
    </row>
    <row r="42" spans="1:7" x14ac:dyDescent="0.3">
      <c r="A42" s="299" t="str">
        <f>IF('ASIGNACIÓN ASIGNATURAS'!$AF42=1,'ASIGNACIÓN ASIGNATURAS'!$M42,"")</f>
        <v/>
      </c>
      <c r="B42" s="299" t="str">
        <f>IF('ASIGNACIÓN ASIGNATURAS'!$AF42=1,'ASIGNACIÓN ASIGNATURAS'!$O42,"")</f>
        <v/>
      </c>
      <c r="C42" s="299" t="str">
        <f>IF('ASIGNACIÓN ASIGNATURAS'!$AF42=1,'ASIGNACIÓN ASIGNATURAS'!$P42,"")</f>
        <v/>
      </c>
      <c r="D42" s="299" t="str">
        <f>IF('ASIGNACIÓN ASIGNATURAS'!$AF42=1,'ASIGNACIÓN ASIGNATURAS'!$S42,"")</f>
        <v/>
      </c>
      <c r="E42" s="299" t="str">
        <f>IF('ASIGNACIÓN ASIGNATURAS'!$AF42=1,'ASIGNACIÓN ASIGNATURAS'!$T42,"")</f>
        <v/>
      </c>
      <c r="F42" s="299" t="str">
        <f>IF('ASIGNACIÓN ASIGNATURAS'!$AF42=1,'ASIGNACIÓN ASIGNATURAS'!$U42,"")</f>
        <v/>
      </c>
      <c r="G42" s="300" t="str">
        <f>IF(B42='PLAN DE ESTUDIO'!$XFD$41,"",+E42+F42)</f>
        <v/>
      </c>
    </row>
    <row r="43" spans="1:7" x14ac:dyDescent="0.3">
      <c r="A43" s="299" t="str">
        <f>IF('ASIGNACIÓN ASIGNATURAS'!$AF43=1,'ASIGNACIÓN ASIGNATURAS'!$M43,"")</f>
        <v/>
      </c>
      <c r="B43" s="299" t="str">
        <f>IF('ASIGNACIÓN ASIGNATURAS'!$AF43=1,'ASIGNACIÓN ASIGNATURAS'!$O43,"")</f>
        <v/>
      </c>
      <c r="C43" s="299" t="str">
        <f>IF('ASIGNACIÓN ASIGNATURAS'!$AF43=1,'ASIGNACIÓN ASIGNATURAS'!$P43,"")</f>
        <v/>
      </c>
      <c r="D43" s="299" t="str">
        <f>IF('ASIGNACIÓN ASIGNATURAS'!$AF43=1,'ASIGNACIÓN ASIGNATURAS'!$S43,"")</f>
        <v/>
      </c>
      <c r="E43" s="299" t="str">
        <f>IF('ASIGNACIÓN ASIGNATURAS'!$AF43=1,'ASIGNACIÓN ASIGNATURAS'!$T43,"")</f>
        <v/>
      </c>
      <c r="F43" s="299" t="str">
        <f>IF('ASIGNACIÓN ASIGNATURAS'!$AF43=1,'ASIGNACIÓN ASIGNATURAS'!$U43,"")</f>
        <v/>
      </c>
      <c r="G43" s="300" t="str">
        <f>IF(B43='PLAN DE ESTUDIO'!$XFD$41,"",+E43+F43)</f>
        <v/>
      </c>
    </row>
    <row r="44" spans="1:7" x14ac:dyDescent="0.3">
      <c r="A44" s="299" t="str">
        <f>IF('ASIGNACIÓN ASIGNATURAS'!$AF44=1,'ASIGNACIÓN ASIGNATURAS'!$M44,"")</f>
        <v/>
      </c>
      <c r="B44" s="299" t="str">
        <f>IF('ASIGNACIÓN ASIGNATURAS'!$AF44=1,'ASIGNACIÓN ASIGNATURAS'!$O44,"")</f>
        <v/>
      </c>
      <c r="C44" s="299" t="str">
        <f>IF('ASIGNACIÓN ASIGNATURAS'!$AF44=1,'ASIGNACIÓN ASIGNATURAS'!$P44,"")</f>
        <v/>
      </c>
      <c r="D44" s="299" t="str">
        <f>IF('ASIGNACIÓN ASIGNATURAS'!$AF44=1,'ASIGNACIÓN ASIGNATURAS'!$S44,"")</f>
        <v/>
      </c>
      <c r="E44" s="299" t="str">
        <f>IF('ASIGNACIÓN ASIGNATURAS'!$AF44=1,'ASIGNACIÓN ASIGNATURAS'!$T44,"")</f>
        <v/>
      </c>
      <c r="F44" s="299" t="str">
        <f>IF('ASIGNACIÓN ASIGNATURAS'!$AF44=1,'ASIGNACIÓN ASIGNATURAS'!$U44,"")</f>
        <v/>
      </c>
      <c r="G44" s="300" t="str">
        <f>IF(B44='PLAN DE ESTUDIO'!$XFD$41,"",+E44+F44)</f>
        <v/>
      </c>
    </row>
    <row r="45" spans="1:7" x14ac:dyDescent="0.3">
      <c r="A45" s="299" t="str">
        <f>IF('ASIGNACIÓN ASIGNATURAS'!$AF45=1,'ASIGNACIÓN ASIGNATURAS'!$M45,"")</f>
        <v/>
      </c>
      <c r="B45" s="299" t="str">
        <f>IF('ASIGNACIÓN ASIGNATURAS'!$AF45=1,'ASIGNACIÓN ASIGNATURAS'!$O45,"")</f>
        <v/>
      </c>
      <c r="C45" s="299" t="str">
        <f>IF('ASIGNACIÓN ASIGNATURAS'!$AF45=1,'ASIGNACIÓN ASIGNATURAS'!$P45,"")</f>
        <v/>
      </c>
      <c r="D45" s="299" t="str">
        <f>IF('ASIGNACIÓN ASIGNATURAS'!$AF45=1,'ASIGNACIÓN ASIGNATURAS'!$S45,"")</f>
        <v/>
      </c>
      <c r="E45" s="299" t="str">
        <f>IF('ASIGNACIÓN ASIGNATURAS'!$AF45=1,'ASIGNACIÓN ASIGNATURAS'!$T45,"")</f>
        <v/>
      </c>
      <c r="F45" s="299" t="str">
        <f>IF('ASIGNACIÓN ASIGNATURAS'!$AF45=1,'ASIGNACIÓN ASIGNATURAS'!$U45,"")</f>
        <v/>
      </c>
      <c r="G45" s="300" t="str">
        <f>IF(B45='PLAN DE ESTUDIO'!$XFD$41,"",+E45+F45)</f>
        <v/>
      </c>
    </row>
    <row r="46" spans="1:7" x14ac:dyDescent="0.3">
      <c r="A46" s="299" t="str">
        <f>IF('ASIGNACIÓN ASIGNATURAS'!$AF46=1,'ASIGNACIÓN ASIGNATURAS'!$M46,"")</f>
        <v/>
      </c>
      <c r="B46" s="299" t="str">
        <f>IF('ASIGNACIÓN ASIGNATURAS'!$AF46=1,'ASIGNACIÓN ASIGNATURAS'!$O46,"")</f>
        <v/>
      </c>
      <c r="C46" s="299" t="str">
        <f>IF('ASIGNACIÓN ASIGNATURAS'!$AF46=1,'ASIGNACIÓN ASIGNATURAS'!$P46,"")</f>
        <v/>
      </c>
      <c r="D46" s="299" t="str">
        <f>IF('ASIGNACIÓN ASIGNATURAS'!$AF46=1,'ASIGNACIÓN ASIGNATURAS'!$S46,"")</f>
        <v/>
      </c>
      <c r="E46" s="299" t="str">
        <f>IF('ASIGNACIÓN ASIGNATURAS'!$AF46=1,'ASIGNACIÓN ASIGNATURAS'!$T46,"")</f>
        <v/>
      </c>
      <c r="F46" s="299" t="str">
        <f>IF('ASIGNACIÓN ASIGNATURAS'!$AF46=1,'ASIGNACIÓN ASIGNATURAS'!$U46,"")</f>
        <v/>
      </c>
      <c r="G46" s="300" t="str">
        <f>IF(B46='PLAN DE ESTUDIO'!$XFD$41,"",+E46+F46)</f>
        <v/>
      </c>
    </row>
    <row r="47" spans="1:7" x14ac:dyDescent="0.3">
      <c r="A47" s="299" t="str">
        <f>IF('ASIGNACIÓN ASIGNATURAS'!$AF47=1,'ASIGNACIÓN ASIGNATURAS'!$M47,"")</f>
        <v/>
      </c>
      <c r="B47" s="299" t="str">
        <f>IF('ASIGNACIÓN ASIGNATURAS'!$AF47=1,'ASIGNACIÓN ASIGNATURAS'!$O47,"")</f>
        <v/>
      </c>
      <c r="C47" s="299" t="str">
        <f>IF('ASIGNACIÓN ASIGNATURAS'!$AF47=1,'ASIGNACIÓN ASIGNATURAS'!$P47,"")</f>
        <v/>
      </c>
      <c r="D47" s="299" t="str">
        <f>IF('ASIGNACIÓN ASIGNATURAS'!$AF47=1,'ASIGNACIÓN ASIGNATURAS'!$S47,"")</f>
        <v/>
      </c>
      <c r="E47" s="299" t="str">
        <f>IF('ASIGNACIÓN ASIGNATURAS'!$AF47=1,'ASIGNACIÓN ASIGNATURAS'!$T47,"")</f>
        <v/>
      </c>
      <c r="F47" s="299" t="str">
        <f>IF('ASIGNACIÓN ASIGNATURAS'!$AF47=1,'ASIGNACIÓN ASIGNATURAS'!$U47,"")</f>
        <v/>
      </c>
      <c r="G47" s="300" t="str">
        <f>IF(B47='PLAN DE ESTUDIO'!$XFD$41,"",+E47+F47)</f>
        <v/>
      </c>
    </row>
    <row r="48" spans="1:7" x14ac:dyDescent="0.3">
      <c r="A48" s="299" t="str">
        <f>IF('ASIGNACIÓN ASIGNATURAS'!$AF48=1,'ASIGNACIÓN ASIGNATURAS'!$M48,"")</f>
        <v/>
      </c>
      <c r="B48" s="299" t="str">
        <f>IF('ASIGNACIÓN ASIGNATURAS'!$AF48=1,'ASIGNACIÓN ASIGNATURAS'!$O48,"")</f>
        <v/>
      </c>
      <c r="C48" s="299" t="str">
        <f>IF('ASIGNACIÓN ASIGNATURAS'!$AF48=1,'ASIGNACIÓN ASIGNATURAS'!$P48,"")</f>
        <v/>
      </c>
      <c r="D48" s="299" t="str">
        <f>IF('ASIGNACIÓN ASIGNATURAS'!$AF48=1,'ASIGNACIÓN ASIGNATURAS'!$S48,"")</f>
        <v/>
      </c>
      <c r="E48" s="299" t="str">
        <f>IF('ASIGNACIÓN ASIGNATURAS'!$AF48=1,'ASIGNACIÓN ASIGNATURAS'!$T48,"")</f>
        <v/>
      </c>
      <c r="F48" s="299" t="str">
        <f>IF('ASIGNACIÓN ASIGNATURAS'!$AF48=1,'ASIGNACIÓN ASIGNATURAS'!$U48,"")</f>
        <v/>
      </c>
      <c r="G48" s="300" t="str">
        <f>IF(B48='PLAN DE ESTUDIO'!$XFD$41,"",+E48+F48)</f>
        <v/>
      </c>
    </row>
    <row r="49" spans="1:7" x14ac:dyDescent="0.3">
      <c r="A49" s="299" t="str">
        <f>IF('ASIGNACIÓN ASIGNATURAS'!$AF49=1,'ASIGNACIÓN ASIGNATURAS'!$M49,"")</f>
        <v/>
      </c>
      <c r="B49" s="299" t="str">
        <f>IF('ASIGNACIÓN ASIGNATURAS'!$AF49=1,'ASIGNACIÓN ASIGNATURAS'!$O49,"")</f>
        <v/>
      </c>
      <c r="C49" s="299" t="str">
        <f>IF('ASIGNACIÓN ASIGNATURAS'!$AF49=1,'ASIGNACIÓN ASIGNATURAS'!$P49,"")</f>
        <v/>
      </c>
      <c r="D49" s="299" t="str">
        <f>IF('ASIGNACIÓN ASIGNATURAS'!$AF49=1,'ASIGNACIÓN ASIGNATURAS'!$S49,"")</f>
        <v/>
      </c>
      <c r="E49" s="299" t="str">
        <f>IF('ASIGNACIÓN ASIGNATURAS'!$AF49=1,'ASIGNACIÓN ASIGNATURAS'!$T49,"")</f>
        <v/>
      </c>
      <c r="F49" s="299" t="str">
        <f>IF('ASIGNACIÓN ASIGNATURAS'!$AF49=1,'ASIGNACIÓN ASIGNATURAS'!$U49,"")</f>
        <v/>
      </c>
      <c r="G49" s="300" t="str">
        <f>IF(B49='PLAN DE ESTUDIO'!$XFD$41,"",+E49+F49)</f>
        <v/>
      </c>
    </row>
    <row r="50" spans="1:7" x14ac:dyDescent="0.3">
      <c r="A50" s="299" t="str">
        <f>IF('ASIGNACIÓN ASIGNATURAS'!$AF50=1,'ASIGNACIÓN ASIGNATURAS'!$M50,"")</f>
        <v/>
      </c>
      <c r="B50" s="299" t="str">
        <f>IF('ASIGNACIÓN ASIGNATURAS'!$AF50=1,'ASIGNACIÓN ASIGNATURAS'!$O50,"")</f>
        <v/>
      </c>
      <c r="C50" s="299" t="str">
        <f>IF('ASIGNACIÓN ASIGNATURAS'!$AF50=1,'ASIGNACIÓN ASIGNATURAS'!$P50,"")</f>
        <v/>
      </c>
      <c r="D50" s="299" t="str">
        <f>IF('ASIGNACIÓN ASIGNATURAS'!$AF50=1,'ASIGNACIÓN ASIGNATURAS'!$S50,"")</f>
        <v/>
      </c>
      <c r="E50" s="299" t="str">
        <f>IF('ASIGNACIÓN ASIGNATURAS'!$AF50=1,'ASIGNACIÓN ASIGNATURAS'!$T50,"")</f>
        <v/>
      </c>
      <c r="F50" s="299" t="str">
        <f>IF('ASIGNACIÓN ASIGNATURAS'!$AF50=1,'ASIGNACIÓN ASIGNATURAS'!$U50,"")</f>
        <v/>
      </c>
      <c r="G50" s="300" t="str">
        <f>IF(B50='PLAN DE ESTUDIO'!$XFD$41,"",+E50+F50)</f>
        <v/>
      </c>
    </row>
    <row r="51" spans="1:7" x14ac:dyDescent="0.3">
      <c r="A51" s="299" t="str">
        <f>IF('ASIGNACIÓN ASIGNATURAS'!$AF51=1,'ASIGNACIÓN ASIGNATURAS'!$M51,"")</f>
        <v/>
      </c>
      <c r="B51" s="299" t="str">
        <f>IF('ASIGNACIÓN ASIGNATURAS'!$AF51=1,'ASIGNACIÓN ASIGNATURAS'!$O51,"")</f>
        <v/>
      </c>
      <c r="C51" s="299" t="str">
        <f>IF('ASIGNACIÓN ASIGNATURAS'!$AF51=1,'ASIGNACIÓN ASIGNATURAS'!$P51,"")</f>
        <v/>
      </c>
      <c r="D51" s="299" t="str">
        <f>IF('ASIGNACIÓN ASIGNATURAS'!$AF51=1,'ASIGNACIÓN ASIGNATURAS'!$S51,"")</f>
        <v/>
      </c>
      <c r="E51" s="299" t="str">
        <f>IF('ASIGNACIÓN ASIGNATURAS'!$AF51=1,'ASIGNACIÓN ASIGNATURAS'!$T51,"")</f>
        <v/>
      </c>
      <c r="F51" s="299" t="str">
        <f>IF('ASIGNACIÓN ASIGNATURAS'!$AF51=1,'ASIGNACIÓN ASIGNATURAS'!$U51,"")</f>
        <v/>
      </c>
      <c r="G51" s="300" t="str">
        <f>IF(B51='PLAN DE ESTUDIO'!$XFD$41,"",+E51+F51)</f>
        <v/>
      </c>
    </row>
    <row r="52" spans="1:7" x14ac:dyDescent="0.3">
      <c r="A52" s="299" t="str">
        <f>IF('ASIGNACIÓN ASIGNATURAS'!$AF52=1,'ASIGNACIÓN ASIGNATURAS'!$M52,"")</f>
        <v/>
      </c>
      <c r="B52" s="299" t="str">
        <f>IF('ASIGNACIÓN ASIGNATURAS'!$AF52=1,'ASIGNACIÓN ASIGNATURAS'!$O52,"")</f>
        <v/>
      </c>
      <c r="C52" s="299" t="str">
        <f>IF('ASIGNACIÓN ASIGNATURAS'!$AF52=1,'ASIGNACIÓN ASIGNATURAS'!$P52,"")</f>
        <v/>
      </c>
      <c r="D52" s="299" t="str">
        <f>IF('ASIGNACIÓN ASIGNATURAS'!$AF52=1,'ASIGNACIÓN ASIGNATURAS'!$S52,"")</f>
        <v/>
      </c>
      <c r="E52" s="299" t="str">
        <f>IF('ASIGNACIÓN ASIGNATURAS'!$AF52=1,'ASIGNACIÓN ASIGNATURAS'!$T52,"")</f>
        <v/>
      </c>
      <c r="F52" s="299" t="str">
        <f>IF('ASIGNACIÓN ASIGNATURAS'!$AF52=1,'ASIGNACIÓN ASIGNATURAS'!$U52,"")</f>
        <v/>
      </c>
      <c r="G52" s="300" t="str">
        <f>IF(B52='PLAN DE ESTUDIO'!$XFD$41,"",+E52+F52)</f>
        <v/>
      </c>
    </row>
    <row r="53" spans="1:7" x14ac:dyDescent="0.3">
      <c r="A53" s="299" t="str">
        <f>IF('ASIGNACIÓN ASIGNATURAS'!$AF53=1,'ASIGNACIÓN ASIGNATURAS'!$M53,"")</f>
        <v/>
      </c>
      <c r="B53" s="299" t="str">
        <f>IF('ASIGNACIÓN ASIGNATURAS'!$AF53=1,'ASIGNACIÓN ASIGNATURAS'!$O53,"")</f>
        <v/>
      </c>
      <c r="C53" s="299" t="str">
        <f>IF('ASIGNACIÓN ASIGNATURAS'!$AF53=1,'ASIGNACIÓN ASIGNATURAS'!$P53,"")</f>
        <v/>
      </c>
      <c r="D53" s="299" t="str">
        <f>IF('ASIGNACIÓN ASIGNATURAS'!$AF53=1,'ASIGNACIÓN ASIGNATURAS'!$S53,"")</f>
        <v/>
      </c>
      <c r="E53" s="299" t="str">
        <f>IF('ASIGNACIÓN ASIGNATURAS'!$AF53=1,'ASIGNACIÓN ASIGNATURAS'!$T53,"")</f>
        <v/>
      </c>
      <c r="F53" s="299" t="str">
        <f>IF('ASIGNACIÓN ASIGNATURAS'!$AF53=1,'ASIGNACIÓN ASIGNATURAS'!$U53,"")</f>
        <v/>
      </c>
      <c r="G53" s="300" t="str">
        <f>IF(B53='PLAN DE ESTUDIO'!$XFD$41,"",+E53+F53)</f>
        <v/>
      </c>
    </row>
    <row r="54" spans="1:7" x14ac:dyDescent="0.3">
      <c r="A54" s="299" t="str">
        <f>IF('ASIGNACIÓN ASIGNATURAS'!$AF54=1,'ASIGNACIÓN ASIGNATURAS'!$M54,"")</f>
        <v/>
      </c>
      <c r="B54" s="299" t="str">
        <f>IF('ASIGNACIÓN ASIGNATURAS'!$AF54=1,'ASIGNACIÓN ASIGNATURAS'!$O54,"")</f>
        <v/>
      </c>
      <c r="C54" s="299" t="str">
        <f>IF('ASIGNACIÓN ASIGNATURAS'!$AF54=1,'ASIGNACIÓN ASIGNATURAS'!$P54,"")</f>
        <v/>
      </c>
      <c r="D54" s="299" t="str">
        <f>IF('ASIGNACIÓN ASIGNATURAS'!$AF54=1,'ASIGNACIÓN ASIGNATURAS'!$S54,"")</f>
        <v/>
      </c>
      <c r="E54" s="299" t="str">
        <f>IF('ASIGNACIÓN ASIGNATURAS'!$AF54=1,'ASIGNACIÓN ASIGNATURAS'!$T54,"")</f>
        <v/>
      </c>
      <c r="F54" s="299" t="str">
        <f>IF('ASIGNACIÓN ASIGNATURAS'!$AF54=1,'ASIGNACIÓN ASIGNATURAS'!$U54,"")</f>
        <v/>
      </c>
      <c r="G54" s="300" t="str">
        <f>IF(B54='PLAN DE ESTUDIO'!$XFD$41,"",+E54+F54)</f>
        <v/>
      </c>
    </row>
    <row r="55" spans="1:7" x14ac:dyDescent="0.3">
      <c r="A55" s="299" t="str">
        <f>IF('ASIGNACIÓN ASIGNATURAS'!$AF55=1,'ASIGNACIÓN ASIGNATURAS'!$M55,"")</f>
        <v/>
      </c>
      <c r="B55" s="299" t="str">
        <f>IF('ASIGNACIÓN ASIGNATURAS'!$AF55=1,'ASIGNACIÓN ASIGNATURAS'!$O55,"")</f>
        <v/>
      </c>
      <c r="C55" s="299" t="str">
        <f>IF('ASIGNACIÓN ASIGNATURAS'!$AF55=1,'ASIGNACIÓN ASIGNATURAS'!$P55,"")</f>
        <v/>
      </c>
      <c r="D55" s="299" t="str">
        <f>IF('ASIGNACIÓN ASIGNATURAS'!$AF55=1,'ASIGNACIÓN ASIGNATURAS'!$S55,"")</f>
        <v/>
      </c>
      <c r="E55" s="299" t="str">
        <f>IF('ASIGNACIÓN ASIGNATURAS'!$AF55=1,'ASIGNACIÓN ASIGNATURAS'!$T55,"")</f>
        <v/>
      </c>
      <c r="F55" s="299" t="str">
        <f>IF('ASIGNACIÓN ASIGNATURAS'!$AF55=1,'ASIGNACIÓN ASIGNATURAS'!$U55,"")</f>
        <v/>
      </c>
      <c r="G55" s="300" t="str">
        <f>IF(B55='PLAN DE ESTUDIO'!$XFD$41,"",+E55+F55)</f>
        <v/>
      </c>
    </row>
    <row r="56" spans="1:7" x14ac:dyDescent="0.3">
      <c r="A56" s="299" t="str">
        <f>IF('ASIGNACIÓN ASIGNATURAS'!$AF56=1,'ASIGNACIÓN ASIGNATURAS'!$M56,"")</f>
        <v/>
      </c>
      <c r="B56" s="299" t="str">
        <f>IF('ASIGNACIÓN ASIGNATURAS'!$AF56=1,'ASIGNACIÓN ASIGNATURAS'!$O56,"")</f>
        <v/>
      </c>
      <c r="C56" s="299" t="str">
        <f>IF('ASIGNACIÓN ASIGNATURAS'!$AF56=1,'ASIGNACIÓN ASIGNATURAS'!$P56,"")</f>
        <v/>
      </c>
      <c r="D56" s="299" t="str">
        <f>IF('ASIGNACIÓN ASIGNATURAS'!$AF56=1,'ASIGNACIÓN ASIGNATURAS'!$S56,"")</f>
        <v/>
      </c>
      <c r="E56" s="299" t="str">
        <f>IF('ASIGNACIÓN ASIGNATURAS'!$AF56=1,'ASIGNACIÓN ASIGNATURAS'!$T56,"")</f>
        <v/>
      </c>
      <c r="F56" s="299" t="str">
        <f>IF('ASIGNACIÓN ASIGNATURAS'!$AF56=1,'ASIGNACIÓN ASIGNATURAS'!$U56,"")</f>
        <v/>
      </c>
      <c r="G56" s="300" t="str">
        <f>IF(B56='PLAN DE ESTUDIO'!$XFD$41,"",+E56+F56)</f>
        <v/>
      </c>
    </row>
    <row r="57" spans="1:7" x14ac:dyDescent="0.3">
      <c r="A57" s="299" t="str">
        <f>IF('ASIGNACIÓN ASIGNATURAS'!$AF57=1,'ASIGNACIÓN ASIGNATURAS'!$M57,"")</f>
        <v/>
      </c>
      <c r="B57" s="299" t="str">
        <f>IF('ASIGNACIÓN ASIGNATURAS'!$AF57=1,'ASIGNACIÓN ASIGNATURAS'!$O57,"")</f>
        <v/>
      </c>
      <c r="C57" s="299" t="str">
        <f>IF('ASIGNACIÓN ASIGNATURAS'!$AF57=1,'ASIGNACIÓN ASIGNATURAS'!$P57,"")</f>
        <v/>
      </c>
      <c r="D57" s="299" t="str">
        <f>IF('ASIGNACIÓN ASIGNATURAS'!$AF57=1,'ASIGNACIÓN ASIGNATURAS'!$S57,"")</f>
        <v/>
      </c>
      <c r="E57" s="299" t="str">
        <f>IF('ASIGNACIÓN ASIGNATURAS'!$AF57=1,'ASIGNACIÓN ASIGNATURAS'!$T57,"")</f>
        <v/>
      </c>
      <c r="F57" s="299" t="str">
        <f>IF('ASIGNACIÓN ASIGNATURAS'!$AF57=1,'ASIGNACIÓN ASIGNATURAS'!$U57,"")</f>
        <v/>
      </c>
      <c r="G57" s="300" t="str">
        <f>IF(B57='PLAN DE ESTUDIO'!$XFD$41,"",+E57+F57)</f>
        <v/>
      </c>
    </row>
    <row r="58" spans="1:7" x14ac:dyDescent="0.3">
      <c r="A58" s="299" t="str">
        <f>IF('ASIGNACIÓN ASIGNATURAS'!$AF58=1,'ASIGNACIÓN ASIGNATURAS'!$M58,"")</f>
        <v/>
      </c>
      <c r="B58" s="299" t="str">
        <f>IF('ASIGNACIÓN ASIGNATURAS'!$AF58=1,'ASIGNACIÓN ASIGNATURAS'!$O58,"")</f>
        <v/>
      </c>
      <c r="C58" s="299" t="str">
        <f>IF('ASIGNACIÓN ASIGNATURAS'!$AF58=1,'ASIGNACIÓN ASIGNATURAS'!$P58,"")</f>
        <v/>
      </c>
      <c r="D58" s="299" t="str">
        <f>IF('ASIGNACIÓN ASIGNATURAS'!$AF58=1,'ASIGNACIÓN ASIGNATURAS'!$S58,"")</f>
        <v/>
      </c>
      <c r="E58" s="299" t="str">
        <f>IF('ASIGNACIÓN ASIGNATURAS'!$AF58=1,'ASIGNACIÓN ASIGNATURAS'!$T58,"")</f>
        <v/>
      </c>
      <c r="F58" s="299" t="str">
        <f>IF('ASIGNACIÓN ASIGNATURAS'!$AF58=1,'ASIGNACIÓN ASIGNATURAS'!$U58,"")</f>
        <v/>
      </c>
      <c r="G58" s="300" t="str">
        <f>IF(B58='PLAN DE ESTUDIO'!$XFD$41,"",+E58+F58)</f>
        <v/>
      </c>
    </row>
    <row r="59" spans="1:7" x14ac:dyDescent="0.3">
      <c r="A59" s="299" t="str">
        <f>IF('ASIGNACIÓN ASIGNATURAS'!$AF59=1,'ASIGNACIÓN ASIGNATURAS'!$M59,"")</f>
        <v/>
      </c>
      <c r="B59" s="299" t="str">
        <f>IF('ASIGNACIÓN ASIGNATURAS'!$AF59=1,'ASIGNACIÓN ASIGNATURAS'!$O59,"")</f>
        <v/>
      </c>
      <c r="C59" s="299" t="str">
        <f>IF('ASIGNACIÓN ASIGNATURAS'!$AF59=1,'ASIGNACIÓN ASIGNATURAS'!$P59,"")</f>
        <v/>
      </c>
      <c r="D59" s="299" t="str">
        <f>IF('ASIGNACIÓN ASIGNATURAS'!$AF59=1,'ASIGNACIÓN ASIGNATURAS'!$S59,"")</f>
        <v/>
      </c>
      <c r="E59" s="299" t="str">
        <f>IF('ASIGNACIÓN ASIGNATURAS'!$AF59=1,'ASIGNACIÓN ASIGNATURAS'!$T59,"")</f>
        <v/>
      </c>
      <c r="F59" s="299" t="str">
        <f>IF('ASIGNACIÓN ASIGNATURAS'!$AF59=1,'ASIGNACIÓN ASIGNATURAS'!$U59,"")</f>
        <v/>
      </c>
      <c r="G59" s="300" t="str">
        <f>IF(B59='PLAN DE ESTUDIO'!$XFD$41,"",+E59+F59)</f>
        <v/>
      </c>
    </row>
    <row r="60" spans="1:7" x14ac:dyDescent="0.3">
      <c r="A60" s="299" t="str">
        <f>IF('ASIGNACIÓN ASIGNATURAS'!$AF60=1,'ASIGNACIÓN ASIGNATURAS'!$M60,"")</f>
        <v/>
      </c>
      <c r="B60" s="299" t="str">
        <f>IF('ASIGNACIÓN ASIGNATURAS'!$AF60=1,'ASIGNACIÓN ASIGNATURAS'!$O60,"")</f>
        <v/>
      </c>
      <c r="C60" s="299" t="str">
        <f>IF('ASIGNACIÓN ASIGNATURAS'!$AF60=1,'ASIGNACIÓN ASIGNATURAS'!$P60,"")</f>
        <v/>
      </c>
      <c r="D60" s="299" t="str">
        <f>IF('ASIGNACIÓN ASIGNATURAS'!$AF60=1,'ASIGNACIÓN ASIGNATURAS'!$S60,"")</f>
        <v/>
      </c>
      <c r="E60" s="299" t="str">
        <f>IF('ASIGNACIÓN ASIGNATURAS'!$AF60=1,'ASIGNACIÓN ASIGNATURAS'!$T60,"")</f>
        <v/>
      </c>
      <c r="F60" s="299" t="str">
        <f>IF('ASIGNACIÓN ASIGNATURAS'!$AF60=1,'ASIGNACIÓN ASIGNATURAS'!$U60,"")</f>
        <v/>
      </c>
      <c r="G60" s="300" t="str">
        <f>IF(B60='PLAN DE ESTUDIO'!$XFD$41,"",+E60+F60)</f>
        <v/>
      </c>
    </row>
    <row r="61" spans="1:7" x14ac:dyDescent="0.3">
      <c r="A61" s="299" t="str">
        <f>IF('ASIGNACIÓN ASIGNATURAS'!$AF61=1,'ASIGNACIÓN ASIGNATURAS'!$M61,"")</f>
        <v/>
      </c>
      <c r="B61" s="299" t="str">
        <f>IF('ASIGNACIÓN ASIGNATURAS'!$AF61=1,'ASIGNACIÓN ASIGNATURAS'!$O61,"")</f>
        <v/>
      </c>
      <c r="C61" s="299" t="str">
        <f>IF('ASIGNACIÓN ASIGNATURAS'!$AF61=1,'ASIGNACIÓN ASIGNATURAS'!$P61,"")</f>
        <v/>
      </c>
      <c r="D61" s="299" t="str">
        <f>IF('ASIGNACIÓN ASIGNATURAS'!$AF61=1,'ASIGNACIÓN ASIGNATURAS'!$S61,"")</f>
        <v/>
      </c>
      <c r="E61" s="299" t="str">
        <f>IF('ASIGNACIÓN ASIGNATURAS'!$AF61=1,'ASIGNACIÓN ASIGNATURAS'!$T61,"")</f>
        <v/>
      </c>
      <c r="F61" s="299" t="str">
        <f>IF('ASIGNACIÓN ASIGNATURAS'!$AF61=1,'ASIGNACIÓN ASIGNATURAS'!$U61,"")</f>
        <v/>
      </c>
      <c r="G61" s="300" t="str">
        <f>IF(B61='PLAN DE ESTUDIO'!$XFD$41,"",+E61+F61)</f>
        <v/>
      </c>
    </row>
    <row r="62" spans="1:7" x14ac:dyDescent="0.3">
      <c r="A62" s="299" t="str">
        <f>IF('ASIGNACIÓN ASIGNATURAS'!$AF62=1,'ASIGNACIÓN ASIGNATURAS'!$M62,"")</f>
        <v/>
      </c>
      <c r="B62" s="299" t="str">
        <f>IF('ASIGNACIÓN ASIGNATURAS'!$AF62=1,'ASIGNACIÓN ASIGNATURAS'!$O62,"")</f>
        <v/>
      </c>
      <c r="C62" s="299" t="str">
        <f>IF('ASIGNACIÓN ASIGNATURAS'!$AF62=1,'ASIGNACIÓN ASIGNATURAS'!$P62,"")</f>
        <v/>
      </c>
      <c r="D62" s="299" t="str">
        <f>IF('ASIGNACIÓN ASIGNATURAS'!$AF62=1,'ASIGNACIÓN ASIGNATURAS'!$S62,"")</f>
        <v/>
      </c>
      <c r="E62" s="299" t="str">
        <f>IF('ASIGNACIÓN ASIGNATURAS'!$AF62=1,'ASIGNACIÓN ASIGNATURAS'!$T62,"")</f>
        <v/>
      </c>
      <c r="F62" s="299" t="str">
        <f>IF('ASIGNACIÓN ASIGNATURAS'!$AF62=1,'ASIGNACIÓN ASIGNATURAS'!$U62,"")</f>
        <v/>
      </c>
      <c r="G62" s="300" t="str">
        <f>IF(B62='PLAN DE ESTUDIO'!$XFD$41,"",+E62+F62)</f>
        <v/>
      </c>
    </row>
    <row r="63" spans="1:7" x14ac:dyDescent="0.3">
      <c r="A63" s="299" t="str">
        <f>IF('ASIGNACIÓN ASIGNATURAS'!$AF63=1,'ASIGNACIÓN ASIGNATURAS'!$M63,"")</f>
        <v/>
      </c>
      <c r="B63" s="299" t="str">
        <f>IF('ASIGNACIÓN ASIGNATURAS'!$AF63=1,'ASIGNACIÓN ASIGNATURAS'!$O63,"")</f>
        <v/>
      </c>
      <c r="C63" s="299" t="str">
        <f>IF('ASIGNACIÓN ASIGNATURAS'!$AF63=1,'ASIGNACIÓN ASIGNATURAS'!$P63,"")</f>
        <v/>
      </c>
      <c r="D63" s="299" t="str">
        <f>IF('ASIGNACIÓN ASIGNATURAS'!$AF63=1,'ASIGNACIÓN ASIGNATURAS'!$S63,"")</f>
        <v/>
      </c>
      <c r="E63" s="299" t="str">
        <f>IF('ASIGNACIÓN ASIGNATURAS'!$AF63=1,'ASIGNACIÓN ASIGNATURAS'!$T63,"")</f>
        <v/>
      </c>
      <c r="F63" s="299" t="str">
        <f>IF('ASIGNACIÓN ASIGNATURAS'!$AF63=1,'ASIGNACIÓN ASIGNATURAS'!$U63,"")</f>
        <v/>
      </c>
      <c r="G63" s="300" t="str">
        <f>IF(B63='PLAN DE ESTUDIO'!$XFD$41,"",+E63+F63)</f>
        <v/>
      </c>
    </row>
    <row r="64" spans="1:7" x14ac:dyDescent="0.3">
      <c r="A64" s="299" t="str">
        <f>IF('ASIGNACIÓN ASIGNATURAS'!$AF64=1,'ASIGNACIÓN ASIGNATURAS'!$M64,"")</f>
        <v/>
      </c>
      <c r="B64" s="299" t="str">
        <f>IF('ASIGNACIÓN ASIGNATURAS'!$AF64=1,'ASIGNACIÓN ASIGNATURAS'!$O64,"")</f>
        <v/>
      </c>
      <c r="C64" s="299" t="str">
        <f>IF('ASIGNACIÓN ASIGNATURAS'!$AF64=1,'ASIGNACIÓN ASIGNATURAS'!$P64,"")</f>
        <v/>
      </c>
      <c r="D64" s="299" t="str">
        <f>IF('ASIGNACIÓN ASIGNATURAS'!$AF64=1,'ASIGNACIÓN ASIGNATURAS'!$S64,"")</f>
        <v/>
      </c>
      <c r="E64" s="299" t="str">
        <f>IF('ASIGNACIÓN ASIGNATURAS'!$AF64=1,'ASIGNACIÓN ASIGNATURAS'!$T64,"")</f>
        <v/>
      </c>
      <c r="F64" s="299" t="str">
        <f>IF('ASIGNACIÓN ASIGNATURAS'!$AF64=1,'ASIGNACIÓN ASIGNATURAS'!$U64,"")</f>
        <v/>
      </c>
      <c r="G64" s="300" t="str">
        <f>IF(B64='PLAN DE ESTUDIO'!$XFD$41,"",+E64+F64)</f>
        <v/>
      </c>
    </row>
    <row r="65" spans="1:7" x14ac:dyDescent="0.3">
      <c r="A65" s="299" t="str">
        <f>IF('ASIGNACIÓN ASIGNATURAS'!$AF65=1,'ASIGNACIÓN ASIGNATURAS'!$M65,"")</f>
        <v/>
      </c>
      <c r="B65" s="299" t="str">
        <f>IF('ASIGNACIÓN ASIGNATURAS'!$AF65=1,'ASIGNACIÓN ASIGNATURAS'!$O65,"")</f>
        <v/>
      </c>
      <c r="C65" s="299" t="str">
        <f>IF('ASIGNACIÓN ASIGNATURAS'!$AF65=1,'ASIGNACIÓN ASIGNATURAS'!$P65,"")</f>
        <v/>
      </c>
      <c r="D65" s="299" t="str">
        <f>IF('ASIGNACIÓN ASIGNATURAS'!$AF65=1,'ASIGNACIÓN ASIGNATURAS'!$S65,"")</f>
        <v/>
      </c>
      <c r="E65" s="299" t="str">
        <f>IF('ASIGNACIÓN ASIGNATURAS'!$AF65=1,'ASIGNACIÓN ASIGNATURAS'!$T65,"")</f>
        <v/>
      </c>
      <c r="F65" s="299" t="str">
        <f>IF('ASIGNACIÓN ASIGNATURAS'!$AF65=1,'ASIGNACIÓN ASIGNATURAS'!$U65,"")</f>
        <v/>
      </c>
      <c r="G65" s="300" t="str">
        <f>IF(B65='PLAN DE ESTUDIO'!$XFD$41,"",+E65+F65)</f>
        <v/>
      </c>
    </row>
    <row r="66" spans="1:7" x14ac:dyDescent="0.3">
      <c r="A66" s="299" t="str">
        <f>IF('ASIGNACIÓN ASIGNATURAS'!$AF66=1,'ASIGNACIÓN ASIGNATURAS'!$M66,"")</f>
        <v/>
      </c>
      <c r="B66" s="299" t="str">
        <f>IF('ASIGNACIÓN ASIGNATURAS'!$AF66=1,'ASIGNACIÓN ASIGNATURAS'!$O66,"")</f>
        <v/>
      </c>
      <c r="C66" s="299" t="str">
        <f>IF('ASIGNACIÓN ASIGNATURAS'!$AF66=1,'ASIGNACIÓN ASIGNATURAS'!$P66,"")</f>
        <v/>
      </c>
      <c r="D66" s="299" t="str">
        <f>IF('ASIGNACIÓN ASIGNATURAS'!$AF66=1,'ASIGNACIÓN ASIGNATURAS'!$S66,"")</f>
        <v/>
      </c>
      <c r="E66" s="299" t="str">
        <f>IF('ASIGNACIÓN ASIGNATURAS'!$AF66=1,'ASIGNACIÓN ASIGNATURAS'!$T66,"")</f>
        <v/>
      </c>
      <c r="F66" s="299" t="str">
        <f>IF('ASIGNACIÓN ASIGNATURAS'!$AF66=1,'ASIGNACIÓN ASIGNATURAS'!$U66,"")</f>
        <v/>
      </c>
      <c r="G66" s="300" t="str">
        <f>IF(B66='PLAN DE ESTUDIO'!$XFD$41,"",+E66+F66)</f>
        <v/>
      </c>
    </row>
    <row r="67" spans="1:7" x14ac:dyDescent="0.3">
      <c r="A67" s="299" t="str">
        <f>IF('ASIGNACIÓN ASIGNATURAS'!$AF67=1,'ASIGNACIÓN ASIGNATURAS'!$M67,"")</f>
        <v/>
      </c>
      <c r="B67" s="299" t="str">
        <f>IF('ASIGNACIÓN ASIGNATURAS'!$AF67=1,'ASIGNACIÓN ASIGNATURAS'!$O67,"")</f>
        <v/>
      </c>
      <c r="C67" s="299" t="str">
        <f>IF('ASIGNACIÓN ASIGNATURAS'!$AF67=1,'ASIGNACIÓN ASIGNATURAS'!$P67,"")</f>
        <v/>
      </c>
      <c r="D67" s="299" t="str">
        <f>IF('ASIGNACIÓN ASIGNATURAS'!$AF67=1,'ASIGNACIÓN ASIGNATURAS'!$S67,"")</f>
        <v/>
      </c>
      <c r="E67" s="299" t="str">
        <f>IF('ASIGNACIÓN ASIGNATURAS'!$AF67=1,'ASIGNACIÓN ASIGNATURAS'!$T67,"")</f>
        <v/>
      </c>
      <c r="F67" s="299" t="str">
        <f>IF('ASIGNACIÓN ASIGNATURAS'!$AF67=1,'ASIGNACIÓN ASIGNATURAS'!$U67,"")</f>
        <v/>
      </c>
      <c r="G67" s="300" t="str">
        <f>IF(B67='PLAN DE ESTUDIO'!$XFD$41,"",+E67+F67)</f>
        <v/>
      </c>
    </row>
    <row r="68" spans="1:7" x14ac:dyDescent="0.3">
      <c r="A68" s="299" t="str">
        <f>IF('ASIGNACIÓN ASIGNATURAS'!$AF68=1,'ASIGNACIÓN ASIGNATURAS'!$M68,"")</f>
        <v/>
      </c>
      <c r="B68" s="299" t="str">
        <f>IF('ASIGNACIÓN ASIGNATURAS'!$AF68=1,'ASIGNACIÓN ASIGNATURAS'!$O68,"")</f>
        <v/>
      </c>
      <c r="C68" s="299" t="str">
        <f>IF('ASIGNACIÓN ASIGNATURAS'!$AF68=1,'ASIGNACIÓN ASIGNATURAS'!$P68,"")</f>
        <v/>
      </c>
      <c r="D68" s="299" t="str">
        <f>IF('ASIGNACIÓN ASIGNATURAS'!$AF68=1,'ASIGNACIÓN ASIGNATURAS'!$S68,"")</f>
        <v/>
      </c>
      <c r="E68" s="299" t="str">
        <f>IF('ASIGNACIÓN ASIGNATURAS'!$AF68=1,'ASIGNACIÓN ASIGNATURAS'!$T68,"")</f>
        <v/>
      </c>
      <c r="F68" s="299" t="str">
        <f>IF('ASIGNACIÓN ASIGNATURAS'!$AF68=1,'ASIGNACIÓN ASIGNATURAS'!$U68,"")</f>
        <v/>
      </c>
      <c r="G68" s="300" t="str">
        <f>IF(B68='PLAN DE ESTUDIO'!$XFD$41,"",+E68+F68)</f>
        <v/>
      </c>
    </row>
    <row r="69" spans="1:7" x14ac:dyDescent="0.3">
      <c r="A69" s="299" t="str">
        <f>IF('ASIGNACIÓN ASIGNATURAS'!$AF69=1,'ASIGNACIÓN ASIGNATURAS'!$M69,"")</f>
        <v/>
      </c>
      <c r="B69" s="299" t="str">
        <f>IF('ASIGNACIÓN ASIGNATURAS'!$AF69=1,'ASIGNACIÓN ASIGNATURAS'!$O69,"")</f>
        <v/>
      </c>
      <c r="C69" s="299" t="str">
        <f>IF('ASIGNACIÓN ASIGNATURAS'!$AF69=1,'ASIGNACIÓN ASIGNATURAS'!$P69,"")</f>
        <v/>
      </c>
      <c r="D69" s="299" t="str">
        <f>IF('ASIGNACIÓN ASIGNATURAS'!$AF69=1,'ASIGNACIÓN ASIGNATURAS'!$S69,"")</f>
        <v/>
      </c>
      <c r="E69" s="299" t="str">
        <f>IF('ASIGNACIÓN ASIGNATURAS'!$AF69=1,'ASIGNACIÓN ASIGNATURAS'!$T69,"")</f>
        <v/>
      </c>
      <c r="F69" s="299" t="str">
        <f>IF('ASIGNACIÓN ASIGNATURAS'!$AF69=1,'ASIGNACIÓN ASIGNATURAS'!$U69,"")</f>
        <v/>
      </c>
      <c r="G69" s="300" t="str">
        <f>IF(B69='PLAN DE ESTUDIO'!$XFD$41,"",+E69+F69)</f>
        <v/>
      </c>
    </row>
    <row r="70" spans="1:7" x14ac:dyDescent="0.3">
      <c r="A70" s="299" t="str">
        <f>IF('ASIGNACIÓN ASIGNATURAS'!$AF70=1,'ASIGNACIÓN ASIGNATURAS'!$M70,"")</f>
        <v/>
      </c>
      <c r="B70" s="299" t="str">
        <f>IF('ASIGNACIÓN ASIGNATURAS'!$AF70=1,'ASIGNACIÓN ASIGNATURAS'!$O70,"")</f>
        <v/>
      </c>
      <c r="C70" s="299" t="str">
        <f>IF('ASIGNACIÓN ASIGNATURAS'!$AF70=1,'ASIGNACIÓN ASIGNATURAS'!$P70,"")</f>
        <v/>
      </c>
      <c r="D70" s="299" t="str">
        <f>IF('ASIGNACIÓN ASIGNATURAS'!$AF70=1,'ASIGNACIÓN ASIGNATURAS'!$S70,"")</f>
        <v/>
      </c>
      <c r="E70" s="299" t="str">
        <f>IF('ASIGNACIÓN ASIGNATURAS'!$AF70=1,'ASIGNACIÓN ASIGNATURAS'!$T70,"")</f>
        <v/>
      </c>
      <c r="F70" s="299" t="str">
        <f>IF('ASIGNACIÓN ASIGNATURAS'!$AF70=1,'ASIGNACIÓN ASIGNATURAS'!$U70,"")</f>
        <v/>
      </c>
      <c r="G70" s="300" t="str">
        <f>IF(B70='PLAN DE ESTUDIO'!$XFD$41,"",+E70+F70)</f>
        <v/>
      </c>
    </row>
    <row r="71" spans="1:7" x14ac:dyDescent="0.3">
      <c r="A71" s="299" t="str">
        <f>IF('ASIGNACIÓN ASIGNATURAS'!$AF71=1,'ASIGNACIÓN ASIGNATURAS'!$M71,"")</f>
        <v/>
      </c>
      <c r="B71" s="299" t="str">
        <f>IF('ASIGNACIÓN ASIGNATURAS'!$AF71=1,'ASIGNACIÓN ASIGNATURAS'!$O71,"")</f>
        <v/>
      </c>
      <c r="C71" s="299" t="str">
        <f>IF('ASIGNACIÓN ASIGNATURAS'!$AF71=1,'ASIGNACIÓN ASIGNATURAS'!$P71,"")</f>
        <v/>
      </c>
      <c r="D71" s="299" t="str">
        <f>IF('ASIGNACIÓN ASIGNATURAS'!$AF71=1,'ASIGNACIÓN ASIGNATURAS'!$S71,"")</f>
        <v/>
      </c>
      <c r="E71" s="299" t="str">
        <f>IF('ASIGNACIÓN ASIGNATURAS'!$AF71=1,'ASIGNACIÓN ASIGNATURAS'!$T71,"")</f>
        <v/>
      </c>
      <c r="F71" s="299" t="str">
        <f>IF('ASIGNACIÓN ASIGNATURAS'!$AF71=1,'ASIGNACIÓN ASIGNATURAS'!$U71,"")</f>
        <v/>
      </c>
      <c r="G71" s="300" t="str">
        <f>IF(B71='PLAN DE ESTUDIO'!$XFD$41,"",+E71+F71)</f>
        <v/>
      </c>
    </row>
    <row r="72" spans="1:7" x14ac:dyDescent="0.3">
      <c r="A72" s="299" t="str">
        <f>IF('ASIGNACIÓN ASIGNATURAS'!$AF72=1,'ASIGNACIÓN ASIGNATURAS'!$M72,"")</f>
        <v/>
      </c>
      <c r="B72" s="299" t="str">
        <f>IF('ASIGNACIÓN ASIGNATURAS'!$AF72=1,'ASIGNACIÓN ASIGNATURAS'!$O72,"")</f>
        <v/>
      </c>
      <c r="C72" s="299" t="str">
        <f>IF('ASIGNACIÓN ASIGNATURAS'!$AF72=1,'ASIGNACIÓN ASIGNATURAS'!$P72,"")</f>
        <v/>
      </c>
      <c r="D72" s="299" t="str">
        <f>IF('ASIGNACIÓN ASIGNATURAS'!$AF72=1,'ASIGNACIÓN ASIGNATURAS'!$S72,"")</f>
        <v/>
      </c>
      <c r="E72" s="299" t="str">
        <f>IF('ASIGNACIÓN ASIGNATURAS'!$AF72=1,'ASIGNACIÓN ASIGNATURAS'!$T72,"")</f>
        <v/>
      </c>
      <c r="F72" s="299" t="str">
        <f>IF('ASIGNACIÓN ASIGNATURAS'!$AF72=1,'ASIGNACIÓN ASIGNATURAS'!$U72,"")</f>
        <v/>
      </c>
      <c r="G72" s="300" t="str">
        <f>IF(B72='PLAN DE ESTUDIO'!$XFD$41,"",+E72+F72)</f>
        <v/>
      </c>
    </row>
    <row r="73" spans="1:7" x14ac:dyDescent="0.3">
      <c r="A73" s="299" t="str">
        <f>IF('ASIGNACIÓN ASIGNATURAS'!$AF73=1,'ASIGNACIÓN ASIGNATURAS'!$M73,"")</f>
        <v/>
      </c>
      <c r="B73" s="299" t="str">
        <f>IF('ASIGNACIÓN ASIGNATURAS'!$AF73=1,'ASIGNACIÓN ASIGNATURAS'!$O73,"")</f>
        <v/>
      </c>
      <c r="C73" s="299" t="str">
        <f>IF('ASIGNACIÓN ASIGNATURAS'!$AF73=1,'ASIGNACIÓN ASIGNATURAS'!$P73,"")</f>
        <v/>
      </c>
      <c r="D73" s="299" t="str">
        <f>IF('ASIGNACIÓN ASIGNATURAS'!$AF73=1,'ASIGNACIÓN ASIGNATURAS'!$S73,"")</f>
        <v/>
      </c>
      <c r="E73" s="299" t="str">
        <f>IF('ASIGNACIÓN ASIGNATURAS'!$AF73=1,'ASIGNACIÓN ASIGNATURAS'!$T73,"")</f>
        <v/>
      </c>
      <c r="F73" s="299" t="str">
        <f>IF('ASIGNACIÓN ASIGNATURAS'!$AF73=1,'ASIGNACIÓN ASIGNATURAS'!$U73,"")</f>
        <v/>
      </c>
      <c r="G73" s="300" t="str">
        <f>IF(B73='PLAN DE ESTUDIO'!$XFD$41,"",+E73+F73)</f>
        <v/>
      </c>
    </row>
    <row r="74" spans="1:7" x14ac:dyDescent="0.3">
      <c r="A74" s="299" t="str">
        <f>IF('ASIGNACIÓN ASIGNATURAS'!$AF74=1,'ASIGNACIÓN ASIGNATURAS'!$M74,"")</f>
        <v/>
      </c>
      <c r="B74" s="299" t="str">
        <f>IF('ASIGNACIÓN ASIGNATURAS'!$AF74=1,'ASIGNACIÓN ASIGNATURAS'!$O74,"")</f>
        <v/>
      </c>
      <c r="C74" s="299" t="str">
        <f>IF('ASIGNACIÓN ASIGNATURAS'!$AF74=1,'ASIGNACIÓN ASIGNATURAS'!$P74,"")</f>
        <v/>
      </c>
      <c r="D74" s="299" t="str">
        <f>IF('ASIGNACIÓN ASIGNATURAS'!$AF74=1,'ASIGNACIÓN ASIGNATURAS'!$S74,"")</f>
        <v/>
      </c>
      <c r="E74" s="299" t="str">
        <f>IF('ASIGNACIÓN ASIGNATURAS'!$AF74=1,'ASIGNACIÓN ASIGNATURAS'!$T74,"")</f>
        <v/>
      </c>
      <c r="F74" s="299" t="str">
        <f>IF('ASIGNACIÓN ASIGNATURAS'!$AF74=1,'ASIGNACIÓN ASIGNATURAS'!$U74,"")</f>
        <v/>
      </c>
      <c r="G74" s="300" t="str">
        <f>IF(B74='PLAN DE ESTUDIO'!$XFD$41,"",+E74+F74)</f>
        <v/>
      </c>
    </row>
    <row r="75" spans="1:7" x14ac:dyDescent="0.3">
      <c r="A75" s="299" t="str">
        <f>IF('ASIGNACIÓN ASIGNATURAS'!$AF75=1,'ASIGNACIÓN ASIGNATURAS'!$M75,"")</f>
        <v/>
      </c>
      <c r="B75" s="299" t="str">
        <f>IF('ASIGNACIÓN ASIGNATURAS'!$AF75=1,'ASIGNACIÓN ASIGNATURAS'!$O75,"")</f>
        <v/>
      </c>
      <c r="C75" s="299" t="str">
        <f>IF('ASIGNACIÓN ASIGNATURAS'!$AF75=1,'ASIGNACIÓN ASIGNATURAS'!$P75,"")</f>
        <v/>
      </c>
      <c r="D75" s="299" t="str">
        <f>IF('ASIGNACIÓN ASIGNATURAS'!$AF75=1,'ASIGNACIÓN ASIGNATURAS'!$S75,"")</f>
        <v/>
      </c>
      <c r="E75" s="299" t="str">
        <f>IF('ASIGNACIÓN ASIGNATURAS'!$AF75=1,'ASIGNACIÓN ASIGNATURAS'!$T75,"")</f>
        <v/>
      </c>
      <c r="F75" s="299" t="str">
        <f>IF('ASIGNACIÓN ASIGNATURAS'!$AF75=1,'ASIGNACIÓN ASIGNATURAS'!$U75,"")</f>
        <v/>
      </c>
      <c r="G75" s="300" t="str">
        <f>IF(B75='PLAN DE ESTUDIO'!$XFD$41,"",+E75+F75)</f>
        <v/>
      </c>
    </row>
    <row r="76" spans="1:7" x14ac:dyDescent="0.3">
      <c r="A76" s="299" t="str">
        <f>IF('ASIGNACIÓN ASIGNATURAS'!$AF76=1,'ASIGNACIÓN ASIGNATURAS'!$M76,"")</f>
        <v/>
      </c>
      <c r="B76" s="299" t="str">
        <f>IF('ASIGNACIÓN ASIGNATURAS'!$AF76=1,'ASIGNACIÓN ASIGNATURAS'!$O76,"")</f>
        <v/>
      </c>
      <c r="C76" s="299" t="str">
        <f>IF('ASIGNACIÓN ASIGNATURAS'!$AF76=1,'ASIGNACIÓN ASIGNATURAS'!$P76,"")</f>
        <v/>
      </c>
      <c r="D76" s="299" t="str">
        <f>IF('ASIGNACIÓN ASIGNATURAS'!$AF76=1,'ASIGNACIÓN ASIGNATURAS'!$S76,"")</f>
        <v/>
      </c>
      <c r="E76" s="299" t="str">
        <f>IF('ASIGNACIÓN ASIGNATURAS'!$AF76=1,'ASIGNACIÓN ASIGNATURAS'!$T76,"")</f>
        <v/>
      </c>
      <c r="F76" s="299" t="str">
        <f>IF('ASIGNACIÓN ASIGNATURAS'!$AF76=1,'ASIGNACIÓN ASIGNATURAS'!$U76,"")</f>
        <v/>
      </c>
      <c r="G76" s="300" t="str">
        <f>IF(B76='PLAN DE ESTUDIO'!$XFD$41,"",+E76+F76)</f>
        <v/>
      </c>
    </row>
    <row r="77" spans="1:7" x14ac:dyDescent="0.3">
      <c r="A77" s="299" t="str">
        <f>IF('ASIGNACIÓN ASIGNATURAS'!$AF77=1,'ASIGNACIÓN ASIGNATURAS'!$M77,"")</f>
        <v/>
      </c>
      <c r="B77" s="299" t="str">
        <f>IF('ASIGNACIÓN ASIGNATURAS'!$AF77=1,'ASIGNACIÓN ASIGNATURAS'!$O77,"")</f>
        <v/>
      </c>
      <c r="C77" s="299" t="str">
        <f>IF('ASIGNACIÓN ASIGNATURAS'!$AF77=1,'ASIGNACIÓN ASIGNATURAS'!$P77,"")</f>
        <v/>
      </c>
      <c r="D77" s="299" t="str">
        <f>IF('ASIGNACIÓN ASIGNATURAS'!$AF77=1,'ASIGNACIÓN ASIGNATURAS'!$S77,"")</f>
        <v/>
      </c>
      <c r="E77" s="299" t="str">
        <f>IF('ASIGNACIÓN ASIGNATURAS'!$AF77=1,'ASIGNACIÓN ASIGNATURAS'!$T77,"")</f>
        <v/>
      </c>
      <c r="F77" s="299" t="str">
        <f>IF('ASIGNACIÓN ASIGNATURAS'!$AF77=1,'ASIGNACIÓN ASIGNATURAS'!$U77,"")</f>
        <v/>
      </c>
      <c r="G77" s="300" t="str">
        <f>IF(B77='PLAN DE ESTUDIO'!$XFD$41,"",+E77+F77)</f>
        <v/>
      </c>
    </row>
    <row r="78" spans="1:7" x14ac:dyDescent="0.3">
      <c r="A78" s="299" t="str">
        <f>IF('ASIGNACIÓN ASIGNATURAS'!$AF78=1,'ASIGNACIÓN ASIGNATURAS'!$M78,"")</f>
        <v/>
      </c>
      <c r="B78" s="299" t="str">
        <f>IF('ASIGNACIÓN ASIGNATURAS'!$AF78=1,'ASIGNACIÓN ASIGNATURAS'!$O78,"")</f>
        <v/>
      </c>
      <c r="C78" s="299" t="str">
        <f>IF('ASIGNACIÓN ASIGNATURAS'!$AF78=1,'ASIGNACIÓN ASIGNATURAS'!$P78,"")</f>
        <v/>
      </c>
      <c r="D78" s="299" t="str">
        <f>IF('ASIGNACIÓN ASIGNATURAS'!$AF78=1,'ASIGNACIÓN ASIGNATURAS'!$S78,"")</f>
        <v/>
      </c>
      <c r="E78" s="299" t="str">
        <f>IF('ASIGNACIÓN ASIGNATURAS'!$AF78=1,'ASIGNACIÓN ASIGNATURAS'!$T78,"")</f>
        <v/>
      </c>
      <c r="F78" s="299" t="str">
        <f>IF('ASIGNACIÓN ASIGNATURAS'!$AF78=1,'ASIGNACIÓN ASIGNATURAS'!$U78,"")</f>
        <v/>
      </c>
      <c r="G78" s="300" t="str">
        <f>IF(B78='PLAN DE ESTUDIO'!$XFD$41,"",+E78+F78)</f>
        <v/>
      </c>
    </row>
    <row r="79" spans="1:7" x14ac:dyDescent="0.3">
      <c r="A79" s="299" t="str">
        <f>IF('ASIGNACIÓN ASIGNATURAS'!$AF79=1,'ASIGNACIÓN ASIGNATURAS'!$M79,"")</f>
        <v/>
      </c>
      <c r="B79" s="299" t="str">
        <f>IF('ASIGNACIÓN ASIGNATURAS'!$AF79=1,'ASIGNACIÓN ASIGNATURAS'!$O79,"")</f>
        <v/>
      </c>
      <c r="C79" s="299" t="str">
        <f>IF('ASIGNACIÓN ASIGNATURAS'!$AF79=1,'ASIGNACIÓN ASIGNATURAS'!$P79,"")</f>
        <v/>
      </c>
      <c r="D79" s="299" t="str">
        <f>IF('ASIGNACIÓN ASIGNATURAS'!$AF79=1,'ASIGNACIÓN ASIGNATURAS'!$S79,"")</f>
        <v/>
      </c>
      <c r="E79" s="299" t="str">
        <f>IF('ASIGNACIÓN ASIGNATURAS'!$AF79=1,'ASIGNACIÓN ASIGNATURAS'!$T79,"")</f>
        <v/>
      </c>
      <c r="F79" s="299" t="str">
        <f>IF('ASIGNACIÓN ASIGNATURAS'!$AF79=1,'ASIGNACIÓN ASIGNATURAS'!$U79,"")</f>
        <v/>
      </c>
      <c r="G79" s="300" t="str">
        <f>IF(B79='PLAN DE ESTUDIO'!$XFD$41,"",+E79+F79)</f>
        <v/>
      </c>
    </row>
    <row r="80" spans="1:7" x14ac:dyDescent="0.3">
      <c r="A80" s="299" t="str">
        <f>IF('ASIGNACIÓN ASIGNATURAS'!$AF80=1,'ASIGNACIÓN ASIGNATURAS'!$M80,"")</f>
        <v/>
      </c>
      <c r="B80" s="299" t="str">
        <f>IF('ASIGNACIÓN ASIGNATURAS'!$AF80=1,'ASIGNACIÓN ASIGNATURAS'!$O80,"")</f>
        <v/>
      </c>
      <c r="C80" s="299" t="str">
        <f>IF('ASIGNACIÓN ASIGNATURAS'!$AF80=1,'ASIGNACIÓN ASIGNATURAS'!$P80,"")</f>
        <v/>
      </c>
      <c r="D80" s="299" t="str">
        <f>IF('ASIGNACIÓN ASIGNATURAS'!$AF80=1,'ASIGNACIÓN ASIGNATURAS'!$S80,"")</f>
        <v/>
      </c>
      <c r="E80" s="299" t="str">
        <f>IF('ASIGNACIÓN ASIGNATURAS'!$AF80=1,'ASIGNACIÓN ASIGNATURAS'!$T80,"")</f>
        <v/>
      </c>
      <c r="F80" s="299" t="str">
        <f>IF('ASIGNACIÓN ASIGNATURAS'!$AF80=1,'ASIGNACIÓN ASIGNATURAS'!$U80,"")</f>
        <v/>
      </c>
      <c r="G80" s="300" t="str">
        <f>IF(B80='PLAN DE ESTUDIO'!$XFD$41,"",+E80+F80)</f>
        <v/>
      </c>
    </row>
    <row r="81" spans="1:7" x14ac:dyDescent="0.3">
      <c r="A81" s="299" t="str">
        <f>IF('ASIGNACIÓN ASIGNATURAS'!$AF81=1,'ASIGNACIÓN ASIGNATURAS'!$M81,"")</f>
        <v/>
      </c>
      <c r="B81" s="299" t="str">
        <f>IF('ASIGNACIÓN ASIGNATURAS'!$AF81=1,'ASIGNACIÓN ASIGNATURAS'!$O81,"")</f>
        <v/>
      </c>
      <c r="C81" s="299" t="str">
        <f>IF('ASIGNACIÓN ASIGNATURAS'!$AF81=1,'ASIGNACIÓN ASIGNATURAS'!$P81,"")</f>
        <v/>
      </c>
      <c r="D81" s="299" t="str">
        <f>IF('ASIGNACIÓN ASIGNATURAS'!$AF81=1,'ASIGNACIÓN ASIGNATURAS'!$S81,"")</f>
        <v/>
      </c>
      <c r="E81" s="299" t="str">
        <f>IF('ASIGNACIÓN ASIGNATURAS'!$AF81=1,'ASIGNACIÓN ASIGNATURAS'!$T81,"")</f>
        <v/>
      </c>
      <c r="F81" s="299" t="str">
        <f>IF('ASIGNACIÓN ASIGNATURAS'!$AF81=1,'ASIGNACIÓN ASIGNATURAS'!$U81,"")</f>
        <v/>
      </c>
      <c r="G81" s="300" t="str">
        <f>IF(B81='PLAN DE ESTUDIO'!$XFD$41,"",+E81+F81)</f>
        <v/>
      </c>
    </row>
    <row r="82" spans="1:7" x14ac:dyDescent="0.3">
      <c r="A82" s="299" t="str">
        <f>IF('ASIGNACIÓN ASIGNATURAS'!$AF82=1,'ASIGNACIÓN ASIGNATURAS'!$M82,"")</f>
        <v/>
      </c>
      <c r="B82" s="299" t="str">
        <f>IF('ASIGNACIÓN ASIGNATURAS'!$AF82=1,'ASIGNACIÓN ASIGNATURAS'!$O82,"")</f>
        <v/>
      </c>
      <c r="C82" s="299" t="str">
        <f>IF('ASIGNACIÓN ASIGNATURAS'!$AF82=1,'ASIGNACIÓN ASIGNATURAS'!$P82,"")</f>
        <v/>
      </c>
      <c r="D82" s="299" t="str">
        <f>IF('ASIGNACIÓN ASIGNATURAS'!$AF82=1,'ASIGNACIÓN ASIGNATURAS'!$S82,"")</f>
        <v/>
      </c>
      <c r="E82" s="299" t="str">
        <f>IF('ASIGNACIÓN ASIGNATURAS'!$AF82=1,'ASIGNACIÓN ASIGNATURAS'!$T82,"")</f>
        <v/>
      </c>
      <c r="F82" s="299" t="str">
        <f>IF('ASIGNACIÓN ASIGNATURAS'!$AF82=1,'ASIGNACIÓN ASIGNATURAS'!$U82,"")</f>
        <v/>
      </c>
      <c r="G82" s="300" t="str">
        <f>IF(B82='PLAN DE ESTUDIO'!$XFD$41,"",+E82+F82)</f>
        <v/>
      </c>
    </row>
    <row r="83" spans="1:7" x14ac:dyDescent="0.3">
      <c r="A83" s="299" t="str">
        <f>IF('ASIGNACIÓN ASIGNATURAS'!$AF83=1,'ASIGNACIÓN ASIGNATURAS'!$M83,"")</f>
        <v/>
      </c>
      <c r="B83" s="299" t="str">
        <f>IF('ASIGNACIÓN ASIGNATURAS'!$AF83=1,'ASIGNACIÓN ASIGNATURAS'!$O83,"")</f>
        <v/>
      </c>
      <c r="C83" s="299" t="str">
        <f>IF('ASIGNACIÓN ASIGNATURAS'!$AF83=1,'ASIGNACIÓN ASIGNATURAS'!$P83,"")</f>
        <v/>
      </c>
      <c r="D83" s="299" t="str">
        <f>IF('ASIGNACIÓN ASIGNATURAS'!$AF83=1,'ASIGNACIÓN ASIGNATURAS'!$S83,"")</f>
        <v/>
      </c>
      <c r="E83" s="299" t="str">
        <f>IF('ASIGNACIÓN ASIGNATURAS'!$AF83=1,'ASIGNACIÓN ASIGNATURAS'!$T83,"")</f>
        <v/>
      </c>
      <c r="F83" s="299" t="str">
        <f>IF('ASIGNACIÓN ASIGNATURAS'!$AF83=1,'ASIGNACIÓN ASIGNATURAS'!$U83,"")</f>
        <v/>
      </c>
      <c r="G83" s="300" t="str">
        <f>IF(B83='PLAN DE ESTUDIO'!$XFD$41,"",+E83+F83)</f>
        <v/>
      </c>
    </row>
    <row r="84" spans="1:7" x14ac:dyDescent="0.3">
      <c r="A84" s="299" t="str">
        <f>IF('ASIGNACIÓN ASIGNATURAS'!$AF84=1,'ASIGNACIÓN ASIGNATURAS'!$M84,"")</f>
        <v/>
      </c>
      <c r="B84" s="299" t="str">
        <f>IF('ASIGNACIÓN ASIGNATURAS'!$AF84=1,'ASIGNACIÓN ASIGNATURAS'!$O84,"")</f>
        <v/>
      </c>
      <c r="C84" s="299" t="str">
        <f>IF('ASIGNACIÓN ASIGNATURAS'!$AF84=1,'ASIGNACIÓN ASIGNATURAS'!$P84,"")</f>
        <v/>
      </c>
      <c r="D84" s="299" t="str">
        <f>IF('ASIGNACIÓN ASIGNATURAS'!$AF84=1,'ASIGNACIÓN ASIGNATURAS'!$S84,"")</f>
        <v/>
      </c>
      <c r="E84" s="299" t="str">
        <f>IF('ASIGNACIÓN ASIGNATURAS'!$AF84=1,'ASIGNACIÓN ASIGNATURAS'!$T84,"")</f>
        <v/>
      </c>
      <c r="F84" s="299" t="str">
        <f>IF('ASIGNACIÓN ASIGNATURAS'!$AF84=1,'ASIGNACIÓN ASIGNATURAS'!$U84,"")</f>
        <v/>
      </c>
      <c r="G84" s="300" t="str">
        <f>IF(B84='PLAN DE ESTUDIO'!$XFD$41,"",+E84+F84)</f>
        <v/>
      </c>
    </row>
    <row r="85" spans="1:7" x14ac:dyDescent="0.3">
      <c r="A85" s="299" t="str">
        <f>IF('ASIGNACIÓN ASIGNATURAS'!$AF85=1,'ASIGNACIÓN ASIGNATURAS'!$M85,"")</f>
        <v/>
      </c>
      <c r="B85" s="299" t="str">
        <f>IF('ASIGNACIÓN ASIGNATURAS'!$AF85=1,'ASIGNACIÓN ASIGNATURAS'!$O85,"")</f>
        <v/>
      </c>
      <c r="C85" s="299" t="str">
        <f>IF('ASIGNACIÓN ASIGNATURAS'!$AF85=1,'ASIGNACIÓN ASIGNATURAS'!$P85,"")</f>
        <v/>
      </c>
      <c r="D85" s="299" t="str">
        <f>IF('ASIGNACIÓN ASIGNATURAS'!$AF85=1,'ASIGNACIÓN ASIGNATURAS'!$S85,"")</f>
        <v/>
      </c>
      <c r="E85" s="299" t="str">
        <f>IF('ASIGNACIÓN ASIGNATURAS'!$AF85=1,'ASIGNACIÓN ASIGNATURAS'!$T85,"")</f>
        <v/>
      </c>
      <c r="F85" s="299" t="str">
        <f>IF('ASIGNACIÓN ASIGNATURAS'!$AF85=1,'ASIGNACIÓN ASIGNATURAS'!$U85,"")</f>
        <v/>
      </c>
      <c r="G85" s="300" t="str">
        <f>IF(B85='PLAN DE ESTUDIO'!$XFD$41,"",+E85+F85)</f>
        <v/>
      </c>
    </row>
    <row r="86" spans="1:7" x14ac:dyDescent="0.3">
      <c r="A86" s="299" t="str">
        <f>IF('ASIGNACIÓN ASIGNATURAS'!$AF86=1,'ASIGNACIÓN ASIGNATURAS'!$M86,"")</f>
        <v/>
      </c>
      <c r="B86" s="299" t="str">
        <f>IF('ASIGNACIÓN ASIGNATURAS'!$AF86=1,'ASIGNACIÓN ASIGNATURAS'!$O86,"")</f>
        <v/>
      </c>
      <c r="C86" s="299" t="str">
        <f>IF('ASIGNACIÓN ASIGNATURAS'!$AF86=1,'ASIGNACIÓN ASIGNATURAS'!$P86,"")</f>
        <v/>
      </c>
      <c r="D86" s="299" t="str">
        <f>IF('ASIGNACIÓN ASIGNATURAS'!$AF86=1,'ASIGNACIÓN ASIGNATURAS'!$S86,"")</f>
        <v/>
      </c>
      <c r="E86" s="299" t="str">
        <f>IF('ASIGNACIÓN ASIGNATURAS'!$AF86=1,'ASIGNACIÓN ASIGNATURAS'!$T86,"")</f>
        <v/>
      </c>
      <c r="F86" s="299" t="str">
        <f>IF('ASIGNACIÓN ASIGNATURAS'!$AF86=1,'ASIGNACIÓN ASIGNATURAS'!$U86,"")</f>
        <v/>
      </c>
      <c r="G86" s="300" t="str">
        <f>IF(B86='PLAN DE ESTUDIO'!$XFD$41,"",+E86+F86)</f>
        <v/>
      </c>
    </row>
    <row r="87" spans="1:7" x14ac:dyDescent="0.3">
      <c r="A87" s="299" t="str">
        <f>IF('ASIGNACIÓN ASIGNATURAS'!$AF87=1,'ASIGNACIÓN ASIGNATURAS'!$M87,"")</f>
        <v/>
      </c>
      <c r="B87" s="299" t="str">
        <f>IF('ASIGNACIÓN ASIGNATURAS'!$AF87=1,'ASIGNACIÓN ASIGNATURAS'!$O87,"")</f>
        <v/>
      </c>
      <c r="C87" s="299" t="str">
        <f>IF('ASIGNACIÓN ASIGNATURAS'!$AF87=1,'ASIGNACIÓN ASIGNATURAS'!$P87,"")</f>
        <v/>
      </c>
      <c r="D87" s="299" t="str">
        <f>IF('ASIGNACIÓN ASIGNATURAS'!$AF87=1,'ASIGNACIÓN ASIGNATURAS'!$S87,"")</f>
        <v/>
      </c>
      <c r="E87" s="299" t="str">
        <f>IF('ASIGNACIÓN ASIGNATURAS'!$AF87=1,'ASIGNACIÓN ASIGNATURAS'!$T87,"")</f>
        <v/>
      </c>
      <c r="F87" s="299" t="str">
        <f>IF('ASIGNACIÓN ASIGNATURAS'!$AF87=1,'ASIGNACIÓN ASIGNATURAS'!$U87,"")</f>
        <v/>
      </c>
      <c r="G87" s="300" t="str">
        <f>IF(B87='PLAN DE ESTUDIO'!$XFD$41,"",+E87+F87)</f>
        <v/>
      </c>
    </row>
    <row r="88" spans="1:7" x14ac:dyDescent="0.3">
      <c r="A88" s="299" t="str">
        <f>IF('ASIGNACIÓN ASIGNATURAS'!$AF88=1,'ASIGNACIÓN ASIGNATURAS'!$M88,"")</f>
        <v/>
      </c>
      <c r="B88" s="299" t="str">
        <f>IF('ASIGNACIÓN ASIGNATURAS'!$AF88=1,'ASIGNACIÓN ASIGNATURAS'!$O88,"")</f>
        <v/>
      </c>
      <c r="C88" s="299" t="str">
        <f>IF('ASIGNACIÓN ASIGNATURAS'!$AF88=1,'ASIGNACIÓN ASIGNATURAS'!$P88,"")</f>
        <v/>
      </c>
      <c r="D88" s="299" t="str">
        <f>IF('ASIGNACIÓN ASIGNATURAS'!$AF88=1,'ASIGNACIÓN ASIGNATURAS'!$S88,"")</f>
        <v/>
      </c>
      <c r="E88" s="299" t="str">
        <f>IF('ASIGNACIÓN ASIGNATURAS'!$AF88=1,'ASIGNACIÓN ASIGNATURAS'!$T88,"")</f>
        <v/>
      </c>
      <c r="F88" s="299" t="str">
        <f>IF('ASIGNACIÓN ASIGNATURAS'!$AF88=1,'ASIGNACIÓN ASIGNATURAS'!$U88,"")</f>
        <v/>
      </c>
      <c r="G88" s="300" t="str">
        <f>IF(B88='PLAN DE ESTUDIO'!$XFD$41,"",+E88+F88)</f>
        <v/>
      </c>
    </row>
    <row r="89" spans="1:7" x14ac:dyDescent="0.3">
      <c r="A89" s="299" t="str">
        <f>IF('ASIGNACIÓN ASIGNATURAS'!$AF89=1,'ASIGNACIÓN ASIGNATURAS'!$M89,"")</f>
        <v/>
      </c>
      <c r="B89" s="299" t="str">
        <f>IF('ASIGNACIÓN ASIGNATURAS'!$AF89=1,'ASIGNACIÓN ASIGNATURAS'!$O89,"")</f>
        <v/>
      </c>
      <c r="C89" s="299" t="str">
        <f>IF('ASIGNACIÓN ASIGNATURAS'!$AF89=1,'ASIGNACIÓN ASIGNATURAS'!$P89,"")</f>
        <v/>
      </c>
      <c r="D89" s="299" t="str">
        <f>IF('ASIGNACIÓN ASIGNATURAS'!$AF89=1,'ASIGNACIÓN ASIGNATURAS'!$S89,"")</f>
        <v/>
      </c>
      <c r="E89" s="299" t="str">
        <f>IF('ASIGNACIÓN ASIGNATURAS'!$AF89=1,'ASIGNACIÓN ASIGNATURAS'!$T89,"")</f>
        <v/>
      </c>
      <c r="F89" s="299" t="str">
        <f>IF('ASIGNACIÓN ASIGNATURAS'!$AF89=1,'ASIGNACIÓN ASIGNATURAS'!$U89,"")</f>
        <v/>
      </c>
      <c r="G89" s="300" t="str">
        <f>IF(B89='PLAN DE ESTUDIO'!$XFD$41,"",+E89+F89)</f>
        <v/>
      </c>
    </row>
    <row r="90" spans="1:7" x14ac:dyDescent="0.3">
      <c r="A90" s="299" t="str">
        <f>IF('ASIGNACIÓN ASIGNATURAS'!$AF90=1,'ASIGNACIÓN ASIGNATURAS'!$M90,"")</f>
        <v/>
      </c>
      <c r="B90" s="299" t="str">
        <f>IF('ASIGNACIÓN ASIGNATURAS'!$AF90=1,'ASIGNACIÓN ASIGNATURAS'!$O90,"")</f>
        <v/>
      </c>
      <c r="C90" s="299" t="str">
        <f>IF('ASIGNACIÓN ASIGNATURAS'!$AF90=1,'ASIGNACIÓN ASIGNATURAS'!$P90,"")</f>
        <v/>
      </c>
      <c r="D90" s="299" t="str">
        <f>IF('ASIGNACIÓN ASIGNATURAS'!$AF90=1,'ASIGNACIÓN ASIGNATURAS'!$S90,"")</f>
        <v/>
      </c>
      <c r="E90" s="299" t="str">
        <f>IF('ASIGNACIÓN ASIGNATURAS'!$AF90=1,'ASIGNACIÓN ASIGNATURAS'!$T90,"")</f>
        <v/>
      </c>
      <c r="F90" s="299" t="str">
        <f>IF('ASIGNACIÓN ASIGNATURAS'!$AF90=1,'ASIGNACIÓN ASIGNATURAS'!$U90,"")</f>
        <v/>
      </c>
      <c r="G90" s="300" t="str">
        <f>IF(B90='PLAN DE ESTUDIO'!$XFD$41,"",+E90+F90)</f>
        <v/>
      </c>
    </row>
    <row r="91" spans="1:7" x14ac:dyDescent="0.3">
      <c r="A91" s="299" t="str">
        <f>IF('ASIGNACIÓN ASIGNATURAS'!$AF91=1,'ASIGNACIÓN ASIGNATURAS'!$M91,"")</f>
        <v/>
      </c>
      <c r="B91" s="299" t="str">
        <f>IF('ASIGNACIÓN ASIGNATURAS'!$AF91=1,'ASIGNACIÓN ASIGNATURAS'!$O91,"")</f>
        <v/>
      </c>
      <c r="C91" s="299" t="str">
        <f>IF('ASIGNACIÓN ASIGNATURAS'!$AF91=1,'ASIGNACIÓN ASIGNATURAS'!$P91,"")</f>
        <v/>
      </c>
      <c r="D91" s="299" t="str">
        <f>IF('ASIGNACIÓN ASIGNATURAS'!$AF91=1,'ASIGNACIÓN ASIGNATURAS'!$S91,"")</f>
        <v/>
      </c>
      <c r="E91" s="299" t="str">
        <f>IF('ASIGNACIÓN ASIGNATURAS'!$AF91=1,'ASIGNACIÓN ASIGNATURAS'!$T91,"")</f>
        <v/>
      </c>
      <c r="F91" s="299" t="str">
        <f>IF('ASIGNACIÓN ASIGNATURAS'!$AF91=1,'ASIGNACIÓN ASIGNATURAS'!$U91,"")</f>
        <v/>
      </c>
      <c r="G91" s="300" t="str">
        <f>IF(B91='PLAN DE ESTUDIO'!$XFD$41,"",+E91+F91)</f>
        <v/>
      </c>
    </row>
    <row r="92" spans="1:7" x14ac:dyDescent="0.3">
      <c r="A92" s="299" t="str">
        <f>IF('ASIGNACIÓN ASIGNATURAS'!$AF92=1,'ASIGNACIÓN ASIGNATURAS'!$M92,"")</f>
        <v/>
      </c>
      <c r="B92" s="299" t="str">
        <f>IF('ASIGNACIÓN ASIGNATURAS'!$AF92=1,'ASIGNACIÓN ASIGNATURAS'!$O92,"")</f>
        <v/>
      </c>
      <c r="C92" s="299" t="str">
        <f>IF('ASIGNACIÓN ASIGNATURAS'!$AF92=1,'ASIGNACIÓN ASIGNATURAS'!$P92,"")</f>
        <v/>
      </c>
      <c r="D92" s="299" t="str">
        <f>IF('ASIGNACIÓN ASIGNATURAS'!$AF92=1,'ASIGNACIÓN ASIGNATURAS'!$S92,"")</f>
        <v/>
      </c>
      <c r="E92" s="299" t="str">
        <f>IF('ASIGNACIÓN ASIGNATURAS'!$AF92=1,'ASIGNACIÓN ASIGNATURAS'!$T92,"")</f>
        <v/>
      </c>
      <c r="F92" s="299" t="str">
        <f>IF('ASIGNACIÓN ASIGNATURAS'!$AF92=1,'ASIGNACIÓN ASIGNATURAS'!$U92,"")</f>
        <v/>
      </c>
      <c r="G92" s="300" t="str">
        <f>IF(B92='PLAN DE ESTUDIO'!$XFD$41,"",+E92+F92)</f>
        <v/>
      </c>
    </row>
    <row r="93" spans="1:7" x14ac:dyDescent="0.3">
      <c r="A93" s="299" t="str">
        <f>IF('ASIGNACIÓN ASIGNATURAS'!$AF93=1,'ASIGNACIÓN ASIGNATURAS'!$M93,"")</f>
        <v/>
      </c>
      <c r="B93" s="299" t="str">
        <f>IF('ASIGNACIÓN ASIGNATURAS'!$AF93=1,'ASIGNACIÓN ASIGNATURAS'!$O93,"")</f>
        <v/>
      </c>
      <c r="C93" s="299" t="str">
        <f>IF('ASIGNACIÓN ASIGNATURAS'!$AF93=1,'ASIGNACIÓN ASIGNATURAS'!$P93,"")</f>
        <v/>
      </c>
      <c r="D93" s="299" t="str">
        <f>IF('ASIGNACIÓN ASIGNATURAS'!$AF93=1,'ASIGNACIÓN ASIGNATURAS'!$S93,"")</f>
        <v/>
      </c>
      <c r="E93" s="299" t="str">
        <f>IF('ASIGNACIÓN ASIGNATURAS'!$AF93=1,'ASIGNACIÓN ASIGNATURAS'!$T93,"")</f>
        <v/>
      </c>
      <c r="F93" s="299" t="str">
        <f>IF('ASIGNACIÓN ASIGNATURAS'!$AF93=1,'ASIGNACIÓN ASIGNATURAS'!$U93,"")</f>
        <v/>
      </c>
      <c r="G93" s="300" t="str">
        <f>IF(B93='PLAN DE ESTUDIO'!$XFD$41,"",+E93+F93)</f>
        <v/>
      </c>
    </row>
    <row r="94" spans="1:7" x14ac:dyDescent="0.3">
      <c r="A94" s="299" t="str">
        <f>IF('ASIGNACIÓN ASIGNATURAS'!$AF94=1,'ASIGNACIÓN ASIGNATURAS'!$M94,"")</f>
        <v/>
      </c>
      <c r="B94" s="299" t="str">
        <f>IF('ASIGNACIÓN ASIGNATURAS'!$AF94=1,'ASIGNACIÓN ASIGNATURAS'!$O94,"")</f>
        <v/>
      </c>
      <c r="C94" s="299" t="str">
        <f>IF('ASIGNACIÓN ASIGNATURAS'!$AF94=1,'ASIGNACIÓN ASIGNATURAS'!$P94,"")</f>
        <v/>
      </c>
      <c r="D94" s="299" t="str">
        <f>IF('ASIGNACIÓN ASIGNATURAS'!$AF94=1,'ASIGNACIÓN ASIGNATURAS'!$S94,"")</f>
        <v/>
      </c>
      <c r="E94" s="299" t="str">
        <f>IF('ASIGNACIÓN ASIGNATURAS'!$AF94=1,'ASIGNACIÓN ASIGNATURAS'!$T94,"")</f>
        <v/>
      </c>
      <c r="F94" s="299" t="str">
        <f>IF('ASIGNACIÓN ASIGNATURAS'!$AF94=1,'ASIGNACIÓN ASIGNATURAS'!$U94,"")</f>
        <v/>
      </c>
      <c r="G94" s="300" t="str">
        <f>IF(B94='PLAN DE ESTUDIO'!$XFD$41,"",+E94+F94)</f>
        <v/>
      </c>
    </row>
    <row r="95" spans="1:7" x14ac:dyDescent="0.3">
      <c r="A95" s="299" t="str">
        <f>IF('ASIGNACIÓN ASIGNATURAS'!$AF95=1,'ASIGNACIÓN ASIGNATURAS'!$M95,"")</f>
        <v/>
      </c>
      <c r="B95" s="299" t="str">
        <f>IF('ASIGNACIÓN ASIGNATURAS'!$AF95=1,'ASIGNACIÓN ASIGNATURAS'!$O95,"")</f>
        <v/>
      </c>
      <c r="C95" s="299" t="str">
        <f>IF('ASIGNACIÓN ASIGNATURAS'!$AF95=1,'ASIGNACIÓN ASIGNATURAS'!$P95,"")</f>
        <v/>
      </c>
      <c r="D95" s="299" t="str">
        <f>IF('ASIGNACIÓN ASIGNATURAS'!$AF95=1,'ASIGNACIÓN ASIGNATURAS'!$S95,"")</f>
        <v/>
      </c>
      <c r="E95" s="299" t="str">
        <f>IF('ASIGNACIÓN ASIGNATURAS'!$AF95=1,'ASIGNACIÓN ASIGNATURAS'!$T95,"")</f>
        <v/>
      </c>
      <c r="F95" s="299" t="str">
        <f>IF('ASIGNACIÓN ASIGNATURAS'!$AF95=1,'ASIGNACIÓN ASIGNATURAS'!$U95,"")</f>
        <v/>
      </c>
      <c r="G95" s="300" t="str">
        <f>IF(B95='PLAN DE ESTUDIO'!$XFD$41,"",+E95+F95)</f>
        <v/>
      </c>
    </row>
    <row r="96" spans="1:7" x14ac:dyDescent="0.3">
      <c r="A96" s="299" t="str">
        <f>IF('ASIGNACIÓN ASIGNATURAS'!$AF96=1,'ASIGNACIÓN ASIGNATURAS'!$M96,"")</f>
        <v/>
      </c>
      <c r="B96" s="299" t="str">
        <f>IF('ASIGNACIÓN ASIGNATURAS'!$AF96=1,'ASIGNACIÓN ASIGNATURAS'!$O96,"")</f>
        <v/>
      </c>
      <c r="C96" s="299" t="str">
        <f>IF('ASIGNACIÓN ASIGNATURAS'!$AF96=1,'ASIGNACIÓN ASIGNATURAS'!$P96,"")</f>
        <v/>
      </c>
      <c r="D96" s="299" t="str">
        <f>IF('ASIGNACIÓN ASIGNATURAS'!$AF96=1,'ASIGNACIÓN ASIGNATURAS'!$S96,"")</f>
        <v/>
      </c>
      <c r="E96" s="299" t="str">
        <f>IF('ASIGNACIÓN ASIGNATURAS'!$AF96=1,'ASIGNACIÓN ASIGNATURAS'!$T96,"")</f>
        <v/>
      </c>
      <c r="F96" s="299" t="str">
        <f>IF('ASIGNACIÓN ASIGNATURAS'!$AF96=1,'ASIGNACIÓN ASIGNATURAS'!$U96,"")</f>
        <v/>
      </c>
      <c r="G96" s="300" t="str">
        <f>IF(B96='PLAN DE ESTUDIO'!$XFD$41,"",+E96+F96)</f>
        <v/>
      </c>
    </row>
    <row r="97" spans="1:7" x14ac:dyDescent="0.3">
      <c r="A97" s="299" t="str">
        <f>IF('ASIGNACIÓN ASIGNATURAS'!$AF97=1,'ASIGNACIÓN ASIGNATURAS'!$M97,"")</f>
        <v/>
      </c>
      <c r="B97" s="299" t="str">
        <f>IF('ASIGNACIÓN ASIGNATURAS'!$AF97=1,'ASIGNACIÓN ASIGNATURAS'!$O97,"")</f>
        <v/>
      </c>
      <c r="C97" s="299" t="str">
        <f>IF('ASIGNACIÓN ASIGNATURAS'!$AF97=1,'ASIGNACIÓN ASIGNATURAS'!$P97,"")</f>
        <v/>
      </c>
      <c r="D97" s="299" t="str">
        <f>IF('ASIGNACIÓN ASIGNATURAS'!$AF97=1,'ASIGNACIÓN ASIGNATURAS'!$S97,"")</f>
        <v/>
      </c>
      <c r="E97" s="299" t="str">
        <f>IF('ASIGNACIÓN ASIGNATURAS'!$AF97=1,'ASIGNACIÓN ASIGNATURAS'!$T97,"")</f>
        <v/>
      </c>
      <c r="F97" s="299" t="str">
        <f>IF('ASIGNACIÓN ASIGNATURAS'!$AF97=1,'ASIGNACIÓN ASIGNATURAS'!$U97,"")</f>
        <v/>
      </c>
      <c r="G97" s="300" t="str">
        <f>IF(B97='PLAN DE ESTUDIO'!$XFD$41,"",+E97+F97)</f>
        <v/>
      </c>
    </row>
    <row r="98" spans="1:7" x14ac:dyDescent="0.3">
      <c r="A98" s="299" t="str">
        <f>IF('ASIGNACIÓN ASIGNATURAS'!$AF98=1,'ASIGNACIÓN ASIGNATURAS'!$M98,"")</f>
        <v/>
      </c>
      <c r="B98" s="299" t="str">
        <f>IF('ASIGNACIÓN ASIGNATURAS'!$AF98=1,'ASIGNACIÓN ASIGNATURAS'!$O98,"")</f>
        <v/>
      </c>
      <c r="C98" s="299" t="str">
        <f>IF('ASIGNACIÓN ASIGNATURAS'!$AF98=1,'ASIGNACIÓN ASIGNATURAS'!$P98,"")</f>
        <v/>
      </c>
      <c r="D98" s="299" t="str">
        <f>IF('ASIGNACIÓN ASIGNATURAS'!$AF98=1,'ASIGNACIÓN ASIGNATURAS'!$S98,"")</f>
        <v/>
      </c>
      <c r="E98" s="299" t="str">
        <f>IF('ASIGNACIÓN ASIGNATURAS'!$AF98=1,'ASIGNACIÓN ASIGNATURAS'!$T98,"")</f>
        <v/>
      </c>
      <c r="F98" s="299" t="str">
        <f>IF('ASIGNACIÓN ASIGNATURAS'!$AF98=1,'ASIGNACIÓN ASIGNATURAS'!$U98,"")</f>
        <v/>
      </c>
      <c r="G98" s="300" t="str">
        <f>IF(B98='PLAN DE ESTUDIO'!$XFD$41,"",+E98+F98)</f>
        <v/>
      </c>
    </row>
    <row r="99" spans="1:7" x14ac:dyDescent="0.3">
      <c r="A99" s="299" t="str">
        <f>IF('ASIGNACIÓN ASIGNATURAS'!$AF99=1,'ASIGNACIÓN ASIGNATURAS'!$M99,"")</f>
        <v/>
      </c>
      <c r="B99" s="299" t="str">
        <f>IF('ASIGNACIÓN ASIGNATURAS'!$AF99=1,'ASIGNACIÓN ASIGNATURAS'!$O99,"")</f>
        <v/>
      </c>
      <c r="C99" s="299" t="str">
        <f>IF('ASIGNACIÓN ASIGNATURAS'!$AF99=1,'ASIGNACIÓN ASIGNATURAS'!$P99,"")</f>
        <v/>
      </c>
      <c r="D99" s="299" t="str">
        <f>IF('ASIGNACIÓN ASIGNATURAS'!$AF99=1,'ASIGNACIÓN ASIGNATURAS'!$S99,"")</f>
        <v/>
      </c>
      <c r="E99" s="299" t="str">
        <f>IF('ASIGNACIÓN ASIGNATURAS'!$AF99=1,'ASIGNACIÓN ASIGNATURAS'!$T99,"")</f>
        <v/>
      </c>
      <c r="F99" s="299" t="str">
        <f>IF('ASIGNACIÓN ASIGNATURAS'!$AF99=1,'ASIGNACIÓN ASIGNATURAS'!$U99,"")</f>
        <v/>
      </c>
      <c r="G99" s="300" t="str">
        <f>IF(B99='PLAN DE ESTUDIO'!$XFD$41,"",+E99+F99)</f>
        <v/>
      </c>
    </row>
    <row r="100" spans="1:7" x14ac:dyDescent="0.3">
      <c r="A100" s="299" t="str">
        <f>IF('ASIGNACIÓN ASIGNATURAS'!$AF100=1,'ASIGNACIÓN ASIGNATURAS'!$M100,"")</f>
        <v/>
      </c>
      <c r="B100" s="299" t="str">
        <f>IF('ASIGNACIÓN ASIGNATURAS'!$AF100=1,'ASIGNACIÓN ASIGNATURAS'!$O100,"")</f>
        <v/>
      </c>
      <c r="C100" s="299" t="str">
        <f>IF('ASIGNACIÓN ASIGNATURAS'!$AF100=1,'ASIGNACIÓN ASIGNATURAS'!$P100,"")</f>
        <v/>
      </c>
      <c r="D100" s="299" t="str">
        <f>IF('ASIGNACIÓN ASIGNATURAS'!$AF100=1,'ASIGNACIÓN ASIGNATURAS'!$S100,"")</f>
        <v/>
      </c>
      <c r="E100" s="299" t="str">
        <f>IF('ASIGNACIÓN ASIGNATURAS'!$AF100=1,'ASIGNACIÓN ASIGNATURAS'!$T100,"")</f>
        <v/>
      </c>
      <c r="F100" s="299" t="str">
        <f>IF('ASIGNACIÓN ASIGNATURAS'!$AF100=1,'ASIGNACIÓN ASIGNATURAS'!$U100,"")</f>
        <v/>
      </c>
      <c r="G100" s="300" t="str">
        <f>IF(B100='PLAN DE ESTUDIO'!$XFD$41,"",+E100+F100)</f>
        <v/>
      </c>
    </row>
    <row r="101" spans="1:7" x14ac:dyDescent="0.3">
      <c r="A101" s="299" t="str">
        <f>IF('ASIGNACIÓN ASIGNATURAS'!$AF101=1,'ASIGNACIÓN ASIGNATURAS'!$M101,"")</f>
        <v/>
      </c>
      <c r="B101" s="299" t="str">
        <f>IF('ASIGNACIÓN ASIGNATURAS'!$AF101=1,'ASIGNACIÓN ASIGNATURAS'!$O101,"")</f>
        <v/>
      </c>
      <c r="C101" s="299" t="str">
        <f>IF('ASIGNACIÓN ASIGNATURAS'!$AF101=1,'ASIGNACIÓN ASIGNATURAS'!$P101,"")</f>
        <v/>
      </c>
      <c r="D101" s="299" t="str">
        <f>IF('ASIGNACIÓN ASIGNATURAS'!$AF101=1,'ASIGNACIÓN ASIGNATURAS'!$S101,"")</f>
        <v/>
      </c>
      <c r="E101" s="299" t="str">
        <f>IF('ASIGNACIÓN ASIGNATURAS'!$AF101=1,'ASIGNACIÓN ASIGNATURAS'!$T101,"")</f>
        <v/>
      </c>
      <c r="F101" s="299" t="str">
        <f>IF('ASIGNACIÓN ASIGNATURAS'!$AF101=1,'ASIGNACIÓN ASIGNATURAS'!$U101,"")</f>
        <v/>
      </c>
      <c r="G101" s="300" t="str">
        <f>IF(B101='PLAN DE ESTUDIO'!$XFD$41,"",+E101+F101)</f>
        <v/>
      </c>
    </row>
    <row r="102" spans="1:7" x14ac:dyDescent="0.3">
      <c r="A102" s="299" t="str">
        <f>IF('ASIGNACIÓN ASIGNATURAS'!$AF102=1,'ASIGNACIÓN ASIGNATURAS'!$M102,"")</f>
        <v/>
      </c>
      <c r="B102" s="299" t="str">
        <f>IF('ASIGNACIÓN ASIGNATURAS'!$AF102=1,'ASIGNACIÓN ASIGNATURAS'!$O102,"")</f>
        <v/>
      </c>
      <c r="C102" s="299" t="str">
        <f>IF('ASIGNACIÓN ASIGNATURAS'!$AF102=1,'ASIGNACIÓN ASIGNATURAS'!$P102,"")</f>
        <v/>
      </c>
      <c r="D102" s="299" t="str">
        <f>IF('ASIGNACIÓN ASIGNATURAS'!$AF102=1,'ASIGNACIÓN ASIGNATURAS'!$S102,"")</f>
        <v/>
      </c>
      <c r="E102" s="299" t="str">
        <f>IF('ASIGNACIÓN ASIGNATURAS'!$AF102=1,'ASIGNACIÓN ASIGNATURAS'!$T102,"")</f>
        <v/>
      </c>
      <c r="F102" s="299" t="str">
        <f>IF('ASIGNACIÓN ASIGNATURAS'!$AF102=1,'ASIGNACIÓN ASIGNATURAS'!$U102,"")</f>
        <v/>
      </c>
      <c r="G102" s="300" t="str">
        <f>IF(B102='PLAN DE ESTUDIO'!$XFD$41,"",+E102+F102)</f>
        <v/>
      </c>
    </row>
    <row r="103" spans="1:7" x14ac:dyDescent="0.3">
      <c r="A103" s="299" t="str">
        <f>IF('ASIGNACIÓN ASIGNATURAS'!$AF103=1,'ASIGNACIÓN ASIGNATURAS'!$M103,"")</f>
        <v/>
      </c>
      <c r="B103" s="299" t="str">
        <f>IF('ASIGNACIÓN ASIGNATURAS'!$AF103=1,'ASIGNACIÓN ASIGNATURAS'!$O103,"")</f>
        <v/>
      </c>
      <c r="C103" s="299" t="str">
        <f>IF('ASIGNACIÓN ASIGNATURAS'!$AF103=1,'ASIGNACIÓN ASIGNATURAS'!$P103,"")</f>
        <v/>
      </c>
      <c r="D103" s="299" t="str">
        <f>IF('ASIGNACIÓN ASIGNATURAS'!$AF103=1,'ASIGNACIÓN ASIGNATURAS'!$S103,"")</f>
        <v/>
      </c>
      <c r="E103" s="299" t="str">
        <f>IF('ASIGNACIÓN ASIGNATURAS'!$AF103=1,'ASIGNACIÓN ASIGNATURAS'!$T103,"")</f>
        <v/>
      </c>
      <c r="F103" s="299" t="str">
        <f>IF('ASIGNACIÓN ASIGNATURAS'!$AF103=1,'ASIGNACIÓN ASIGNATURAS'!$U103,"")</f>
        <v/>
      </c>
      <c r="G103" s="300" t="str">
        <f>IF(B103='PLAN DE ESTUDIO'!$XFD$41,"",+E103+F103)</f>
        <v/>
      </c>
    </row>
    <row r="104" spans="1:7" x14ac:dyDescent="0.3">
      <c r="A104" s="299" t="str">
        <f>IF('ASIGNACIÓN ASIGNATURAS'!$AF104=1,'ASIGNACIÓN ASIGNATURAS'!$M104,"")</f>
        <v/>
      </c>
      <c r="B104" s="299" t="str">
        <f>IF('ASIGNACIÓN ASIGNATURAS'!$AF104=1,'ASIGNACIÓN ASIGNATURAS'!$O104,"")</f>
        <v/>
      </c>
      <c r="C104" s="299" t="str">
        <f>IF('ASIGNACIÓN ASIGNATURAS'!$AF104=1,'ASIGNACIÓN ASIGNATURAS'!$P104,"")</f>
        <v/>
      </c>
      <c r="D104" s="299" t="str">
        <f>IF('ASIGNACIÓN ASIGNATURAS'!$AF104=1,'ASIGNACIÓN ASIGNATURAS'!$S104,"")</f>
        <v/>
      </c>
      <c r="E104" s="299" t="str">
        <f>IF('ASIGNACIÓN ASIGNATURAS'!$AF104=1,'ASIGNACIÓN ASIGNATURAS'!$T104,"")</f>
        <v/>
      </c>
      <c r="F104" s="299" t="str">
        <f>IF('ASIGNACIÓN ASIGNATURAS'!$AF104=1,'ASIGNACIÓN ASIGNATURAS'!$U104,"")</f>
        <v/>
      </c>
      <c r="G104" s="300" t="str">
        <f>IF(B104='PLAN DE ESTUDIO'!$XFD$41,"",+E104+F104)</f>
        <v/>
      </c>
    </row>
    <row r="105" spans="1:7" x14ac:dyDescent="0.3">
      <c r="A105" s="299" t="str">
        <f>IF('ASIGNACIÓN ASIGNATURAS'!$AF105=1,'ASIGNACIÓN ASIGNATURAS'!$M105,"")</f>
        <v/>
      </c>
      <c r="B105" s="299" t="str">
        <f>IF('ASIGNACIÓN ASIGNATURAS'!$AF105=1,'ASIGNACIÓN ASIGNATURAS'!$O105,"")</f>
        <v/>
      </c>
      <c r="C105" s="299" t="str">
        <f>IF('ASIGNACIÓN ASIGNATURAS'!$AF105=1,'ASIGNACIÓN ASIGNATURAS'!$P105,"")</f>
        <v/>
      </c>
      <c r="D105" s="299" t="str">
        <f>IF('ASIGNACIÓN ASIGNATURAS'!$AF105=1,'ASIGNACIÓN ASIGNATURAS'!$S105,"")</f>
        <v/>
      </c>
      <c r="E105" s="299" t="str">
        <f>IF('ASIGNACIÓN ASIGNATURAS'!$AF105=1,'ASIGNACIÓN ASIGNATURAS'!$T105,"")</f>
        <v/>
      </c>
      <c r="F105" s="299" t="str">
        <f>IF('ASIGNACIÓN ASIGNATURAS'!$AF105=1,'ASIGNACIÓN ASIGNATURAS'!$U105,"")</f>
        <v/>
      </c>
      <c r="G105" s="300" t="str">
        <f>IF(B105='PLAN DE ESTUDIO'!$XFD$41,"",+E105+F105)</f>
        <v/>
      </c>
    </row>
    <row r="106" spans="1:7" x14ac:dyDescent="0.3">
      <c r="A106" s="299" t="str">
        <f>IF('ASIGNACIÓN ASIGNATURAS'!$AF106=1,'ASIGNACIÓN ASIGNATURAS'!$M106,"")</f>
        <v/>
      </c>
      <c r="B106" s="299" t="str">
        <f>IF('ASIGNACIÓN ASIGNATURAS'!$AF106=1,'ASIGNACIÓN ASIGNATURAS'!$O106,"")</f>
        <v/>
      </c>
      <c r="C106" s="299" t="str">
        <f>IF('ASIGNACIÓN ASIGNATURAS'!$AF106=1,'ASIGNACIÓN ASIGNATURAS'!$P106,"")</f>
        <v/>
      </c>
      <c r="D106" s="299" t="str">
        <f>IF('ASIGNACIÓN ASIGNATURAS'!$AF106=1,'ASIGNACIÓN ASIGNATURAS'!$S106,"")</f>
        <v/>
      </c>
      <c r="E106" s="299" t="str">
        <f>IF('ASIGNACIÓN ASIGNATURAS'!$AF106=1,'ASIGNACIÓN ASIGNATURAS'!$T106,"")</f>
        <v/>
      </c>
      <c r="F106" s="299" t="str">
        <f>IF('ASIGNACIÓN ASIGNATURAS'!$AF106=1,'ASIGNACIÓN ASIGNATURAS'!$U106,"")</f>
        <v/>
      </c>
      <c r="G106" s="300" t="str">
        <f>IF(B106='PLAN DE ESTUDIO'!$XFD$41,"",+E106+F106)</f>
        <v/>
      </c>
    </row>
    <row r="107" spans="1:7" x14ac:dyDescent="0.3">
      <c r="A107" s="299" t="str">
        <f>IF('ASIGNACIÓN ASIGNATURAS'!$AF107=1,'ASIGNACIÓN ASIGNATURAS'!$M107,"")</f>
        <v/>
      </c>
      <c r="B107" s="299" t="str">
        <f>IF('ASIGNACIÓN ASIGNATURAS'!$AF107=1,'ASIGNACIÓN ASIGNATURAS'!$O107,"")</f>
        <v/>
      </c>
      <c r="C107" s="299" t="str">
        <f>IF('ASIGNACIÓN ASIGNATURAS'!$AF107=1,'ASIGNACIÓN ASIGNATURAS'!$P107,"")</f>
        <v/>
      </c>
      <c r="D107" s="299" t="str">
        <f>IF('ASIGNACIÓN ASIGNATURAS'!$AF107=1,'ASIGNACIÓN ASIGNATURAS'!$S107,"")</f>
        <v/>
      </c>
      <c r="E107" s="299" t="str">
        <f>IF('ASIGNACIÓN ASIGNATURAS'!$AF107=1,'ASIGNACIÓN ASIGNATURAS'!$T107,"")</f>
        <v/>
      </c>
      <c r="F107" s="299" t="str">
        <f>IF('ASIGNACIÓN ASIGNATURAS'!$AF107=1,'ASIGNACIÓN ASIGNATURAS'!$U107,"")</f>
        <v/>
      </c>
      <c r="G107" s="300" t="str">
        <f>IF(B107='PLAN DE ESTUDIO'!$XFD$41,"",+E107+F107)</f>
        <v/>
      </c>
    </row>
    <row r="108" spans="1:7" x14ac:dyDescent="0.3">
      <c r="A108" s="299" t="str">
        <f>IF('ASIGNACIÓN ASIGNATURAS'!$AF108=1,'ASIGNACIÓN ASIGNATURAS'!$M108,"")</f>
        <v/>
      </c>
      <c r="B108" s="299" t="str">
        <f>IF('ASIGNACIÓN ASIGNATURAS'!$AF108=1,'ASIGNACIÓN ASIGNATURAS'!$O108,"")</f>
        <v/>
      </c>
      <c r="C108" s="299" t="str">
        <f>IF('ASIGNACIÓN ASIGNATURAS'!$AF108=1,'ASIGNACIÓN ASIGNATURAS'!$P108,"")</f>
        <v/>
      </c>
      <c r="D108" s="299" t="str">
        <f>IF('ASIGNACIÓN ASIGNATURAS'!$AF108=1,'ASIGNACIÓN ASIGNATURAS'!$S108,"")</f>
        <v/>
      </c>
      <c r="E108" s="299" t="str">
        <f>IF('ASIGNACIÓN ASIGNATURAS'!$AF108=1,'ASIGNACIÓN ASIGNATURAS'!$T108,"")</f>
        <v/>
      </c>
      <c r="F108" s="299" t="str">
        <f>IF('ASIGNACIÓN ASIGNATURAS'!$AF108=1,'ASIGNACIÓN ASIGNATURAS'!$U108,"")</f>
        <v/>
      </c>
      <c r="G108" s="300" t="str">
        <f>IF(B108='PLAN DE ESTUDIO'!$XFD$41,"",+E108+F108)</f>
        <v/>
      </c>
    </row>
    <row r="109" spans="1:7" x14ac:dyDescent="0.3">
      <c r="A109" s="299" t="str">
        <f>IF('ASIGNACIÓN ASIGNATURAS'!$AF109=1,'ASIGNACIÓN ASIGNATURAS'!$M109,"")</f>
        <v/>
      </c>
      <c r="B109" s="299" t="str">
        <f>IF('ASIGNACIÓN ASIGNATURAS'!$AF109=1,'ASIGNACIÓN ASIGNATURAS'!$O109,"")</f>
        <v/>
      </c>
      <c r="C109" s="299" t="str">
        <f>IF('ASIGNACIÓN ASIGNATURAS'!$AF109=1,'ASIGNACIÓN ASIGNATURAS'!$P109,"")</f>
        <v/>
      </c>
      <c r="D109" s="299" t="str">
        <f>IF('ASIGNACIÓN ASIGNATURAS'!$AF109=1,'ASIGNACIÓN ASIGNATURAS'!$S109,"")</f>
        <v/>
      </c>
      <c r="E109" s="299" t="str">
        <f>IF('ASIGNACIÓN ASIGNATURAS'!$AF109=1,'ASIGNACIÓN ASIGNATURAS'!$T109,"")</f>
        <v/>
      </c>
      <c r="F109" s="299" t="str">
        <f>IF('ASIGNACIÓN ASIGNATURAS'!$AF109=1,'ASIGNACIÓN ASIGNATURAS'!$U109,"")</f>
        <v/>
      </c>
      <c r="G109" s="300" t="str">
        <f>IF(B109='PLAN DE ESTUDIO'!$XFD$41,"",+E109+F109)</f>
        <v/>
      </c>
    </row>
    <row r="110" spans="1:7" x14ac:dyDescent="0.3">
      <c r="A110" s="299" t="str">
        <f>IF('ASIGNACIÓN ASIGNATURAS'!$AF110=1,'ASIGNACIÓN ASIGNATURAS'!$M110,"")</f>
        <v/>
      </c>
      <c r="B110" s="299" t="str">
        <f>IF('ASIGNACIÓN ASIGNATURAS'!$AF110=1,'ASIGNACIÓN ASIGNATURAS'!$O110,"")</f>
        <v/>
      </c>
      <c r="C110" s="299" t="str">
        <f>IF('ASIGNACIÓN ASIGNATURAS'!$AF110=1,'ASIGNACIÓN ASIGNATURAS'!$P110,"")</f>
        <v/>
      </c>
      <c r="D110" s="299" t="str">
        <f>IF('ASIGNACIÓN ASIGNATURAS'!$AF110=1,'ASIGNACIÓN ASIGNATURAS'!$S110,"")</f>
        <v/>
      </c>
      <c r="E110" s="299" t="str">
        <f>IF('ASIGNACIÓN ASIGNATURAS'!$AF110=1,'ASIGNACIÓN ASIGNATURAS'!$T110,"")</f>
        <v/>
      </c>
      <c r="F110" s="299" t="str">
        <f>IF('ASIGNACIÓN ASIGNATURAS'!$AF110=1,'ASIGNACIÓN ASIGNATURAS'!$U110,"")</f>
        <v/>
      </c>
      <c r="G110" s="300" t="str">
        <f>IF(B110='PLAN DE ESTUDIO'!$XFD$41,"",+E110+F110)</f>
        <v/>
      </c>
    </row>
    <row r="111" spans="1:7" x14ac:dyDescent="0.3">
      <c r="A111" s="299" t="str">
        <f>IF('ASIGNACIÓN ASIGNATURAS'!$AF111=1,'ASIGNACIÓN ASIGNATURAS'!$M111,"")</f>
        <v/>
      </c>
      <c r="B111" s="299" t="str">
        <f>IF('ASIGNACIÓN ASIGNATURAS'!$AF111=1,'ASIGNACIÓN ASIGNATURAS'!$O111,"")</f>
        <v/>
      </c>
      <c r="C111" s="299" t="str">
        <f>IF('ASIGNACIÓN ASIGNATURAS'!$AF111=1,'ASIGNACIÓN ASIGNATURAS'!$P111,"")</f>
        <v/>
      </c>
      <c r="D111" s="299" t="str">
        <f>IF('ASIGNACIÓN ASIGNATURAS'!$AF111=1,'ASIGNACIÓN ASIGNATURAS'!$S111,"")</f>
        <v/>
      </c>
      <c r="E111" s="299" t="str">
        <f>IF('ASIGNACIÓN ASIGNATURAS'!$AF111=1,'ASIGNACIÓN ASIGNATURAS'!$T111,"")</f>
        <v/>
      </c>
      <c r="F111" s="299" t="str">
        <f>IF('ASIGNACIÓN ASIGNATURAS'!$AF111=1,'ASIGNACIÓN ASIGNATURAS'!$U111,"")</f>
        <v/>
      </c>
      <c r="G111" s="300" t="str">
        <f>IF(B111='PLAN DE ESTUDIO'!$XFD$41,"",+E111+F111)</f>
        <v/>
      </c>
    </row>
    <row r="112" spans="1:7" x14ac:dyDescent="0.3">
      <c r="A112" s="299" t="str">
        <f>IF('ASIGNACIÓN ASIGNATURAS'!$AF112=1,'ASIGNACIÓN ASIGNATURAS'!$M112,"")</f>
        <v/>
      </c>
      <c r="B112" s="299" t="str">
        <f>IF('ASIGNACIÓN ASIGNATURAS'!$AF112=1,'ASIGNACIÓN ASIGNATURAS'!$O112,"")</f>
        <v/>
      </c>
      <c r="C112" s="299" t="str">
        <f>IF('ASIGNACIÓN ASIGNATURAS'!$AF112=1,'ASIGNACIÓN ASIGNATURAS'!$P112,"")</f>
        <v/>
      </c>
      <c r="D112" s="299" t="str">
        <f>IF('ASIGNACIÓN ASIGNATURAS'!$AF112=1,'ASIGNACIÓN ASIGNATURAS'!$S112,"")</f>
        <v/>
      </c>
      <c r="E112" s="299" t="str">
        <f>IF('ASIGNACIÓN ASIGNATURAS'!$AF112=1,'ASIGNACIÓN ASIGNATURAS'!$T112,"")</f>
        <v/>
      </c>
      <c r="F112" s="299" t="str">
        <f>IF('ASIGNACIÓN ASIGNATURAS'!$AF112=1,'ASIGNACIÓN ASIGNATURAS'!$U112,"")</f>
        <v/>
      </c>
      <c r="G112" s="300" t="str">
        <f>IF(B112='PLAN DE ESTUDIO'!$XFD$41,"",+E112+F112)</f>
        <v/>
      </c>
    </row>
    <row r="113" spans="1:7" x14ac:dyDescent="0.3">
      <c r="A113" s="299" t="str">
        <f>IF('ASIGNACIÓN ASIGNATURAS'!$AF113=1,'ASIGNACIÓN ASIGNATURAS'!$M113,"")</f>
        <v/>
      </c>
      <c r="B113" s="299" t="str">
        <f>IF('ASIGNACIÓN ASIGNATURAS'!$AF113=1,'ASIGNACIÓN ASIGNATURAS'!$O113,"")</f>
        <v/>
      </c>
      <c r="C113" s="299" t="str">
        <f>IF('ASIGNACIÓN ASIGNATURAS'!$AF113=1,'ASIGNACIÓN ASIGNATURAS'!$P113,"")</f>
        <v/>
      </c>
      <c r="D113" s="299" t="str">
        <f>IF('ASIGNACIÓN ASIGNATURAS'!$AF113=1,'ASIGNACIÓN ASIGNATURAS'!$S113,"")</f>
        <v/>
      </c>
      <c r="E113" s="299" t="str">
        <f>IF('ASIGNACIÓN ASIGNATURAS'!$AF113=1,'ASIGNACIÓN ASIGNATURAS'!$T113,"")</f>
        <v/>
      </c>
      <c r="F113" s="299" t="str">
        <f>IF('ASIGNACIÓN ASIGNATURAS'!$AF113=1,'ASIGNACIÓN ASIGNATURAS'!$U113,"")</f>
        <v/>
      </c>
      <c r="G113" s="300" t="str">
        <f>IF(B113='PLAN DE ESTUDIO'!$XFD$41,"",+E113+F113)</f>
        <v/>
      </c>
    </row>
    <row r="114" spans="1:7" x14ac:dyDescent="0.3">
      <c r="A114" s="299" t="str">
        <f>IF('ASIGNACIÓN ASIGNATURAS'!$AF114=1,'ASIGNACIÓN ASIGNATURAS'!$M114,"")</f>
        <v/>
      </c>
      <c r="B114" s="299" t="str">
        <f>IF('ASIGNACIÓN ASIGNATURAS'!$AF114=1,'ASIGNACIÓN ASIGNATURAS'!$O114,"")</f>
        <v/>
      </c>
      <c r="C114" s="299" t="str">
        <f>IF('ASIGNACIÓN ASIGNATURAS'!$AF114=1,'ASIGNACIÓN ASIGNATURAS'!$P114,"")</f>
        <v/>
      </c>
      <c r="D114" s="299" t="str">
        <f>IF('ASIGNACIÓN ASIGNATURAS'!$AF114=1,'ASIGNACIÓN ASIGNATURAS'!$S114,"")</f>
        <v/>
      </c>
      <c r="E114" s="299" t="str">
        <f>IF('ASIGNACIÓN ASIGNATURAS'!$AF114=1,'ASIGNACIÓN ASIGNATURAS'!$T114,"")</f>
        <v/>
      </c>
      <c r="F114" s="299" t="str">
        <f>IF('ASIGNACIÓN ASIGNATURAS'!$AF114=1,'ASIGNACIÓN ASIGNATURAS'!$U114,"")</f>
        <v/>
      </c>
      <c r="G114" s="300" t="str">
        <f>IF(B114='PLAN DE ESTUDIO'!$XFD$41,"",+E114+F114)</f>
        <v/>
      </c>
    </row>
    <row r="115" spans="1:7" x14ac:dyDescent="0.3">
      <c r="A115" s="299" t="str">
        <f>IF('ASIGNACIÓN ASIGNATURAS'!$AF115=1,'ASIGNACIÓN ASIGNATURAS'!$M115,"")</f>
        <v/>
      </c>
      <c r="B115" s="299" t="str">
        <f>IF('ASIGNACIÓN ASIGNATURAS'!$AF115=1,'ASIGNACIÓN ASIGNATURAS'!$O115,"")</f>
        <v/>
      </c>
      <c r="C115" s="299" t="str">
        <f>IF('ASIGNACIÓN ASIGNATURAS'!$AF115=1,'ASIGNACIÓN ASIGNATURAS'!$P115,"")</f>
        <v/>
      </c>
      <c r="D115" s="299" t="str">
        <f>IF('ASIGNACIÓN ASIGNATURAS'!$AF115=1,'ASIGNACIÓN ASIGNATURAS'!$S115,"")</f>
        <v/>
      </c>
      <c r="E115" s="299" t="str">
        <f>IF('ASIGNACIÓN ASIGNATURAS'!$AF115=1,'ASIGNACIÓN ASIGNATURAS'!$T115,"")</f>
        <v/>
      </c>
      <c r="F115" s="299" t="str">
        <f>IF('ASIGNACIÓN ASIGNATURAS'!$AF115=1,'ASIGNACIÓN ASIGNATURAS'!$U115,"")</f>
        <v/>
      </c>
      <c r="G115" s="300" t="str">
        <f>IF(B115='PLAN DE ESTUDIO'!$XFD$41,"",+E115+F115)</f>
        <v/>
      </c>
    </row>
    <row r="116" spans="1:7" x14ac:dyDescent="0.3">
      <c r="A116" s="299" t="str">
        <f>IF('ASIGNACIÓN ASIGNATURAS'!$AF116=1,'ASIGNACIÓN ASIGNATURAS'!$M116,"")</f>
        <v/>
      </c>
      <c r="B116" s="299" t="str">
        <f>IF('ASIGNACIÓN ASIGNATURAS'!$AF116=1,'ASIGNACIÓN ASIGNATURAS'!$O116,"")</f>
        <v/>
      </c>
      <c r="C116" s="299" t="str">
        <f>IF('ASIGNACIÓN ASIGNATURAS'!$AF116=1,'ASIGNACIÓN ASIGNATURAS'!$P116,"")</f>
        <v/>
      </c>
      <c r="D116" s="299" t="str">
        <f>IF('ASIGNACIÓN ASIGNATURAS'!$AF116=1,'ASIGNACIÓN ASIGNATURAS'!$S116,"")</f>
        <v/>
      </c>
      <c r="E116" s="299" t="str">
        <f>IF('ASIGNACIÓN ASIGNATURAS'!$AF116=1,'ASIGNACIÓN ASIGNATURAS'!$T116,"")</f>
        <v/>
      </c>
      <c r="F116" s="299" t="str">
        <f>IF('ASIGNACIÓN ASIGNATURAS'!$AF116=1,'ASIGNACIÓN ASIGNATURAS'!$U116,"")</f>
        <v/>
      </c>
      <c r="G116" s="300" t="str">
        <f>IF(B116='PLAN DE ESTUDIO'!$XFD$41,"",+E116+F116)</f>
        <v/>
      </c>
    </row>
    <row r="117" spans="1:7" x14ac:dyDescent="0.3">
      <c r="A117" s="299" t="str">
        <f>IF('ASIGNACIÓN ASIGNATURAS'!$AF117=1,'ASIGNACIÓN ASIGNATURAS'!$M117,"")</f>
        <v/>
      </c>
      <c r="B117" s="299" t="str">
        <f>IF('ASIGNACIÓN ASIGNATURAS'!$AF117=1,'ASIGNACIÓN ASIGNATURAS'!$O117,"")</f>
        <v/>
      </c>
      <c r="C117" s="299" t="str">
        <f>IF('ASIGNACIÓN ASIGNATURAS'!$AF117=1,'ASIGNACIÓN ASIGNATURAS'!$P117,"")</f>
        <v/>
      </c>
      <c r="D117" s="299" t="str">
        <f>IF('ASIGNACIÓN ASIGNATURAS'!$AF117=1,'ASIGNACIÓN ASIGNATURAS'!$S117,"")</f>
        <v/>
      </c>
      <c r="E117" s="299" t="str">
        <f>IF('ASIGNACIÓN ASIGNATURAS'!$AF117=1,'ASIGNACIÓN ASIGNATURAS'!$T117,"")</f>
        <v/>
      </c>
      <c r="F117" s="299" t="str">
        <f>IF('ASIGNACIÓN ASIGNATURAS'!$AF117=1,'ASIGNACIÓN ASIGNATURAS'!$U117,"")</f>
        <v/>
      </c>
      <c r="G117" s="300" t="str">
        <f>IF(B117='PLAN DE ESTUDIO'!$XFD$41,"",+E117+F117)</f>
        <v/>
      </c>
    </row>
    <row r="118" spans="1:7" x14ac:dyDescent="0.3">
      <c r="A118" s="299" t="str">
        <f>IF('ASIGNACIÓN ASIGNATURAS'!$AF118=1,'ASIGNACIÓN ASIGNATURAS'!$M118,"")</f>
        <v/>
      </c>
      <c r="B118" s="299" t="str">
        <f>IF('ASIGNACIÓN ASIGNATURAS'!$AF118=1,'ASIGNACIÓN ASIGNATURAS'!$O118,"")</f>
        <v/>
      </c>
      <c r="C118" s="299" t="str">
        <f>IF('ASIGNACIÓN ASIGNATURAS'!$AF118=1,'ASIGNACIÓN ASIGNATURAS'!$P118,"")</f>
        <v/>
      </c>
      <c r="D118" s="299" t="str">
        <f>IF('ASIGNACIÓN ASIGNATURAS'!$AF118=1,'ASIGNACIÓN ASIGNATURAS'!$S118,"")</f>
        <v/>
      </c>
      <c r="E118" s="299" t="str">
        <f>IF('ASIGNACIÓN ASIGNATURAS'!$AF118=1,'ASIGNACIÓN ASIGNATURAS'!$T118,"")</f>
        <v/>
      </c>
      <c r="F118" s="299" t="str">
        <f>IF('ASIGNACIÓN ASIGNATURAS'!$AF118=1,'ASIGNACIÓN ASIGNATURAS'!$U118,"")</f>
        <v/>
      </c>
      <c r="G118" s="300" t="str">
        <f>IF(B118='PLAN DE ESTUDIO'!$XFD$41,"",+E118+F118)</f>
        <v/>
      </c>
    </row>
    <row r="119" spans="1:7" x14ac:dyDescent="0.3">
      <c r="A119" s="299" t="str">
        <f>IF('ASIGNACIÓN ASIGNATURAS'!$AF119=1,'ASIGNACIÓN ASIGNATURAS'!$M119,"")</f>
        <v/>
      </c>
      <c r="B119" s="299" t="str">
        <f>IF('ASIGNACIÓN ASIGNATURAS'!$AF119=1,'ASIGNACIÓN ASIGNATURAS'!$O119,"")</f>
        <v/>
      </c>
      <c r="C119" s="299" t="str">
        <f>IF('ASIGNACIÓN ASIGNATURAS'!$AF119=1,'ASIGNACIÓN ASIGNATURAS'!$P119,"")</f>
        <v/>
      </c>
      <c r="D119" s="299" t="str">
        <f>IF('ASIGNACIÓN ASIGNATURAS'!$AF119=1,'ASIGNACIÓN ASIGNATURAS'!$S119,"")</f>
        <v/>
      </c>
      <c r="E119" s="299" t="str">
        <f>IF('ASIGNACIÓN ASIGNATURAS'!$AF119=1,'ASIGNACIÓN ASIGNATURAS'!$T119,"")</f>
        <v/>
      </c>
      <c r="F119" s="299" t="str">
        <f>IF('ASIGNACIÓN ASIGNATURAS'!$AF119=1,'ASIGNACIÓN ASIGNATURAS'!$U119,"")</f>
        <v/>
      </c>
      <c r="G119" s="300" t="str">
        <f>IF(B119='PLAN DE ESTUDIO'!$XFD$41,"",+E119+F119)</f>
        <v/>
      </c>
    </row>
    <row r="120" spans="1:7" x14ac:dyDescent="0.3">
      <c r="A120" s="299" t="str">
        <f>IF('ASIGNACIÓN ASIGNATURAS'!$AF120=1,'ASIGNACIÓN ASIGNATURAS'!$M120,"")</f>
        <v/>
      </c>
      <c r="B120" s="299" t="str">
        <f>IF('ASIGNACIÓN ASIGNATURAS'!$AF120=1,'ASIGNACIÓN ASIGNATURAS'!$O120,"")</f>
        <v/>
      </c>
      <c r="C120" s="299" t="str">
        <f>IF('ASIGNACIÓN ASIGNATURAS'!$AF120=1,'ASIGNACIÓN ASIGNATURAS'!$P120,"")</f>
        <v/>
      </c>
      <c r="D120" s="299" t="str">
        <f>IF('ASIGNACIÓN ASIGNATURAS'!$AF120=1,'ASIGNACIÓN ASIGNATURAS'!$S120,"")</f>
        <v/>
      </c>
      <c r="E120" s="299" t="str">
        <f>IF('ASIGNACIÓN ASIGNATURAS'!$AF120=1,'ASIGNACIÓN ASIGNATURAS'!$T120,"")</f>
        <v/>
      </c>
      <c r="F120" s="299" t="str">
        <f>IF('ASIGNACIÓN ASIGNATURAS'!$AF120=1,'ASIGNACIÓN ASIGNATURAS'!$U120,"")</f>
        <v/>
      </c>
      <c r="G120" s="300" t="str">
        <f>IF(B120='PLAN DE ESTUDIO'!$XFD$41,"",+E120+F120)</f>
        <v/>
      </c>
    </row>
    <row r="121" spans="1:7" x14ac:dyDescent="0.3">
      <c r="A121" s="299" t="str">
        <f>IF('ASIGNACIÓN ASIGNATURAS'!$AF121=1,'ASIGNACIÓN ASIGNATURAS'!$M121,"")</f>
        <v/>
      </c>
      <c r="B121" s="299" t="str">
        <f>IF('ASIGNACIÓN ASIGNATURAS'!$AF121=1,'ASIGNACIÓN ASIGNATURAS'!$O121,"")</f>
        <v/>
      </c>
      <c r="C121" s="299" t="str">
        <f>IF('ASIGNACIÓN ASIGNATURAS'!$AF121=1,'ASIGNACIÓN ASIGNATURAS'!$P121,"")</f>
        <v/>
      </c>
      <c r="D121" s="299" t="str">
        <f>IF('ASIGNACIÓN ASIGNATURAS'!$AF121=1,'ASIGNACIÓN ASIGNATURAS'!$S121,"")</f>
        <v/>
      </c>
      <c r="E121" s="299" t="str">
        <f>IF('ASIGNACIÓN ASIGNATURAS'!$AF121=1,'ASIGNACIÓN ASIGNATURAS'!$T121,"")</f>
        <v/>
      </c>
      <c r="F121" s="299" t="str">
        <f>IF('ASIGNACIÓN ASIGNATURAS'!$AF121=1,'ASIGNACIÓN ASIGNATURAS'!$U121,"")</f>
        <v/>
      </c>
      <c r="G121" s="300" t="str">
        <f>IF(B121='PLAN DE ESTUDIO'!$XFD$41,"",+E121+F121)</f>
        <v/>
      </c>
    </row>
    <row r="122" spans="1:7" x14ac:dyDescent="0.3">
      <c r="A122" s="299" t="str">
        <f>IF('ASIGNACIÓN ASIGNATURAS'!$AF122=1,'ASIGNACIÓN ASIGNATURAS'!$M122,"")</f>
        <v/>
      </c>
      <c r="B122" s="299" t="str">
        <f>IF('ASIGNACIÓN ASIGNATURAS'!$AF122=1,'ASIGNACIÓN ASIGNATURAS'!$O122,"")</f>
        <v/>
      </c>
      <c r="C122" s="299" t="str">
        <f>IF('ASIGNACIÓN ASIGNATURAS'!$AF122=1,'ASIGNACIÓN ASIGNATURAS'!$P122,"")</f>
        <v/>
      </c>
      <c r="D122" s="299" t="str">
        <f>IF('ASIGNACIÓN ASIGNATURAS'!$AF122=1,'ASIGNACIÓN ASIGNATURAS'!$S122,"")</f>
        <v/>
      </c>
      <c r="E122" s="299" t="str">
        <f>IF('ASIGNACIÓN ASIGNATURAS'!$AF122=1,'ASIGNACIÓN ASIGNATURAS'!$T122,"")</f>
        <v/>
      </c>
      <c r="F122" s="299" t="str">
        <f>IF('ASIGNACIÓN ASIGNATURAS'!$AF122=1,'ASIGNACIÓN ASIGNATURAS'!$U122,"")</f>
        <v/>
      </c>
      <c r="G122" s="300" t="str">
        <f>IF(B122='PLAN DE ESTUDIO'!$XFD$41,"",+E122+F122)</f>
        <v/>
      </c>
    </row>
    <row r="123" spans="1:7" x14ac:dyDescent="0.3">
      <c r="A123" s="299" t="str">
        <f>IF('ASIGNACIÓN ASIGNATURAS'!$AF123=1,'ASIGNACIÓN ASIGNATURAS'!$M123,"")</f>
        <v/>
      </c>
      <c r="B123" s="299" t="str">
        <f>IF('ASIGNACIÓN ASIGNATURAS'!$AF123=1,'ASIGNACIÓN ASIGNATURAS'!$O123,"")</f>
        <v/>
      </c>
      <c r="C123" s="299" t="str">
        <f>IF('ASIGNACIÓN ASIGNATURAS'!$AF123=1,'ASIGNACIÓN ASIGNATURAS'!$P123,"")</f>
        <v/>
      </c>
      <c r="D123" s="299" t="str">
        <f>IF('ASIGNACIÓN ASIGNATURAS'!$AF123=1,'ASIGNACIÓN ASIGNATURAS'!$S123,"")</f>
        <v/>
      </c>
      <c r="E123" s="299" t="str">
        <f>IF('ASIGNACIÓN ASIGNATURAS'!$AF123=1,'ASIGNACIÓN ASIGNATURAS'!$T123,"")</f>
        <v/>
      </c>
      <c r="F123" s="299" t="str">
        <f>IF('ASIGNACIÓN ASIGNATURAS'!$AF123=1,'ASIGNACIÓN ASIGNATURAS'!$U123,"")</f>
        <v/>
      </c>
      <c r="G123" s="300" t="str">
        <f>IF(B123='PLAN DE ESTUDIO'!$XFD$41,"",+E123+F123)</f>
        <v/>
      </c>
    </row>
    <row r="124" spans="1:7" x14ac:dyDescent="0.3">
      <c r="A124" s="299" t="str">
        <f>IF('ASIGNACIÓN ASIGNATURAS'!$AF124=1,'ASIGNACIÓN ASIGNATURAS'!$M124,"")</f>
        <v/>
      </c>
      <c r="B124" s="299" t="str">
        <f>IF('ASIGNACIÓN ASIGNATURAS'!$AF124=1,'ASIGNACIÓN ASIGNATURAS'!$O124,"")</f>
        <v/>
      </c>
      <c r="C124" s="299" t="str">
        <f>IF('ASIGNACIÓN ASIGNATURAS'!$AF124=1,'ASIGNACIÓN ASIGNATURAS'!$P124,"")</f>
        <v/>
      </c>
      <c r="D124" s="299" t="str">
        <f>IF('ASIGNACIÓN ASIGNATURAS'!$AF124=1,'ASIGNACIÓN ASIGNATURAS'!$S124,"")</f>
        <v/>
      </c>
      <c r="E124" s="299" t="str">
        <f>IF('ASIGNACIÓN ASIGNATURAS'!$AF124=1,'ASIGNACIÓN ASIGNATURAS'!$T124,"")</f>
        <v/>
      </c>
      <c r="F124" s="299" t="str">
        <f>IF('ASIGNACIÓN ASIGNATURAS'!$AF124=1,'ASIGNACIÓN ASIGNATURAS'!$U124,"")</f>
        <v/>
      </c>
      <c r="G124" s="300" t="str">
        <f>IF(B124='PLAN DE ESTUDIO'!$XFD$41,"",+E124+F124)</f>
        <v/>
      </c>
    </row>
    <row r="125" spans="1:7" x14ac:dyDescent="0.3">
      <c r="A125" s="299" t="str">
        <f>IF('ASIGNACIÓN ASIGNATURAS'!$AF125=1,'ASIGNACIÓN ASIGNATURAS'!$M125,"")</f>
        <v/>
      </c>
      <c r="B125" s="299" t="str">
        <f>IF('ASIGNACIÓN ASIGNATURAS'!$AF125=1,'ASIGNACIÓN ASIGNATURAS'!$O125,"")</f>
        <v/>
      </c>
      <c r="C125" s="299" t="str">
        <f>IF('ASIGNACIÓN ASIGNATURAS'!$AF125=1,'ASIGNACIÓN ASIGNATURAS'!$P125,"")</f>
        <v/>
      </c>
      <c r="D125" s="299" t="str">
        <f>IF('ASIGNACIÓN ASIGNATURAS'!$AF125=1,'ASIGNACIÓN ASIGNATURAS'!$S125,"")</f>
        <v/>
      </c>
      <c r="E125" s="299" t="str">
        <f>IF('ASIGNACIÓN ASIGNATURAS'!$AF125=1,'ASIGNACIÓN ASIGNATURAS'!$T125,"")</f>
        <v/>
      </c>
      <c r="F125" s="299" t="str">
        <f>IF('ASIGNACIÓN ASIGNATURAS'!$AF125=1,'ASIGNACIÓN ASIGNATURAS'!$U125,"")</f>
        <v/>
      </c>
      <c r="G125" s="300" t="str">
        <f>IF(B125='PLAN DE ESTUDIO'!$XFD$41,"",+E125+F125)</f>
        <v/>
      </c>
    </row>
    <row r="126" spans="1:7" x14ac:dyDescent="0.3">
      <c r="A126" s="299" t="str">
        <f>IF('ASIGNACIÓN ASIGNATURAS'!$AF126=1,'ASIGNACIÓN ASIGNATURAS'!$M126,"")</f>
        <v/>
      </c>
      <c r="B126" s="299" t="str">
        <f>IF('ASIGNACIÓN ASIGNATURAS'!$AF126=1,'ASIGNACIÓN ASIGNATURAS'!$O126,"")</f>
        <v/>
      </c>
      <c r="C126" s="299" t="str">
        <f>IF('ASIGNACIÓN ASIGNATURAS'!$AF126=1,'ASIGNACIÓN ASIGNATURAS'!$P126,"")</f>
        <v/>
      </c>
      <c r="D126" s="299" t="str">
        <f>IF('ASIGNACIÓN ASIGNATURAS'!$AF126=1,'ASIGNACIÓN ASIGNATURAS'!$S126,"")</f>
        <v/>
      </c>
      <c r="E126" s="299" t="str">
        <f>IF('ASIGNACIÓN ASIGNATURAS'!$AF126=1,'ASIGNACIÓN ASIGNATURAS'!$T126,"")</f>
        <v/>
      </c>
      <c r="F126" s="299" t="str">
        <f>IF('ASIGNACIÓN ASIGNATURAS'!$AF126=1,'ASIGNACIÓN ASIGNATURAS'!$U126,"")</f>
        <v/>
      </c>
      <c r="G126" s="300" t="str">
        <f>IF(B126='PLAN DE ESTUDIO'!$XFD$41,"",+E126+F126)</f>
        <v/>
      </c>
    </row>
    <row r="127" spans="1:7" x14ac:dyDescent="0.3">
      <c r="A127" s="299" t="str">
        <f>IF('ASIGNACIÓN ASIGNATURAS'!$AF127=1,'ASIGNACIÓN ASIGNATURAS'!$M127,"")</f>
        <v/>
      </c>
      <c r="B127" s="299" t="str">
        <f>IF('ASIGNACIÓN ASIGNATURAS'!$AF127=1,'ASIGNACIÓN ASIGNATURAS'!$O127,"")</f>
        <v/>
      </c>
      <c r="C127" s="299" t="str">
        <f>IF('ASIGNACIÓN ASIGNATURAS'!$AF127=1,'ASIGNACIÓN ASIGNATURAS'!$P127,"")</f>
        <v/>
      </c>
      <c r="D127" s="299" t="str">
        <f>IF('ASIGNACIÓN ASIGNATURAS'!$AF127=1,'ASIGNACIÓN ASIGNATURAS'!$S127,"")</f>
        <v/>
      </c>
      <c r="E127" s="299" t="str">
        <f>IF('ASIGNACIÓN ASIGNATURAS'!$AF127=1,'ASIGNACIÓN ASIGNATURAS'!$T127,"")</f>
        <v/>
      </c>
      <c r="F127" s="299" t="str">
        <f>IF('ASIGNACIÓN ASIGNATURAS'!$AF127=1,'ASIGNACIÓN ASIGNATURAS'!$U127,"")</f>
        <v/>
      </c>
      <c r="G127" s="300" t="str">
        <f>IF(B127='PLAN DE ESTUDIO'!$XFD$41,"",+E127+F127)</f>
        <v/>
      </c>
    </row>
    <row r="128" spans="1:7" x14ac:dyDescent="0.3">
      <c r="A128" s="299" t="str">
        <f>IF('ASIGNACIÓN ASIGNATURAS'!$AF128=1,'ASIGNACIÓN ASIGNATURAS'!$M128,"")</f>
        <v/>
      </c>
      <c r="B128" s="299" t="str">
        <f>IF('ASIGNACIÓN ASIGNATURAS'!$AF128=1,'ASIGNACIÓN ASIGNATURAS'!$O128,"")</f>
        <v/>
      </c>
      <c r="C128" s="299" t="str">
        <f>IF('ASIGNACIÓN ASIGNATURAS'!$AF128=1,'ASIGNACIÓN ASIGNATURAS'!$P128,"")</f>
        <v/>
      </c>
      <c r="D128" s="299" t="str">
        <f>IF('ASIGNACIÓN ASIGNATURAS'!$AF128=1,'ASIGNACIÓN ASIGNATURAS'!$S128,"")</f>
        <v/>
      </c>
      <c r="E128" s="299" t="str">
        <f>IF('ASIGNACIÓN ASIGNATURAS'!$AF128=1,'ASIGNACIÓN ASIGNATURAS'!$T128,"")</f>
        <v/>
      </c>
      <c r="F128" s="299" t="str">
        <f>IF('ASIGNACIÓN ASIGNATURAS'!$AF128=1,'ASIGNACIÓN ASIGNATURAS'!$U128,"")</f>
        <v/>
      </c>
      <c r="G128" s="300" t="str">
        <f>IF(B128='PLAN DE ESTUDIO'!$XFD$41,"",+E128+F128)</f>
        <v/>
      </c>
    </row>
    <row r="129" spans="1:7" x14ac:dyDescent="0.3">
      <c r="A129" s="299" t="str">
        <f>IF('ASIGNACIÓN ASIGNATURAS'!$AF129=1,'ASIGNACIÓN ASIGNATURAS'!$M129,"")</f>
        <v/>
      </c>
      <c r="B129" s="299" t="str">
        <f>IF('ASIGNACIÓN ASIGNATURAS'!$AF129=1,'ASIGNACIÓN ASIGNATURAS'!$O129,"")</f>
        <v/>
      </c>
      <c r="C129" s="299" t="str">
        <f>IF('ASIGNACIÓN ASIGNATURAS'!$AF129=1,'ASIGNACIÓN ASIGNATURAS'!$P129,"")</f>
        <v/>
      </c>
      <c r="D129" s="299" t="str">
        <f>IF('ASIGNACIÓN ASIGNATURAS'!$AF129=1,'ASIGNACIÓN ASIGNATURAS'!$S129,"")</f>
        <v/>
      </c>
      <c r="E129" s="299" t="str">
        <f>IF('ASIGNACIÓN ASIGNATURAS'!$AF129=1,'ASIGNACIÓN ASIGNATURAS'!$T129,"")</f>
        <v/>
      </c>
      <c r="F129" s="299" t="str">
        <f>IF('ASIGNACIÓN ASIGNATURAS'!$AF129=1,'ASIGNACIÓN ASIGNATURAS'!$U129,"")</f>
        <v/>
      </c>
      <c r="G129" s="300" t="str">
        <f>IF(B129='PLAN DE ESTUDIO'!$XFD$41,"",+E129+F129)</f>
        <v/>
      </c>
    </row>
    <row r="130" spans="1:7" x14ac:dyDescent="0.3">
      <c r="A130" s="299" t="str">
        <f>IF('ASIGNACIÓN ASIGNATURAS'!$AF130=1,'ASIGNACIÓN ASIGNATURAS'!$M130,"")</f>
        <v/>
      </c>
      <c r="B130" s="299" t="str">
        <f>IF('ASIGNACIÓN ASIGNATURAS'!$AF130=1,'ASIGNACIÓN ASIGNATURAS'!$O130,"")</f>
        <v/>
      </c>
      <c r="C130" s="299" t="str">
        <f>IF('ASIGNACIÓN ASIGNATURAS'!$AF130=1,'ASIGNACIÓN ASIGNATURAS'!$P130,"")</f>
        <v/>
      </c>
      <c r="D130" s="299" t="str">
        <f>IF('ASIGNACIÓN ASIGNATURAS'!$AF130=1,'ASIGNACIÓN ASIGNATURAS'!$S130,"")</f>
        <v/>
      </c>
      <c r="E130" s="299" t="str">
        <f>IF('ASIGNACIÓN ASIGNATURAS'!$AF130=1,'ASIGNACIÓN ASIGNATURAS'!$T130,"")</f>
        <v/>
      </c>
      <c r="F130" s="299" t="str">
        <f>IF('ASIGNACIÓN ASIGNATURAS'!$AF130=1,'ASIGNACIÓN ASIGNATURAS'!$U130,"")</f>
        <v/>
      </c>
      <c r="G130" s="300" t="str">
        <f>IF(B130='PLAN DE ESTUDIO'!$XFD$41,"",+E130+F130)</f>
        <v/>
      </c>
    </row>
    <row r="131" spans="1:7" x14ac:dyDescent="0.3">
      <c r="A131" s="299" t="str">
        <f>IF('ASIGNACIÓN ASIGNATURAS'!$AF131=1,'ASIGNACIÓN ASIGNATURAS'!$M131,"")</f>
        <v/>
      </c>
      <c r="B131" s="299" t="str">
        <f>IF('ASIGNACIÓN ASIGNATURAS'!$AF131=1,'ASIGNACIÓN ASIGNATURAS'!$O131,"")</f>
        <v/>
      </c>
      <c r="C131" s="299" t="str">
        <f>IF('ASIGNACIÓN ASIGNATURAS'!$AF131=1,'ASIGNACIÓN ASIGNATURAS'!$P131,"")</f>
        <v/>
      </c>
      <c r="D131" s="299" t="str">
        <f>IF('ASIGNACIÓN ASIGNATURAS'!$AF131=1,'ASIGNACIÓN ASIGNATURAS'!$S131,"")</f>
        <v/>
      </c>
      <c r="E131" s="299" t="str">
        <f>IF('ASIGNACIÓN ASIGNATURAS'!$AF131=1,'ASIGNACIÓN ASIGNATURAS'!$T131,"")</f>
        <v/>
      </c>
      <c r="F131" s="299" t="str">
        <f>IF('ASIGNACIÓN ASIGNATURAS'!$AF131=1,'ASIGNACIÓN ASIGNATURAS'!$U131,"")</f>
        <v/>
      </c>
      <c r="G131" s="300" t="str">
        <f>IF(B131='PLAN DE ESTUDIO'!$XFD$41,"",+E131+F131)</f>
        <v/>
      </c>
    </row>
    <row r="132" spans="1:7" x14ac:dyDescent="0.3">
      <c r="A132" s="299" t="str">
        <f>IF('ASIGNACIÓN ASIGNATURAS'!$AF132=1,'ASIGNACIÓN ASIGNATURAS'!$M132,"")</f>
        <v/>
      </c>
      <c r="B132" s="299" t="str">
        <f>IF('ASIGNACIÓN ASIGNATURAS'!$AF132=1,'ASIGNACIÓN ASIGNATURAS'!$O132,"")</f>
        <v/>
      </c>
      <c r="C132" s="299" t="str">
        <f>IF('ASIGNACIÓN ASIGNATURAS'!$AF132=1,'ASIGNACIÓN ASIGNATURAS'!$P132,"")</f>
        <v/>
      </c>
      <c r="D132" s="299" t="str">
        <f>IF('ASIGNACIÓN ASIGNATURAS'!$AF132=1,'ASIGNACIÓN ASIGNATURAS'!$S132,"")</f>
        <v/>
      </c>
      <c r="E132" s="299" t="str">
        <f>IF('ASIGNACIÓN ASIGNATURAS'!$AF132=1,'ASIGNACIÓN ASIGNATURAS'!$T132,"")</f>
        <v/>
      </c>
      <c r="F132" s="299" t="str">
        <f>IF('ASIGNACIÓN ASIGNATURAS'!$AF132=1,'ASIGNACIÓN ASIGNATURAS'!$U132,"")</f>
        <v/>
      </c>
      <c r="G132" s="300" t="str">
        <f>IF(B132='PLAN DE ESTUDIO'!$XFD$41,"",+E132+F132)</f>
        <v/>
      </c>
    </row>
    <row r="133" spans="1:7" x14ac:dyDescent="0.3">
      <c r="A133" s="299" t="str">
        <f>IF('ASIGNACIÓN ASIGNATURAS'!$AF133=1,'ASIGNACIÓN ASIGNATURAS'!$M133,"")</f>
        <v/>
      </c>
      <c r="B133" s="299" t="str">
        <f>IF('ASIGNACIÓN ASIGNATURAS'!$AF133=1,'ASIGNACIÓN ASIGNATURAS'!$O133,"")</f>
        <v/>
      </c>
      <c r="C133" s="299" t="str">
        <f>IF('ASIGNACIÓN ASIGNATURAS'!$AF133=1,'ASIGNACIÓN ASIGNATURAS'!$P133,"")</f>
        <v/>
      </c>
      <c r="D133" s="299" t="str">
        <f>IF('ASIGNACIÓN ASIGNATURAS'!$AF133=1,'ASIGNACIÓN ASIGNATURAS'!$S133,"")</f>
        <v/>
      </c>
      <c r="E133" s="299" t="str">
        <f>IF('ASIGNACIÓN ASIGNATURAS'!$AF133=1,'ASIGNACIÓN ASIGNATURAS'!$T133,"")</f>
        <v/>
      </c>
      <c r="F133" s="299" t="str">
        <f>IF('ASIGNACIÓN ASIGNATURAS'!$AF133=1,'ASIGNACIÓN ASIGNATURAS'!$U133,"")</f>
        <v/>
      </c>
      <c r="G133" s="300" t="str">
        <f>IF(B133='PLAN DE ESTUDIO'!$XFD$41,"",+E133+F133)</f>
        <v/>
      </c>
    </row>
    <row r="134" spans="1:7" x14ac:dyDescent="0.3">
      <c r="A134" s="299" t="str">
        <f>IF('ASIGNACIÓN ASIGNATURAS'!$AF134=1,'ASIGNACIÓN ASIGNATURAS'!$M134,"")</f>
        <v/>
      </c>
      <c r="B134" s="299" t="str">
        <f>IF('ASIGNACIÓN ASIGNATURAS'!$AF134=1,'ASIGNACIÓN ASIGNATURAS'!$O134,"")</f>
        <v/>
      </c>
      <c r="C134" s="299" t="str">
        <f>IF('ASIGNACIÓN ASIGNATURAS'!$AF134=1,'ASIGNACIÓN ASIGNATURAS'!$P134,"")</f>
        <v/>
      </c>
      <c r="D134" s="299" t="str">
        <f>IF('ASIGNACIÓN ASIGNATURAS'!$AF134=1,'ASIGNACIÓN ASIGNATURAS'!$S134,"")</f>
        <v/>
      </c>
      <c r="E134" s="299" t="str">
        <f>IF('ASIGNACIÓN ASIGNATURAS'!$AF134=1,'ASIGNACIÓN ASIGNATURAS'!$T134,"")</f>
        <v/>
      </c>
      <c r="F134" s="299" t="str">
        <f>IF('ASIGNACIÓN ASIGNATURAS'!$AF134=1,'ASIGNACIÓN ASIGNATURAS'!$U134,"")</f>
        <v/>
      </c>
      <c r="G134" s="300" t="str">
        <f>IF(B134='PLAN DE ESTUDIO'!$XFD$41,"",+E134+F134)</f>
        <v/>
      </c>
    </row>
    <row r="135" spans="1:7" x14ac:dyDescent="0.3">
      <c r="A135" s="299" t="str">
        <f>IF('ASIGNACIÓN ASIGNATURAS'!$AF135=1,'ASIGNACIÓN ASIGNATURAS'!$M135,"")</f>
        <v/>
      </c>
      <c r="B135" s="299" t="str">
        <f>IF('ASIGNACIÓN ASIGNATURAS'!$AF135=1,'ASIGNACIÓN ASIGNATURAS'!$O135,"")</f>
        <v/>
      </c>
      <c r="C135" s="299" t="str">
        <f>IF('ASIGNACIÓN ASIGNATURAS'!$AF135=1,'ASIGNACIÓN ASIGNATURAS'!$P135,"")</f>
        <v/>
      </c>
      <c r="D135" s="299" t="str">
        <f>IF('ASIGNACIÓN ASIGNATURAS'!$AF135=1,'ASIGNACIÓN ASIGNATURAS'!$S135,"")</f>
        <v/>
      </c>
      <c r="E135" s="299" t="str">
        <f>IF('ASIGNACIÓN ASIGNATURAS'!$AF135=1,'ASIGNACIÓN ASIGNATURAS'!$T135,"")</f>
        <v/>
      </c>
      <c r="F135" s="299" t="str">
        <f>IF('ASIGNACIÓN ASIGNATURAS'!$AF135=1,'ASIGNACIÓN ASIGNATURAS'!$U135,"")</f>
        <v/>
      </c>
      <c r="G135" s="300" t="str">
        <f>IF(B135='PLAN DE ESTUDIO'!$XFD$41,"",+E135+F135)</f>
        <v/>
      </c>
    </row>
    <row r="136" spans="1:7" x14ac:dyDescent="0.3">
      <c r="A136" s="299" t="str">
        <f>IF('ASIGNACIÓN ASIGNATURAS'!$AF136=1,'ASIGNACIÓN ASIGNATURAS'!$M136,"")</f>
        <v/>
      </c>
      <c r="B136" s="299" t="str">
        <f>IF('ASIGNACIÓN ASIGNATURAS'!$AF136=1,'ASIGNACIÓN ASIGNATURAS'!$O136,"")</f>
        <v/>
      </c>
      <c r="C136" s="299" t="str">
        <f>IF('ASIGNACIÓN ASIGNATURAS'!$AF136=1,'ASIGNACIÓN ASIGNATURAS'!$P136,"")</f>
        <v/>
      </c>
      <c r="D136" s="299" t="str">
        <f>IF('ASIGNACIÓN ASIGNATURAS'!$AF136=1,'ASIGNACIÓN ASIGNATURAS'!$S136,"")</f>
        <v/>
      </c>
      <c r="E136" s="299" t="str">
        <f>IF('ASIGNACIÓN ASIGNATURAS'!$AF136=1,'ASIGNACIÓN ASIGNATURAS'!$T136,"")</f>
        <v/>
      </c>
      <c r="F136" s="299" t="str">
        <f>IF('ASIGNACIÓN ASIGNATURAS'!$AF136=1,'ASIGNACIÓN ASIGNATURAS'!$U136,"")</f>
        <v/>
      </c>
      <c r="G136" s="300" t="str">
        <f>IF(B136='PLAN DE ESTUDIO'!$XFD$41,"",+E136+F136)</f>
        <v/>
      </c>
    </row>
    <row r="137" spans="1:7" x14ac:dyDescent="0.3">
      <c r="A137" s="299" t="str">
        <f>IF('ASIGNACIÓN ASIGNATURAS'!$AF137=1,'ASIGNACIÓN ASIGNATURAS'!$M137,"")</f>
        <v/>
      </c>
      <c r="B137" s="299" t="str">
        <f>IF('ASIGNACIÓN ASIGNATURAS'!$AF137=1,'ASIGNACIÓN ASIGNATURAS'!$O137,"")</f>
        <v/>
      </c>
      <c r="C137" s="299" t="str">
        <f>IF('ASIGNACIÓN ASIGNATURAS'!$AF137=1,'ASIGNACIÓN ASIGNATURAS'!$P137,"")</f>
        <v/>
      </c>
      <c r="D137" s="299" t="str">
        <f>IF('ASIGNACIÓN ASIGNATURAS'!$AF137=1,'ASIGNACIÓN ASIGNATURAS'!$S137,"")</f>
        <v/>
      </c>
      <c r="E137" s="299" t="str">
        <f>IF('ASIGNACIÓN ASIGNATURAS'!$AF137=1,'ASIGNACIÓN ASIGNATURAS'!$T137,"")</f>
        <v/>
      </c>
      <c r="F137" s="299" t="str">
        <f>IF('ASIGNACIÓN ASIGNATURAS'!$AF137=1,'ASIGNACIÓN ASIGNATURAS'!$U137,"")</f>
        <v/>
      </c>
      <c r="G137" s="300" t="str">
        <f>IF(B137='PLAN DE ESTUDIO'!$XFD$41,"",+E137+F137)</f>
        <v/>
      </c>
    </row>
    <row r="138" spans="1:7" x14ac:dyDescent="0.3">
      <c r="A138" s="299" t="str">
        <f>IF('ASIGNACIÓN ASIGNATURAS'!$AF138=1,'ASIGNACIÓN ASIGNATURAS'!$M138,"")</f>
        <v/>
      </c>
      <c r="B138" s="299" t="str">
        <f>IF('ASIGNACIÓN ASIGNATURAS'!$AF138=1,'ASIGNACIÓN ASIGNATURAS'!$O138,"")</f>
        <v/>
      </c>
      <c r="C138" s="299" t="str">
        <f>IF('ASIGNACIÓN ASIGNATURAS'!$AF138=1,'ASIGNACIÓN ASIGNATURAS'!$P138,"")</f>
        <v/>
      </c>
      <c r="D138" s="299" t="str">
        <f>IF('ASIGNACIÓN ASIGNATURAS'!$AF138=1,'ASIGNACIÓN ASIGNATURAS'!$S138,"")</f>
        <v/>
      </c>
      <c r="E138" s="299" t="str">
        <f>IF('ASIGNACIÓN ASIGNATURAS'!$AF138=1,'ASIGNACIÓN ASIGNATURAS'!$T138,"")</f>
        <v/>
      </c>
      <c r="F138" s="299" t="str">
        <f>IF('ASIGNACIÓN ASIGNATURAS'!$AF138=1,'ASIGNACIÓN ASIGNATURAS'!$U138,"")</f>
        <v/>
      </c>
      <c r="G138" s="300" t="str">
        <f>IF(B138='PLAN DE ESTUDIO'!$XFD$41,"",+E138+F138)</f>
        <v/>
      </c>
    </row>
    <row r="139" spans="1:7" x14ac:dyDescent="0.3">
      <c r="A139" s="299" t="str">
        <f>IF('ASIGNACIÓN ASIGNATURAS'!$AF139=1,'ASIGNACIÓN ASIGNATURAS'!$M139,"")</f>
        <v/>
      </c>
      <c r="B139" s="299" t="str">
        <f>IF('ASIGNACIÓN ASIGNATURAS'!$AF139=1,'ASIGNACIÓN ASIGNATURAS'!$O139,"")</f>
        <v/>
      </c>
      <c r="C139" s="299" t="str">
        <f>IF('ASIGNACIÓN ASIGNATURAS'!$AF139=1,'ASIGNACIÓN ASIGNATURAS'!$P139,"")</f>
        <v/>
      </c>
      <c r="D139" s="299" t="str">
        <f>IF('ASIGNACIÓN ASIGNATURAS'!$AF139=1,'ASIGNACIÓN ASIGNATURAS'!$S139,"")</f>
        <v/>
      </c>
      <c r="E139" s="299" t="str">
        <f>IF('ASIGNACIÓN ASIGNATURAS'!$AF139=1,'ASIGNACIÓN ASIGNATURAS'!$T139,"")</f>
        <v/>
      </c>
      <c r="F139" s="299" t="str">
        <f>IF('ASIGNACIÓN ASIGNATURAS'!$AF139=1,'ASIGNACIÓN ASIGNATURAS'!$U139,"")</f>
        <v/>
      </c>
      <c r="G139" s="300" t="str">
        <f>IF(B139='PLAN DE ESTUDIO'!$XFD$41,"",+E139+F139)</f>
        <v/>
      </c>
    </row>
    <row r="140" spans="1:7" x14ac:dyDescent="0.3">
      <c r="A140" s="299" t="str">
        <f>IF('ASIGNACIÓN ASIGNATURAS'!$AF140=1,'ASIGNACIÓN ASIGNATURAS'!$M140,"")</f>
        <v/>
      </c>
      <c r="B140" s="299" t="str">
        <f>IF('ASIGNACIÓN ASIGNATURAS'!$AF140=1,'ASIGNACIÓN ASIGNATURAS'!$O140,"")</f>
        <v/>
      </c>
      <c r="C140" s="299" t="str">
        <f>IF('ASIGNACIÓN ASIGNATURAS'!$AF140=1,'ASIGNACIÓN ASIGNATURAS'!$P140,"")</f>
        <v/>
      </c>
      <c r="D140" s="299" t="str">
        <f>IF('ASIGNACIÓN ASIGNATURAS'!$AF140=1,'ASIGNACIÓN ASIGNATURAS'!$S140,"")</f>
        <v/>
      </c>
      <c r="E140" s="299" t="str">
        <f>IF('ASIGNACIÓN ASIGNATURAS'!$AF140=1,'ASIGNACIÓN ASIGNATURAS'!$T140,"")</f>
        <v/>
      </c>
      <c r="F140" s="299" t="str">
        <f>IF('ASIGNACIÓN ASIGNATURAS'!$AF140=1,'ASIGNACIÓN ASIGNATURAS'!$U140,"")</f>
        <v/>
      </c>
      <c r="G140" s="300" t="str">
        <f>IF(B140='PLAN DE ESTUDIO'!$XFD$41,"",+E140+F140)</f>
        <v/>
      </c>
    </row>
    <row r="141" spans="1:7" x14ac:dyDescent="0.3">
      <c r="A141" s="299" t="str">
        <f>IF('ASIGNACIÓN ASIGNATURAS'!$AF141=1,'ASIGNACIÓN ASIGNATURAS'!$M141,"")</f>
        <v/>
      </c>
      <c r="B141" s="299" t="str">
        <f>IF('ASIGNACIÓN ASIGNATURAS'!$AF141=1,'ASIGNACIÓN ASIGNATURAS'!$O141,"")</f>
        <v/>
      </c>
      <c r="C141" s="299" t="str">
        <f>IF('ASIGNACIÓN ASIGNATURAS'!$AF141=1,'ASIGNACIÓN ASIGNATURAS'!$P141,"")</f>
        <v/>
      </c>
      <c r="D141" s="299" t="str">
        <f>IF('ASIGNACIÓN ASIGNATURAS'!$AF141=1,'ASIGNACIÓN ASIGNATURAS'!$S141,"")</f>
        <v/>
      </c>
      <c r="E141" s="299" t="str">
        <f>IF('ASIGNACIÓN ASIGNATURAS'!$AF141=1,'ASIGNACIÓN ASIGNATURAS'!$T141,"")</f>
        <v/>
      </c>
      <c r="F141" s="299" t="str">
        <f>IF('ASIGNACIÓN ASIGNATURAS'!$AF141=1,'ASIGNACIÓN ASIGNATURAS'!$U141,"")</f>
        <v/>
      </c>
      <c r="G141" s="300" t="str">
        <f>IF(B141='PLAN DE ESTUDIO'!$XFD$41,"",+E141+F141)</f>
        <v/>
      </c>
    </row>
    <row r="142" spans="1:7" x14ac:dyDescent="0.3">
      <c r="A142" s="299" t="str">
        <f>IF('ASIGNACIÓN ASIGNATURAS'!$AF142=1,'ASIGNACIÓN ASIGNATURAS'!$M142,"")</f>
        <v/>
      </c>
      <c r="B142" s="299" t="str">
        <f>IF('ASIGNACIÓN ASIGNATURAS'!$AF142=1,'ASIGNACIÓN ASIGNATURAS'!$O142,"")</f>
        <v/>
      </c>
      <c r="C142" s="299" t="str">
        <f>IF('ASIGNACIÓN ASIGNATURAS'!$AF142=1,'ASIGNACIÓN ASIGNATURAS'!$P142,"")</f>
        <v/>
      </c>
      <c r="D142" s="299" t="str">
        <f>IF('ASIGNACIÓN ASIGNATURAS'!$AF142=1,'ASIGNACIÓN ASIGNATURAS'!$S142,"")</f>
        <v/>
      </c>
      <c r="E142" s="299" t="str">
        <f>IF('ASIGNACIÓN ASIGNATURAS'!$AF142=1,'ASIGNACIÓN ASIGNATURAS'!$T142,"")</f>
        <v/>
      </c>
      <c r="F142" s="299" t="str">
        <f>IF('ASIGNACIÓN ASIGNATURAS'!$AF142=1,'ASIGNACIÓN ASIGNATURAS'!$U142,"")</f>
        <v/>
      </c>
      <c r="G142" s="300" t="str">
        <f>IF(B142='PLAN DE ESTUDIO'!$XFD$41,"",+E142+F142)</f>
        <v/>
      </c>
    </row>
    <row r="143" spans="1:7" x14ac:dyDescent="0.3">
      <c r="A143" s="299" t="str">
        <f>IF('ASIGNACIÓN ASIGNATURAS'!$AF143=1,'ASIGNACIÓN ASIGNATURAS'!$M143,"")</f>
        <v/>
      </c>
      <c r="B143" s="299" t="str">
        <f>IF('ASIGNACIÓN ASIGNATURAS'!$AF143=1,'ASIGNACIÓN ASIGNATURAS'!$O143,"")</f>
        <v/>
      </c>
      <c r="C143" s="299" t="str">
        <f>IF('ASIGNACIÓN ASIGNATURAS'!$AF143=1,'ASIGNACIÓN ASIGNATURAS'!$P143,"")</f>
        <v/>
      </c>
      <c r="D143" s="299" t="str">
        <f>IF('ASIGNACIÓN ASIGNATURAS'!$AF143=1,'ASIGNACIÓN ASIGNATURAS'!$S143,"")</f>
        <v/>
      </c>
      <c r="E143" s="299" t="str">
        <f>IF('ASIGNACIÓN ASIGNATURAS'!$AF143=1,'ASIGNACIÓN ASIGNATURAS'!$T143,"")</f>
        <v/>
      </c>
      <c r="F143" s="299" t="str">
        <f>IF('ASIGNACIÓN ASIGNATURAS'!$AF143=1,'ASIGNACIÓN ASIGNATURAS'!$U143,"")</f>
        <v/>
      </c>
      <c r="G143" s="300" t="str">
        <f>IF(B143='PLAN DE ESTUDIO'!$XFD$41,"",+E143+F143)</f>
        <v/>
      </c>
    </row>
    <row r="144" spans="1:7" x14ac:dyDescent="0.3">
      <c r="A144" s="299" t="str">
        <f>IF('ASIGNACIÓN ASIGNATURAS'!$AF144=1,'ASIGNACIÓN ASIGNATURAS'!$M144,"")</f>
        <v/>
      </c>
      <c r="B144" s="299" t="str">
        <f>IF('ASIGNACIÓN ASIGNATURAS'!$AF144=1,'ASIGNACIÓN ASIGNATURAS'!$O144,"")</f>
        <v/>
      </c>
      <c r="C144" s="299" t="str">
        <f>IF('ASIGNACIÓN ASIGNATURAS'!$AF144=1,'ASIGNACIÓN ASIGNATURAS'!$P144,"")</f>
        <v/>
      </c>
      <c r="D144" s="299" t="str">
        <f>IF('ASIGNACIÓN ASIGNATURAS'!$AF144=1,'ASIGNACIÓN ASIGNATURAS'!$S144,"")</f>
        <v/>
      </c>
      <c r="E144" s="299" t="str">
        <f>IF('ASIGNACIÓN ASIGNATURAS'!$AF144=1,'ASIGNACIÓN ASIGNATURAS'!$T144,"")</f>
        <v/>
      </c>
      <c r="F144" s="299" t="str">
        <f>IF('ASIGNACIÓN ASIGNATURAS'!$AF144=1,'ASIGNACIÓN ASIGNATURAS'!$U144,"")</f>
        <v/>
      </c>
      <c r="G144" s="300" t="str">
        <f>IF(B144='PLAN DE ESTUDIO'!$XFD$41,"",+E144+F144)</f>
        <v/>
      </c>
    </row>
    <row r="145" spans="1:7" x14ac:dyDescent="0.3">
      <c r="A145" s="299" t="str">
        <f>IF('ASIGNACIÓN ASIGNATURAS'!$AF145=1,'ASIGNACIÓN ASIGNATURAS'!$M145,"")</f>
        <v/>
      </c>
      <c r="B145" s="299" t="str">
        <f>IF('ASIGNACIÓN ASIGNATURAS'!$AF145=1,'ASIGNACIÓN ASIGNATURAS'!$O145,"")</f>
        <v/>
      </c>
      <c r="C145" s="299" t="str">
        <f>IF('ASIGNACIÓN ASIGNATURAS'!$AF145=1,'ASIGNACIÓN ASIGNATURAS'!$P145,"")</f>
        <v/>
      </c>
      <c r="D145" s="299" t="str">
        <f>IF('ASIGNACIÓN ASIGNATURAS'!$AF145=1,'ASIGNACIÓN ASIGNATURAS'!$S145,"")</f>
        <v/>
      </c>
      <c r="E145" s="299" t="str">
        <f>IF('ASIGNACIÓN ASIGNATURAS'!$AF145=1,'ASIGNACIÓN ASIGNATURAS'!$T145,"")</f>
        <v/>
      </c>
      <c r="F145" s="299" t="str">
        <f>IF('ASIGNACIÓN ASIGNATURAS'!$AF145=1,'ASIGNACIÓN ASIGNATURAS'!$U145,"")</f>
        <v/>
      </c>
      <c r="G145" s="300" t="str">
        <f>IF(B145='PLAN DE ESTUDIO'!$XFD$41,"",+E145+F145)</f>
        <v/>
      </c>
    </row>
    <row r="146" spans="1:7" x14ac:dyDescent="0.3">
      <c r="A146" s="299" t="str">
        <f>IF('ASIGNACIÓN ASIGNATURAS'!$AF146=1,'ASIGNACIÓN ASIGNATURAS'!$M146,"")</f>
        <v/>
      </c>
      <c r="B146" s="299" t="str">
        <f>IF('ASIGNACIÓN ASIGNATURAS'!$AF146=1,'ASIGNACIÓN ASIGNATURAS'!$O146,"")</f>
        <v/>
      </c>
      <c r="C146" s="299" t="str">
        <f>IF('ASIGNACIÓN ASIGNATURAS'!$AF146=1,'ASIGNACIÓN ASIGNATURAS'!$P146,"")</f>
        <v/>
      </c>
      <c r="D146" s="299" t="str">
        <f>IF('ASIGNACIÓN ASIGNATURAS'!$AF146=1,'ASIGNACIÓN ASIGNATURAS'!$S146,"")</f>
        <v/>
      </c>
      <c r="E146" s="299" t="str">
        <f>IF('ASIGNACIÓN ASIGNATURAS'!$AF146=1,'ASIGNACIÓN ASIGNATURAS'!$T146,"")</f>
        <v/>
      </c>
      <c r="F146" s="299" t="str">
        <f>IF('ASIGNACIÓN ASIGNATURAS'!$AF146=1,'ASIGNACIÓN ASIGNATURAS'!$U146,"")</f>
        <v/>
      </c>
      <c r="G146" s="300" t="str">
        <f>IF(B146='PLAN DE ESTUDIO'!$XFD$41,"",+E146+F146)</f>
        <v/>
      </c>
    </row>
    <row r="147" spans="1:7" x14ac:dyDescent="0.3">
      <c r="A147" s="299" t="str">
        <f>IF('ASIGNACIÓN ASIGNATURAS'!$AF147=1,'ASIGNACIÓN ASIGNATURAS'!$M147,"")</f>
        <v/>
      </c>
      <c r="B147" s="299" t="str">
        <f>IF('ASIGNACIÓN ASIGNATURAS'!$AF147=1,'ASIGNACIÓN ASIGNATURAS'!$O147,"")</f>
        <v/>
      </c>
      <c r="C147" s="299" t="str">
        <f>IF('ASIGNACIÓN ASIGNATURAS'!$AF147=1,'ASIGNACIÓN ASIGNATURAS'!$P147,"")</f>
        <v/>
      </c>
      <c r="D147" s="299" t="str">
        <f>IF('ASIGNACIÓN ASIGNATURAS'!$AF147=1,'ASIGNACIÓN ASIGNATURAS'!$S147,"")</f>
        <v/>
      </c>
      <c r="E147" s="299" t="str">
        <f>IF('ASIGNACIÓN ASIGNATURAS'!$AF147=1,'ASIGNACIÓN ASIGNATURAS'!$T147,"")</f>
        <v/>
      </c>
      <c r="F147" s="299" t="str">
        <f>IF('ASIGNACIÓN ASIGNATURAS'!$AF147=1,'ASIGNACIÓN ASIGNATURAS'!$U147,"")</f>
        <v/>
      </c>
      <c r="G147" s="300" t="str">
        <f>IF(B147='PLAN DE ESTUDIO'!$XFD$41,"",+E147+F147)</f>
        <v/>
      </c>
    </row>
    <row r="148" spans="1:7" x14ac:dyDescent="0.3">
      <c r="A148" s="299" t="str">
        <f>IF('ASIGNACIÓN ASIGNATURAS'!$AF148=1,'ASIGNACIÓN ASIGNATURAS'!$M148,"")</f>
        <v/>
      </c>
      <c r="B148" s="299" t="str">
        <f>IF('ASIGNACIÓN ASIGNATURAS'!$AF148=1,'ASIGNACIÓN ASIGNATURAS'!$O148,"")</f>
        <v/>
      </c>
      <c r="C148" s="299" t="str">
        <f>IF('ASIGNACIÓN ASIGNATURAS'!$AF148=1,'ASIGNACIÓN ASIGNATURAS'!$P148,"")</f>
        <v/>
      </c>
      <c r="D148" s="299" t="str">
        <f>IF('ASIGNACIÓN ASIGNATURAS'!$AF148=1,'ASIGNACIÓN ASIGNATURAS'!$S148,"")</f>
        <v/>
      </c>
      <c r="E148" s="299" t="str">
        <f>IF('ASIGNACIÓN ASIGNATURAS'!$AF148=1,'ASIGNACIÓN ASIGNATURAS'!$T148,"")</f>
        <v/>
      </c>
      <c r="F148" s="299" t="str">
        <f>IF('ASIGNACIÓN ASIGNATURAS'!$AF148=1,'ASIGNACIÓN ASIGNATURAS'!$U148,"")</f>
        <v/>
      </c>
      <c r="G148" s="300" t="str">
        <f>IF(B148='PLAN DE ESTUDIO'!$XFD$41,"",+E148+F148)</f>
        <v/>
      </c>
    </row>
    <row r="149" spans="1:7" x14ac:dyDescent="0.3">
      <c r="A149" s="299" t="str">
        <f>IF('ASIGNACIÓN ASIGNATURAS'!$AF149=1,'ASIGNACIÓN ASIGNATURAS'!$M149,"")</f>
        <v/>
      </c>
      <c r="B149" s="299" t="str">
        <f>IF('ASIGNACIÓN ASIGNATURAS'!$AF149=1,'ASIGNACIÓN ASIGNATURAS'!$O149,"")</f>
        <v/>
      </c>
      <c r="C149" s="299" t="str">
        <f>IF('ASIGNACIÓN ASIGNATURAS'!$AF149=1,'ASIGNACIÓN ASIGNATURAS'!$P149,"")</f>
        <v/>
      </c>
      <c r="D149" s="299" t="str">
        <f>IF('ASIGNACIÓN ASIGNATURAS'!$AF149=1,'ASIGNACIÓN ASIGNATURAS'!$S149,"")</f>
        <v/>
      </c>
      <c r="E149" s="299" t="str">
        <f>IF('ASIGNACIÓN ASIGNATURAS'!$AF149=1,'ASIGNACIÓN ASIGNATURAS'!$T149,"")</f>
        <v/>
      </c>
      <c r="F149" s="299" t="str">
        <f>IF('ASIGNACIÓN ASIGNATURAS'!$AF149=1,'ASIGNACIÓN ASIGNATURAS'!$U149,"")</f>
        <v/>
      </c>
      <c r="G149" s="300" t="str">
        <f>IF(B149='PLAN DE ESTUDIO'!$XFD$41,"",+E149+F149)</f>
        <v/>
      </c>
    </row>
    <row r="150" spans="1:7" x14ac:dyDescent="0.3">
      <c r="A150" s="299" t="str">
        <f>IF('ASIGNACIÓN ASIGNATURAS'!$AF150=1,'ASIGNACIÓN ASIGNATURAS'!$M150,"")</f>
        <v/>
      </c>
      <c r="B150" s="299" t="str">
        <f>IF('ASIGNACIÓN ASIGNATURAS'!$AF150=1,'ASIGNACIÓN ASIGNATURAS'!$O150,"")</f>
        <v/>
      </c>
      <c r="C150" s="299" t="str">
        <f>IF('ASIGNACIÓN ASIGNATURAS'!$AF150=1,'ASIGNACIÓN ASIGNATURAS'!$P150,"")</f>
        <v/>
      </c>
      <c r="D150" s="299" t="str">
        <f>IF('ASIGNACIÓN ASIGNATURAS'!$AF150=1,'ASIGNACIÓN ASIGNATURAS'!$S150,"")</f>
        <v/>
      </c>
      <c r="E150" s="299" t="str">
        <f>IF('ASIGNACIÓN ASIGNATURAS'!$AF150=1,'ASIGNACIÓN ASIGNATURAS'!$T150,"")</f>
        <v/>
      </c>
      <c r="F150" s="299" t="str">
        <f>IF('ASIGNACIÓN ASIGNATURAS'!$AF150=1,'ASIGNACIÓN ASIGNATURAS'!$U150,"")</f>
        <v/>
      </c>
      <c r="G150" s="300" t="str">
        <f>IF(B150='PLAN DE ESTUDIO'!$XFD$41,"",+E150+F150)</f>
        <v/>
      </c>
    </row>
    <row r="151" spans="1:7" x14ac:dyDescent="0.3">
      <c r="A151" s="299" t="str">
        <f>IF('ASIGNACIÓN ASIGNATURAS'!$AF151=1,'ASIGNACIÓN ASIGNATURAS'!$M151,"")</f>
        <v/>
      </c>
      <c r="B151" s="299" t="str">
        <f>IF('ASIGNACIÓN ASIGNATURAS'!$AF151=1,'ASIGNACIÓN ASIGNATURAS'!$O151,"")</f>
        <v/>
      </c>
      <c r="C151" s="299" t="str">
        <f>IF('ASIGNACIÓN ASIGNATURAS'!$AF151=1,'ASIGNACIÓN ASIGNATURAS'!$P151,"")</f>
        <v/>
      </c>
      <c r="D151" s="299" t="str">
        <f>IF('ASIGNACIÓN ASIGNATURAS'!$AF151=1,'ASIGNACIÓN ASIGNATURAS'!$S151,"")</f>
        <v/>
      </c>
      <c r="E151" s="299" t="str">
        <f>IF('ASIGNACIÓN ASIGNATURAS'!$AF151=1,'ASIGNACIÓN ASIGNATURAS'!$T151,"")</f>
        <v/>
      </c>
      <c r="F151" s="299" t="str">
        <f>IF('ASIGNACIÓN ASIGNATURAS'!$AF151=1,'ASIGNACIÓN ASIGNATURAS'!$U151,"")</f>
        <v/>
      </c>
      <c r="G151" s="300" t="str">
        <f>IF(B151='PLAN DE ESTUDIO'!$XFD$41,"",+E151+F151)</f>
        <v/>
      </c>
    </row>
    <row r="152" spans="1:7" x14ac:dyDescent="0.3">
      <c r="A152" s="299" t="str">
        <f>IF('ASIGNACIÓN ASIGNATURAS'!$AF152=1,'ASIGNACIÓN ASIGNATURAS'!$M152,"")</f>
        <v/>
      </c>
      <c r="B152" s="299" t="str">
        <f>IF('ASIGNACIÓN ASIGNATURAS'!$AF152=1,'ASIGNACIÓN ASIGNATURAS'!$O152,"")</f>
        <v/>
      </c>
      <c r="C152" s="299" t="str">
        <f>IF('ASIGNACIÓN ASIGNATURAS'!$AF152=1,'ASIGNACIÓN ASIGNATURAS'!$P152,"")</f>
        <v/>
      </c>
      <c r="D152" s="299" t="str">
        <f>IF('ASIGNACIÓN ASIGNATURAS'!$AF152=1,'ASIGNACIÓN ASIGNATURAS'!$S152,"")</f>
        <v/>
      </c>
      <c r="E152" s="299" t="str">
        <f>IF('ASIGNACIÓN ASIGNATURAS'!$AF152=1,'ASIGNACIÓN ASIGNATURAS'!$T152,"")</f>
        <v/>
      </c>
      <c r="F152" s="299" t="str">
        <f>IF('ASIGNACIÓN ASIGNATURAS'!$AF152=1,'ASIGNACIÓN ASIGNATURAS'!$U152,"")</f>
        <v/>
      </c>
      <c r="G152" s="300" t="str">
        <f>IF(B152='PLAN DE ESTUDIO'!$XFD$41,"",+E152+F152)</f>
        <v/>
      </c>
    </row>
    <row r="153" spans="1:7" x14ac:dyDescent="0.3">
      <c r="A153" s="299" t="str">
        <f>IF('ASIGNACIÓN ASIGNATURAS'!$AF153=1,'ASIGNACIÓN ASIGNATURAS'!$M153,"")</f>
        <v/>
      </c>
      <c r="B153" s="299" t="str">
        <f>IF('ASIGNACIÓN ASIGNATURAS'!$AF153=1,'ASIGNACIÓN ASIGNATURAS'!$O153,"")</f>
        <v/>
      </c>
      <c r="C153" s="299" t="str">
        <f>IF('ASIGNACIÓN ASIGNATURAS'!$AF153=1,'ASIGNACIÓN ASIGNATURAS'!$P153,"")</f>
        <v/>
      </c>
      <c r="D153" s="299" t="str">
        <f>IF('ASIGNACIÓN ASIGNATURAS'!$AF153=1,'ASIGNACIÓN ASIGNATURAS'!$S153,"")</f>
        <v/>
      </c>
      <c r="E153" s="299" t="str">
        <f>IF('ASIGNACIÓN ASIGNATURAS'!$AF153=1,'ASIGNACIÓN ASIGNATURAS'!$T153,"")</f>
        <v/>
      </c>
      <c r="F153" s="299" t="str">
        <f>IF('ASIGNACIÓN ASIGNATURAS'!$AF153=1,'ASIGNACIÓN ASIGNATURAS'!$U153,"")</f>
        <v/>
      </c>
      <c r="G153" s="300" t="str">
        <f>IF(B153='PLAN DE ESTUDIO'!$XFD$41,"",+E153+F153)</f>
        <v/>
      </c>
    </row>
    <row r="154" spans="1:7" x14ac:dyDescent="0.3">
      <c r="A154" s="299" t="str">
        <f>IF('ASIGNACIÓN ASIGNATURAS'!$AF154=1,'ASIGNACIÓN ASIGNATURAS'!$M154,"")</f>
        <v/>
      </c>
      <c r="B154" s="299" t="str">
        <f>IF('ASIGNACIÓN ASIGNATURAS'!$AF154=1,'ASIGNACIÓN ASIGNATURAS'!$O154,"")</f>
        <v/>
      </c>
      <c r="C154" s="299" t="str">
        <f>IF('ASIGNACIÓN ASIGNATURAS'!$AF154=1,'ASIGNACIÓN ASIGNATURAS'!$P154,"")</f>
        <v/>
      </c>
      <c r="D154" s="299" t="str">
        <f>IF('ASIGNACIÓN ASIGNATURAS'!$AF154=1,'ASIGNACIÓN ASIGNATURAS'!$S154,"")</f>
        <v/>
      </c>
      <c r="E154" s="299" t="str">
        <f>IF('ASIGNACIÓN ASIGNATURAS'!$AF154=1,'ASIGNACIÓN ASIGNATURAS'!$T154,"")</f>
        <v/>
      </c>
      <c r="F154" s="299" t="str">
        <f>IF('ASIGNACIÓN ASIGNATURAS'!$AF154=1,'ASIGNACIÓN ASIGNATURAS'!$U154,"")</f>
        <v/>
      </c>
      <c r="G154" s="300" t="str">
        <f>IF(B154='PLAN DE ESTUDIO'!$XFD$41,"",+E154+F154)</f>
        <v/>
      </c>
    </row>
    <row r="155" spans="1:7" x14ac:dyDescent="0.3">
      <c r="A155" s="299" t="str">
        <f>IF('ASIGNACIÓN ASIGNATURAS'!$AF155=1,'ASIGNACIÓN ASIGNATURAS'!$M155,"")</f>
        <v/>
      </c>
      <c r="B155" s="299" t="str">
        <f>IF('ASIGNACIÓN ASIGNATURAS'!$AF155=1,'ASIGNACIÓN ASIGNATURAS'!$O155,"")</f>
        <v/>
      </c>
      <c r="C155" s="299" t="str">
        <f>IF('ASIGNACIÓN ASIGNATURAS'!$AF155=1,'ASIGNACIÓN ASIGNATURAS'!$P155,"")</f>
        <v/>
      </c>
      <c r="D155" s="299" t="str">
        <f>IF('ASIGNACIÓN ASIGNATURAS'!$AF155=1,'ASIGNACIÓN ASIGNATURAS'!$S155,"")</f>
        <v/>
      </c>
      <c r="E155" s="299" t="str">
        <f>IF('ASIGNACIÓN ASIGNATURAS'!$AF155=1,'ASIGNACIÓN ASIGNATURAS'!$T155,"")</f>
        <v/>
      </c>
      <c r="F155" s="299" t="str">
        <f>IF('ASIGNACIÓN ASIGNATURAS'!$AF155=1,'ASIGNACIÓN ASIGNATURAS'!$U155,"")</f>
        <v/>
      </c>
      <c r="G155" s="300" t="str">
        <f>IF(B155='PLAN DE ESTUDIO'!$XFD$41,"",+E155+F155)</f>
        <v/>
      </c>
    </row>
    <row r="156" spans="1:7" x14ac:dyDescent="0.3">
      <c r="A156" s="299" t="str">
        <f>IF('ASIGNACIÓN ASIGNATURAS'!$AF156=1,'ASIGNACIÓN ASIGNATURAS'!$M156,"")</f>
        <v/>
      </c>
      <c r="B156" s="299" t="str">
        <f>IF('ASIGNACIÓN ASIGNATURAS'!$AF156=1,'ASIGNACIÓN ASIGNATURAS'!$O156,"")</f>
        <v/>
      </c>
      <c r="C156" s="299" t="str">
        <f>IF('ASIGNACIÓN ASIGNATURAS'!$AF156=1,'ASIGNACIÓN ASIGNATURAS'!$P156,"")</f>
        <v/>
      </c>
      <c r="D156" s="299" t="str">
        <f>IF('ASIGNACIÓN ASIGNATURAS'!$AF156=1,'ASIGNACIÓN ASIGNATURAS'!$S156,"")</f>
        <v/>
      </c>
      <c r="E156" s="299" t="str">
        <f>IF('ASIGNACIÓN ASIGNATURAS'!$AF156=1,'ASIGNACIÓN ASIGNATURAS'!$T156,"")</f>
        <v/>
      </c>
      <c r="F156" s="299" t="str">
        <f>IF('ASIGNACIÓN ASIGNATURAS'!$AF156=1,'ASIGNACIÓN ASIGNATURAS'!$U156,"")</f>
        <v/>
      </c>
      <c r="G156" s="300" t="str">
        <f>IF(B156='PLAN DE ESTUDIO'!$XFD$41,"",+E156+F156)</f>
        <v/>
      </c>
    </row>
    <row r="157" spans="1:7" x14ac:dyDescent="0.3">
      <c r="A157" s="299" t="str">
        <f>IF('ASIGNACIÓN ASIGNATURAS'!$AF157=1,'ASIGNACIÓN ASIGNATURAS'!$M157,"")</f>
        <v/>
      </c>
      <c r="B157" s="299" t="str">
        <f>IF('ASIGNACIÓN ASIGNATURAS'!$AF157=1,'ASIGNACIÓN ASIGNATURAS'!$O157,"")</f>
        <v/>
      </c>
      <c r="C157" s="299" t="str">
        <f>IF('ASIGNACIÓN ASIGNATURAS'!$AF157=1,'ASIGNACIÓN ASIGNATURAS'!$P157,"")</f>
        <v/>
      </c>
      <c r="D157" s="299" t="str">
        <f>IF('ASIGNACIÓN ASIGNATURAS'!$AF157=1,'ASIGNACIÓN ASIGNATURAS'!$S157,"")</f>
        <v/>
      </c>
      <c r="E157" s="299" t="str">
        <f>IF('ASIGNACIÓN ASIGNATURAS'!$AF157=1,'ASIGNACIÓN ASIGNATURAS'!$T157,"")</f>
        <v/>
      </c>
      <c r="F157" s="299" t="str">
        <f>IF('ASIGNACIÓN ASIGNATURAS'!$AF157=1,'ASIGNACIÓN ASIGNATURAS'!$U157,"")</f>
        <v/>
      </c>
      <c r="G157" s="300" t="str">
        <f>IF(B157='PLAN DE ESTUDIO'!$XFD$41,"",+E157+F157)</f>
        <v/>
      </c>
    </row>
    <row r="158" spans="1:7" x14ac:dyDescent="0.3">
      <c r="A158" s="299" t="str">
        <f>IF('ASIGNACIÓN ASIGNATURAS'!$AF158=1,'ASIGNACIÓN ASIGNATURAS'!$M158,"")</f>
        <v/>
      </c>
      <c r="B158" s="299" t="str">
        <f>IF('ASIGNACIÓN ASIGNATURAS'!$AF158=1,'ASIGNACIÓN ASIGNATURAS'!$O158,"")</f>
        <v/>
      </c>
      <c r="C158" s="299" t="str">
        <f>IF('ASIGNACIÓN ASIGNATURAS'!$AF158=1,'ASIGNACIÓN ASIGNATURAS'!$P158,"")</f>
        <v/>
      </c>
      <c r="D158" s="299" t="str">
        <f>IF('ASIGNACIÓN ASIGNATURAS'!$AF158=1,'ASIGNACIÓN ASIGNATURAS'!$S158,"")</f>
        <v/>
      </c>
      <c r="E158" s="299" t="str">
        <f>IF('ASIGNACIÓN ASIGNATURAS'!$AF158=1,'ASIGNACIÓN ASIGNATURAS'!$T158,"")</f>
        <v/>
      </c>
      <c r="F158" s="299" t="str">
        <f>IF('ASIGNACIÓN ASIGNATURAS'!$AF158=1,'ASIGNACIÓN ASIGNATURAS'!$U158,"")</f>
        <v/>
      </c>
      <c r="G158" s="300" t="str">
        <f>IF(B158='PLAN DE ESTUDIO'!$XFD$41,"",+E158+F158)</f>
        <v/>
      </c>
    </row>
    <row r="159" spans="1:7" x14ac:dyDescent="0.3">
      <c r="A159" s="299" t="str">
        <f>IF('ASIGNACIÓN ASIGNATURAS'!$AF159=1,'ASIGNACIÓN ASIGNATURAS'!$M159,"")</f>
        <v/>
      </c>
      <c r="B159" s="299" t="str">
        <f>IF('ASIGNACIÓN ASIGNATURAS'!$AF159=1,'ASIGNACIÓN ASIGNATURAS'!$O159,"")</f>
        <v/>
      </c>
      <c r="C159" s="299" t="str">
        <f>IF('ASIGNACIÓN ASIGNATURAS'!$AF159=1,'ASIGNACIÓN ASIGNATURAS'!$P159,"")</f>
        <v/>
      </c>
      <c r="D159" s="299" t="str">
        <f>IF('ASIGNACIÓN ASIGNATURAS'!$AF159=1,'ASIGNACIÓN ASIGNATURAS'!$S159,"")</f>
        <v/>
      </c>
      <c r="E159" s="299" t="str">
        <f>IF('ASIGNACIÓN ASIGNATURAS'!$AF159=1,'ASIGNACIÓN ASIGNATURAS'!$T159,"")</f>
        <v/>
      </c>
      <c r="F159" s="299" t="str">
        <f>IF('ASIGNACIÓN ASIGNATURAS'!$AF159=1,'ASIGNACIÓN ASIGNATURAS'!$U159,"")</f>
        <v/>
      </c>
      <c r="G159" s="300" t="str">
        <f>IF(B159='PLAN DE ESTUDIO'!$XFD$41,"",+E159+F159)</f>
        <v/>
      </c>
    </row>
    <row r="160" spans="1:7" x14ac:dyDescent="0.3">
      <c r="A160" s="299" t="str">
        <f>IF('ASIGNACIÓN ASIGNATURAS'!$AF160=1,'ASIGNACIÓN ASIGNATURAS'!$M160,"")</f>
        <v/>
      </c>
      <c r="B160" s="299" t="str">
        <f>IF('ASIGNACIÓN ASIGNATURAS'!$AF160=1,'ASIGNACIÓN ASIGNATURAS'!$O160,"")</f>
        <v/>
      </c>
      <c r="C160" s="299" t="str">
        <f>IF('ASIGNACIÓN ASIGNATURAS'!$AF160=1,'ASIGNACIÓN ASIGNATURAS'!$P160,"")</f>
        <v/>
      </c>
      <c r="D160" s="299" t="str">
        <f>IF('ASIGNACIÓN ASIGNATURAS'!$AF160=1,'ASIGNACIÓN ASIGNATURAS'!$S160,"")</f>
        <v/>
      </c>
      <c r="E160" s="299" t="str">
        <f>IF('ASIGNACIÓN ASIGNATURAS'!$AF160=1,'ASIGNACIÓN ASIGNATURAS'!$T160,"")</f>
        <v/>
      </c>
      <c r="F160" s="299" t="str">
        <f>IF('ASIGNACIÓN ASIGNATURAS'!$AF160=1,'ASIGNACIÓN ASIGNATURAS'!$U160,"")</f>
        <v/>
      </c>
      <c r="G160" s="300" t="str">
        <f>IF(B160='PLAN DE ESTUDIO'!$XFD$41,"",+E160+F160)</f>
        <v/>
      </c>
    </row>
    <row r="161" spans="1:7" x14ac:dyDescent="0.3">
      <c r="A161" s="299" t="str">
        <f>IF('ASIGNACIÓN ASIGNATURAS'!$AF161=1,'ASIGNACIÓN ASIGNATURAS'!$M161,"")</f>
        <v/>
      </c>
      <c r="B161" s="299" t="str">
        <f>IF('ASIGNACIÓN ASIGNATURAS'!$AF161=1,'ASIGNACIÓN ASIGNATURAS'!$O161,"")</f>
        <v/>
      </c>
      <c r="C161" s="299" t="str">
        <f>IF('ASIGNACIÓN ASIGNATURAS'!$AF161=1,'ASIGNACIÓN ASIGNATURAS'!$P161,"")</f>
        <v/>
      </c>
      <c r="D161" s="299" t="str">
        <f>IF('ASIGNACIÓN ASIGNATURAS'!$AF161=1,'ASIGNACIÓN ASIGNATURAS'!$S161,"")</f>
        <v/>
      </c>
      <c r="E161" s="299" t="str">
        <f>IF('ASIGNACIÓN ASIGNATURAS'!$AF161=1,'ASIGNACIÓN ASIGNATURAS'!$T161,"")</f>
        <v/>
      </c>
      <c r="F161" s="299" t="str">
        <f>IF('ASIGNACIÓN ASIGNATURAS'!$AF161=1,'ASIGNACIÓN ASIGNATURAS'!$U161,"")</f>
        <v/>
      </c>
      <c r="G161" s="300" t="str">
        <f>IF(B161='PLAN DE ESTUDIO'!$XFD$41,"",+E161+F161)</f>
        <v/>
      </c>
    </row>
    <row r="162" spans="1:7" x14ac:dyDescent="0.3">
      <c r="A162" s="299" t="str">
        <f>IF('ASIGNACIÓN ASIGNATURAS'!$AF162=1,'ASIGNACIÓN ASIGNATURAS'!$M162,"")</f>
        <v/>
      </c>
      <c r="B162" s="299" t="str">
        <f>IF('ASIGNACIÓN ASIGNATURAS'!$AF162=1,'ASIGNACIÓN ASIGNATURAS'!$O162,"")</f>
        <v/>
      </c>
      <c r="C162" s="299" t="str">
        <f>IF('ASIGNACIÓN ASIGNATURAS'!$AF162=1,'ASIGNACIÓN ASIGNATURAS'!$P162,"")</f>
        <v/>
      </c>
      <c r="D162" s="299" t="str">
        <f>IF('ASIGNACIÓN ASIGNATURAS'!$AF162=1,'ASIGNACIÓN ASIGNATURAS'!$S162,"")</f>
        <v/>
      </c>
      <c r="E162" s="299" t="str">
        <f>IF('ASIGNACIÓN ASIGNATURAS'!$AF162=1,'ASIGNACIÓN ASIGNATURAS'!$T162,"")</f>
        <v/>
      </c>
      <c r="F162" s="299" t="str">
        <f>IF('ASIGNACIÓN ASIGNATURAS'!$AF162=1,'ASIGNACIÓN ASIGNATURAS'!$U162,"")</f>
        <v/>
      </c>
      <c r="G162" s="300" t="str">
        <f>IF(B162='PLAN DE ESTUDIO'!$XFD$41,"",+E162+F162)</f>
        <v/>
      </c>
    </row>
    <row r="163" spans="1:7" x14ac:dyDescent="0.3">
      <c r="A163" s="299" t="str">
        <f>IF('ASIGNACIÓN ASIGNATURAS'!$AF163=1,'ASIGNACIÓN ASIGNATURAS'!$M163,"")</f>
        <v/>
      </c>
      <c r="B163" s="299" t="str">
        <f>IF('ASIGNACIÓN ASIGNATURAS'!$AF163=1,'ASIGNACIÓN ASIGNATURAS'!$O163,"")</f>
        <v/>
      </c>
      <c r="C163" s="299" t="str">
        <f>IF('ASIGNACIÓN ASIGNATURAS'!$AF163=1,'ASIGNACIÓN ASIGNATURAS'!$P163,"")</f>
        <v/>
      </c>
      <c r="D163" s="299" t="str">
        <f>IF('ASIGNACIÓN ASIGNATURAS'!$AF163=1,'ASIGNACIÓN ASIGNATURAS'!$S163,"")</f>
        <v/>
      </c>
      <c r="E163" s="299" t="str">
        <f>IF('ASIGNACIÓN ASIGNATURAS'!$AF163=1,'ASIGNACIÓN ASIGNATURAS'!$T163,"")</f>
        <v/>
      </c>
      <c r="F163" s="299" t="str">
        <f>IF('ASIGNACIÓN ASIGNATURAS'!$AF163=1,'ASIGNACIÓN ASIGNATURAS'!$U163,"")</f>
        <v/>
      </c>
      <c r="G163" s="300" t="str">
        <f>IF(B163='PLAN DE ESTUDIO'!$XFD$41,"",+E163+F163)</f>
        <v/>
      </c>
    </row>
    <row r="164" spans="1:7" x14ac:dyDescent="0.3">
      <c r="A164" s="299" t="str">
        <f>IF('ASIGNACIÓN ASIGNATURAS'!$AF164=1,'ASIGNACIÓN ASIGNATURAS'!$M164,"")</f>
        <v/>
      </c>
      <c r="B164" s="299" t="str">
        <f>IF('ASIGNACIÓN ASIGNATURAS'!$AF164=1,'ASIGNACIÓN ASIGNATURAS'!$O164,"")</f>
        <v/>
      </c>
      <c r="C164" s="299" t="str">
        <f>IF('ASIGNACIÓN ASIGNATURAS'!$AF164=1,'ASIGNACIÓN ASIGNATURAS'!$P164,"")</f>
        <v/>
      </c>
      <c r="D164" s="299" t="str">
        <f>IF('ASIGNACIÓN ASIGNATURAS'!$AF164=1,'ASIGNACIÓN ASIGNATURAS'!$S164,"")</f>
        <v/>
      </c>
      <c r="E164" s="299" t="str">
        <f>IF('ASIGNACIÓN ASIGNATURAS'!$AF164=1,'ASIGNACIÓN ASIGNATURAS'!$T164,"")</f>
        <v/>
      </c>
      <c r="F164" s="299" t="str">
        <f>IF('ASIGNACIÓN ASIGNATURAS'!$AF164=1,'ASIGNACIÓN ASIGNATURAS'!$U164,"")</f>
        <v/>
      </c>
      <c r="G164" s="300" t="str">
        <f>IF(B164='PLAN DE ESTUDIO'!$XFD$41,"",+E164+F164)</f>
        <v/>
      </c>
    </row>
    <row r="165" spans="1:7" x14ac:dyDescent="0.3">
      <c r="A165" s="299" t="str">
        <f>IF('ASIGNACIÓN ASIGNATURAS'!$AF165=1,'ASIGNACIÓN ASIGNATURAS'!$M165,"")</f>
        <v/>
      </c>
      <c r="B165" s="299" t="str">
        <f>IF('ASIGNACIÓN ASIGNATURAS'!$AF165=1,'ASIGNACIÓN ASIGNATURAS'!$O165,"")</f>
        <v/>
      </c>
      <c r="C165" s="299" t="str">
        <f>IF('ASIGNACIÓN ASIGNATURAS'!$AF165=1,'ASIGNACIÓN ASIGNATURAS'!$P165,"")</f>
        <v/>
      </c>
      <c r="D165" s="299" t="str">
        <f>IF('ASIGNACIÓN ASIGNATURAS'!$AF165=1,'ASIGNACIÓN ASIGNATURAS'!$S165,"")</f>
        <v/>
      </c>
      <c r="E165" s="299" t="str">
        <f>IF('ASIGNACIÓN ASIGNATURAS'!$AF165=1,'ASIGNACIÓN ASIGNATURAS'!$T165,"")</f>
        <v/>
      </c>
      <c r="F165" s="299" t="str">
        <f>IF('ASIGNACIÓN ASIGNATURAS'!$AF165=1,'ASIGNACIÓN ASIGNATURAS'!$U165,"")</f>
        <v/>
      </c>
      <c r="G165" s="300" t="str">
        <f>IF(B165='PLAN DE ESTUDIO'!$XFD$41,"",+E165+F165)</f>
        <v/>
      </c>
    </row>
    <row r="166" spans="1:7" x14ac:dyDescent="0.3">
      <c r="A166" s="299" t="str">
        <f>IF('ASIGNACIÓN ASIGNATURAS'!$AF166=1,'ASIGNACIÓN ASIGNATURAS'!$M166,"")</f>
        <v/>
      </c>
      <c r="B166" s="299" t="str">
        <f>IF('ASIGNACIÓN ASIGNATURAS'!$AF166=1,'ASIGNACIÓN ASIGNATURAS'!$O166,"")</f>
        <v/>
      </c>
      <c r="C166" s="299" t="str">
        <f>IF('ASIGNACIÓN ASIGNATURAS'!$AF166=1,'ASIGNACIÓN ASIGNATURAS'!$P166,"")</f>
        <v/>
      </c>
      <c r="D166" s="299" t="str">
        <f>IF('ASIGNACIÓN ASIGNATURAS'!$AF166=1,'ASIGNACIÓN ASIGNATURAS'!$S166,"")</f>
        <v/>
      </c>
      <c r="E166" s="299" t="str">
        <f>IF('ASIGNACIÓN ASIGNATURAS'!$AF166=1,'ASIGNACIÓN ASIGNATURAS'!$T166,"")</f>
        <v/>
      </c>
      <c r="F166" s="299" t="str">
        <f>IF('ASIGNACIÓN ASIGNATURAS'!$AF166=1,'ASIGNACIÓN ASIGNATURAS'!$U166,"")</f>
        <v/>
      </c>
      <c r="G166" s="300" t="str">
        <f>IF(B166='PLAN DE ESTUDIO'!$XFD$41,"",+E166+F166)</f>
        <v/>
      </c>
    </row>
    <row r="167" spans="1:7" x14ac:dyDescent="0.3">
      <c r="A167" s="299" t="str">
        <f>IF('ASIGNACIÓN ASIGNATURAS'!$AF167=1,'ASIGNACIÓN ASIGNATURAS'!$M167,"")</f>
        <v/>
      </c>
      <c r="B167" s="299" t="str">
        <f>IF('ASIGNACIÓN ASIGNATURAS'!$AF167=1,'ASIGNACIÓN ASIGNATURAS'!$O167,"")</f>
        <v/>
      </c>
      <c r="C167" s="299" t="str">
        <f>IF('ASIGNACIÓN ASIGNATURAS'!$AF167=1,'ASIGNACIÓN ASIGNATURAS'!$P167,"")</f>
        <v/>
      </c>
      <c r="D167" s="299" t="str">
        <f>IF('ASIGNACIÓN ASIGNATURAS'!$AF167=1,'ASIGNACIÓN ASIGNATURAS'!$S167,"")</f>
        <v/>
      </c>
      <c r="E167" s="299" t="str">
        <f>IF('ASIGNACIÓN ASIGNATURAS'!$AF167=1,'ASIGNACIÓN ASIGNATURAS'!$T167,"")</f>
        <v/>
      </c>
      <c r="F167" s="299" t="str">
        <f>IF('ASIGNACIÓN ASIGNATURAS'!$AF167=1,'ASIGNACIÓN ASIGNATURAS'!$U167,"")</f>
        <v/>
      </c>
      <c r="G167" s="300" t="str">
        <f>IF(B167='PLAN DE ESTUDIO'!$XFD$41,"",+E167+F167)</f>
        <v/>
      </c>
    </row>
    <row r="168" spans="1:7" x14ac:dyDescent="0.3">
      <c r="A168" s="299" t="str">
        <f>IF('ASIGNACIÓN ASIGNATURAS'!$AF168=1,'ASIGNACIÓN ASIGNATURAS'!$M168,"")</f>
        <v/>
      </c>
      <c r="B168" s="299" t="str">
        <f>IF('ASIGNACIÓN ASIGNATURAS'!$AF168=1,'ASIGNACIÓN ASIGNATURAS'!$O168,"")</f>
        <v/>
      </c>
      <c r="C168" s="299" t="str">
        <f>IF('ASIGNACIÓN ASIGNATURAS'!$AF168=1,'ASIGNACIÓN ASIGNATURAS'!$P168,"")</f>
        <v/>
      </c>
      <c r="D168" s="299" t="str">
        <f>IF('ASIGNACIÓN ASIGNATURAS'!$AF168=1,'ASIGNACIÓN ASIGNATURAS'!$S168,"")</f>
        <v/>
      </c>
      <c r="E168" s="299" t="str">
        <f>IF('ASIGNACIÓN ASIGNATURAS'!$AF168=1,'ASIGNACIÓN ASIGNATURAS'!$T168,"")</f>
        <v/>
      </c>
      <c r="F168" s="299" t="str">
        <f>IF('ASIGNACIÓN ASIGNATURAS'!$AF168=1,'ASIGNACIÓN ASIGNATURAS'!$U168,"")</f>
        <v/>
      </c>
      <c r="G168" s="300" t="str">
        <f>IF(B168='PLAN DE ESTUDIO'!$XFD$41,"",+E168+F168)</f>
        <v/>
      </c>
    </row>
    <row r="169" spans="1:7" x14ac:dyDescent="0.3">
      <c r="A169" s="299" t="str">
        <f>IF('ASIGNACIÓN ASIGNATURAS'!$AF169=1,'ASIGNACIÓN ASIGNATURAS'!$M169,"")</f>
        <v/>
      </c>
      <c r="B169" s="299" t="str">
        <f>IF('ASIGNACIÓN ASIGNATURAS'!$AF169=1,'ASIGNACIÓN ASIGNATURAS'!$O169,"")</f>
        <v/>
      </c>
      <c r="C169" s="299" t="str">
        <f>IF('ASIGNACIÓN ASIGNATURAS'!$AF169=1,'ASIGNACIÓN ASIGNATURAS'!$P169,"")</f>
        <v/>
      </c>
      <c r="D169" s="299" t="str">
        <f>IF('ASIGNACIÓN ASIGNATURAS'!$AF169=1,'ASIGNACIÓN ASIGNATURAS'!$S169,"")</f>
        <v/>
      </c>
      <c r="E169" s="299" t="str">
        <f>IF('ASIGNACIÓN ASIGNATURAS'!$AF169=1,'ASIGNACIÓN ASIGNATURAS'!$T169,"")</f>
        <v/>
      </c>
      <c r="F169" s="299" t="str">
        <f>IF('ASIGNACIÓN ASIGNATURAS'!$AF169=1,'ASIGNACIÓN ASIGNATURAS'!$U169,"")</f>
        <v/>
      </c>
      <c r="G169" s="300" t="str">
        <f>IF(B169='PLAN DE ESTUDIO'!$XFD$41,"",+E169+F169)</f>
        <v/>
      </c>
    </row>
    <row r="170" spans="1:7" x14ac:dyDescent="0.3">
      <c r="A170" s="299" t="str">
        <f>IF('ASIGNACIÓN ASIGNATURAS'!$AF170=1,'ASIGNACIÓN ASIGNATURAS'!$M170,"")</f>
        <v/>
      </c>
      <c r="B170" s="299" t="str">
        <f>IF('ASIGNACIÓN ASIGNATURAS'!$AF170=1,'ASIGNACIÓN ASIGNATURAS'!$O170,"")</f>
        <v/>
      </c>
      <c r="C170" s="299" t="str">
        <f>IF('ASIGNACIÓN ASIGNATURAS'!$AF170=1,'ASIGNACIÓN ASIGNATURAS'!$P170,"")</f>
        <v/>
      </c>
      <c r="D170" s="299" t="str">
        <f>IF('ASIGNACIÓN ASIGNATURAS'!$AF170=1,'ASIGNACIÓN ASIGNATURAS'!$S170,"")</f>
        <v/>
      </c>
      <c r="E170" s="299" t="str">
        <f>IF('ASIGNACIÓN ASIGNATURAS'!$AF170=1,'ASIGNACIÓN ASIGNATURAS'!$T170,"")</f>
        <v/>
      </c>
      <c r="F170" s="299" t="str">
        <f>IF('ASIGNACIÓN ASIGNATURAS'!$AF170=1,'ASIGNACIÓN ASIGNATURAS'!$U170,"")</f>
        <v/>
      </c>
      <c r="G170" s="300" t="str">
        <f>IF(B170='PLAN DE ESTUDIO'!$XFD$41,"",+E170+F170)</f>
        <v/>
      </c>
    </row>
    <row r="171" spans="1:7" x14ac:dyDescent="0.3">
      <c r="A171" s="299" t="str">
        <f>IF('ASIGNACIÓN ASIGNATURAS'!$AF171=1,'ASIGNACIÓN ASIGNATURAS'!$M171,"")</f>
        <v/>
      </c>
      <c r="B171" s="299" t="str">
        <f>IF('ASIGNACIÓN ASIGNATURAS'!$AF171=1,'ASIGNACIÓN ASIGNATURAS'!$O171,"")</f>
        <v/>
      </c>
      <c r="C171" s="299" t="str">
        <f>IF('ASIGNACIÓN ASIGNATURAS'!$AF171=1,'ASIGNACIÓN ASIGNATURAS'!$P171,"")</f>
        <v/>
      </c>
      <c r="D171" s="299" t="str">
        <f>IF('ASIGNACIÓN ASIGNATURAS'!$AF171=1,'ASIGNACIÓN ASIGNATURAS'!$S171,"")</f>
        <v/>
      </c>
      <c r="E171" s="299" t="str">
        <f>IF('ASIGNACIÓN ASIGNATURAS'!$AF171=1,'ASIGNACIÓN ASIGNATURAS'!$T171,"")</f>
        <v/>
      </c>
      <c r="F171" s="299" t="str">
        <f>IF('ASIGNACIÓN ASIGNATURAS'!$AF171=1,'ASIGNACIÓN ASIGNATURAS'!$U171,"")</f>
        <v/>
      </c>
      <c r="G171" s="300" t="str">
        <f>IF(B171='PLAN DE ESTUDIO'!$XFD$41,"",+E171+F171)</f>
        <v/>
      </c>
    </row>
    <row r="172" spans="1:7" x14ac:dyDescent="0.3">
      <c r="A172" s="299" t="str">
        <f>IF('ASIGNACIÓN ASIGNATURAS'!$AF172=1,'ASIGNACIÓN ASIGNATURAS'!$M172,"")</f>
        <v/>
      </c>
      <c r="B172" s="299" t="str">
        <f>IF('ASIGNACIÓN ASIGNATURAS'!$AF172=1,'ASIGNACIÓN ASIGNATURAS'!$O172,"")</f>
        <v/>
      </c>
      <c r="C172" s="299" t="str">
        <f>IF('ASIGNACIÓN ASIGNATURAS'!$AF172=1,'ASIGNACIÓN ASIGNATURAS'!$P172,"")</f>
        <v/>
      </c>
      <c r="D172" s="299" t="str">
        <f>IF('ASIGNACIÓN ASIGNATURAS'!$AF172=1,'ASIGNACIÓN ASIGNATURAS'!$S172,"")</f>
        <v/>
      </c>
      <c r="E172" s="299" t="str">
        <f>IF('ASIGNACIÓN ASIGNATURAS'!$AF172=1,'ASIGNACIÓN ASIGNATURAS'!$T172,"")</f>
        <v/>
      </c>
      <c r="F172" s="299" t="str">
        <f>IF('ASIGNACIÓN ASIGNATURAS'!$AF172=1,'ASIGNACIÓN ASIGNATURAS'!$U172,"")</f>
        <v/>
      </c>
      <c r="G172" s="300" t="str">
        <f>IF(B172='PLAN DE ESTUDIO'!$XFD$41,"",+E172+F172)</f>
        <v/>
      </c>
    </row>
    <row r="173" spans="1:7" x14ac:dyDescent="0.3">
      <c r="A173" s="299" t="str">
        <f>IF('ASIGNACIÓN ASIGNATURAS'!$AF173=1,'ASIGNACIÓN ASIGNATURAS'!$M173,"")</f>
        <v/>
      </c>
      <c r="B173" s="299" t="str">
        <f>IF('ASIGNACIÓN ASIGNATURAS'!$AF173=1,'ASIGNACIÓN ASIGNATURAS'!$O173,"")</f>
        <v/>
      </c>
      <c r="C173" s="299" t="str">
        <f>IF('ASIGNACIÓN ASIGNATURAS'!$AF173=1,'ASIGNACIÓN ASIGNATURAS'!$P173,"")</f>
        <v/>
      </c>
      <c r="D173" s="299" t="str">
        <f>IF('ASIGNACIÓN ASIGNATURAS'!$AF173=1,'ASIGNACIÓN ASIGNATURAS'!$S173,"")</f>
        <v/>
      </c>
      <c r="E173" s="299" t="str">
        <f>IF('ASIGNACIÓN ASIGNATURAS'!$AF173=1,'ASIGNACIÓN ASIGNATURAS'!$T173,"")</f>
        <v/>
      </c>
      <c r="F173" s="299" t="str">
        <f>IF('ASIGNACIÓN ASIGNATURAS'!$AF173=1,'ASIGNACIÓN ASIGNATURAS'!$U173,"")</f>
        <v/>
      </c>
      <c r="G173" s="300" t="str">
        <f>IF(B173='PLAN DE ESTUDIO'!$XFD$41,"",+E173+F173)</f>
        <v/>
      </c>
    </row>
    <row r="174" spans="1:7" x14ac:dyDescent="0.3">
      <c r="A174" s="299" t="str">
        <f>IF('ASIGNACIÓN ASIGNATURAS'!$AF174=1,'ASIGNACIÓN ASIGNATURAS'!$M174,"")</f>
        <v/>
      </c>
      <c r="B174" s="299" t="str">
        <f>IF('ASIGNACIÓN ASIGNATURAS'!$AF174=1,'ASIGNACIÓN ASIGNATURAS'!$O174,"")</f>
        <v/>
      </c>
      <c r="C174" s="299" t="str">
        <f>IF('ASIGNACIÓN ASIGNATURAS'!$AF174=1,'ASIGNACIÓN ASIGNATURAS'!$P174,"")</f>
        <v/>
      </c>
      <c r="D174" s="299" t="str">
        <f>IF('ASIGNACIÓN ASIGNATURAS'!$AF174=1,'ASIGNACIÓN ASIGNATURAS'!$S174,"")</f>
        <v/>
      </c>
      <c r="E174" s="299" t="str">
        <f>IF('ASIGNACIÓN ASIGNATURAS'!$AF174=1,'ASIGNACIÓN ASIGNATURAS'!$T174,"")</f>
        <v/>
      </c>
      <c r="F174" s="299" t="str">
        <f>IF('ASIGNACIÓN ASIGNATURAS'!$AF174=1,'ASIGNACIÓN ASIGNATURAS'!$U174,"")</f>
        <v/>
      </c>
      <c r="G174" s="300" t="str">
        <f>IF(B174='PLAN DE ESTUDIO'!$XFD$41,"",+E174+F174)</f>
        <v/>
      </c>
    </row>
    <row r="175" spans="1:7" x14ac:dyDescent="0.3">
      <c r="A175" s="299" t="str">
        <f>IF('ASIGNACIÓN ASIGNATURAS'!$AF175=1,'ASIGNACIÓN ASIGNATURAS'!$M175,"")</f>
        <v/>
      </c>
      <c r="B175" s="299" t="str">
        <f>IF('ASIGNACIÓN ASIGNATURAS'!$AF175=1,'ASIGNACIÓN ASIGNATURAS'!$O175,"")</f>
        <v/>
      </c>
      <c r="C175" s="299" t="str">
        <f>IF('ASIGNACIÓN ASIGNATURAS'!$AF175=1,'ASIGNACIÓN ASIGNATURAS'!$P175,"")</f>
        <v/>
      </c>
      <c r="D175" s="299" t="str">
        <f>IF('ASIGNACIÓN ASIGNATURAS'!$AF175=1,'ASIGNACIÓN ASIGNATURAS'!$S175,"")</f>
        <v/>
      </c>
      <c r="E175" s="299" t="str">
        <f>IF('ASIGNACIÓN ASIGNATURAS'!$AF175=1,'ASIGNACIÓN ASIGNATURAS'!$T175,"")</f>
        <v/>
      </c>
      <c r="F175" s="299" t="str">
        <f>IF('ASIGNACIÓN ASIGNATURAS'!$AF175=1,'ASIGNACIÓN ASIGNATURAS'!$U175,"")</f>
        <v/>
      </c>
      <c r="G175" s="300" t="str">
        <f>IF(B175='PLAN DE ESTUDIO'!$XFD$41,"",+E175+F175)</f>
        <v/>
      </c>
    </row>
    <row r="176" spans="1:7" x14ac:dyDescent="0.3">
      <c r="A176" s="299" t="str">
        <f>IF('ASIGNACIÓN ASIGNATURAS'!$AF176=1,'ASIGNACIÓN ASIGNATURAS'!$M176,"")</f>
        <v/>
      </c>
      <c r="B176" s="299" t="str">
        <f>IF('ASIGNACIÓN ASIGNATURAS'!$AF176=1,'ASIGNACIÓN ASIGNATURAS'!$O176,"")</f>
        <v/>
      </c>
      <c r="C176" s="299" t="str">
        <f>IF('ASIGNACIÓN ASIGNATURAS'!$AF176=1,'ASIGNACIÓN ASIGNATURAS'!$P176,"")</f>
        <v/>
      </c>
      <c r="D176" s="299" t="str">
        <f>IF('ASIGNACIÓN ASIGNATURAS'!$AF176=1,'ASIGNACIÓN ASIGNATURAS'!$S176,"")</f>
        <v/>
      </c>
      <c r="E176" s="299" t="str">
        <f>IF('ASIGNACIÓN ASIGNATURAS'!$AF176=1,'ASIGNACIÓN ASIGNATURAS'!$T176,"")</f>
        <v/>
      </c>
      <c r="F176" s="299" t="str">
        <f>IF('ASIGNACIÓN ASIGNATURAS'!$AF176=1,'ASIGNACIÓN ASIGNATURAS'!$U176,"")</f>
        <v/>
      </c>
      <c r="G176" s="300" t="str">
        <f>IF(B176='PLAN DE ESTUDIO'!$XFD$41,"",+E176+F176)</f>
        <v/>
      </c>
    </row>
    <row r="177" spans="1:7" x14ac:dyDescent="0.3">
      <c r="A177" s="299" t="str">
        <f>IF('ASIGNACIÓN ASIGNATURAS'!$AF177=1,'ASIGNACIÓN ASIGNATURAS'!$M177,"")</f>
        <v/>
      </c>
      <c r="B177" s="299" t="str">
        <f>IF('ASIGNACIÓN ASIGNATURAS'!$AF177=1,'ASIGNACIÓN ASIGNATURAS'!$O177,"")</f>
        <v/>
      </c>
      <c r="C177" s="299" t="str">
        <f>IF('ASIGNACIÓN ASIGNATURAS'!$AF177=1,'ASIGNACIÓN ASIGNATURAS'!$P177,"")</f>
        <v/>
      </c>
      <c r="D177" s="299" t="str">
        <f>IF('ASIGNACIÓN ASIGNATURAS'!$AF177=1,'ASIGNACIÓN ASIGNATURAS'!$S177,"")</f>
        <v/>
      </c>
      <c r="E177" s="299" t="str">
        <f>IF('ASIGNACIÓN ASIGNATURAS'!$AF177=1,'ASIGNACIÓN ASIGNATURAS'!$T177,"")</f>
        <v/>
      </c>
      <c r="F177" s="299" t="str">
        <f>IF('ASIGNACIÓN ASIGNATURAS'!$AF177=1,'ASIGNACIÓN ASIGNATURAS'!$U177,"")</f>
        <v/>
      </c>
      <c r="G177" s="300" t="str">
        <f>IF(B177='PLAN DE ESTUDIO'!$XFD$41,"",+E177+F177)</f>
        <v/>
      </c>
    </row>
    <row r="178" spans="1:7" x14ac:dyDescent="0.3">
      <c r="A178" s="299" t="str">
        <f>IF('ASIGNACIÓN ASIGNATURAS'!$AF178=1,'ASIGNACIÓN ASIGNATURAS'!$M178,"")</f>
        <v/>
      </c>
      <c r="B178" s="299" t="str">
        <f>IF('ASIGNACIÓN ASIGNATURAS'!$AF178=1,'ASIGNACIÓN ASIGNATURAS'!$O178,"")</f>
        <v/>
      </c>
      <c r="C178" s="299" t="str">
        <f>IF('ASIGNACIÓN ASIGNATURAS'!$AF178=1,'ASIGNACIÓN ASIGNATURAS'!$P178,"")</f>
        <v/>
      </c>
      <c r="D178" s="299" t="str">
        <f>IF('ASIGNACIÓN ASIGNATURAS'!$AF178=1,'ASIGNACIÓN ASIGNATURAS'!$S178,"")</f>
        <v/>
      </c>
      <c r="E178" s="299" t="str">
        <f>IF('ASIGNACIÓN ASIGNATURAS'!$AF178=1,'ASIGNACIÓN ASIGNATURAS'!$T178,"")</f>
        <v/>
      </c>
      <c r="F178" s="299" t="str">
        <f>IF('ASIGNACIÓN ASIGNATURAS'!$AF178=1,'ASIGNACIÓN ASIGNATURAS'!$U178,"")</f>
        <v/>
      </c>
      <c r="G178" s="300" t="str">
        <f>IF(B178='PLAN DE ESTUDIO'!$XFD$41,"",+E178+F178)</f>
        <v/>
      </c>
    </row>
    <row r="179" spans="1:7" x14ac:dyDescent="0.3">
      <c r="A179" s="299" t="str">
        <f>IF('ASIGNACIÓN ASIGNATURAS'!$AF179=1,'ASIGNACIÓN ASIGNATURAS'!$M179,"")</f>
        <v/>
      </c>
      <c r="B179" s="299" t="str">
        <f>IF('ASIGNACIÓN ASIGNATURAS'!$AF179=1,'ASIGNACIÓN ASIGNATURAS'!$O179,"")</f>
        <v/>
      </c>
      <c r="C179" s="299" t="str">
        <f>IF('ASIGNACIÓN ASIGNATURAS'!$AF179=1,'ASIGNACIÓN ASIGNATURAS'!$P179,"")</f>
        <v/>
      </c>
      <c r="D179" s="299" t="str">
        <f>IF('ASIGNACIÓN ASIGNATURAS'!$AF179=1,'ASIGNACIÓN ASIGNATURAS'!$S179,"")</f>
        <v/>
      </c>
      <c r="E179" s="299" t="str">
        <f>IF('ASIGNACIÓN ASIGNATURAS'!$AF179=1,'ASIGNACIÓN ASIGNATURAS'!$T179,"")</f>
        <v/>
      </c>
      <c r="F179" s="299" t="str">
        <f>IF('ASIGNACIÓN ASIGNATURAS'!$AF179=1,'ASIGNACIÓN ASIGNATURAS'!$U179,"")</f>
        <v/>
      </c>
      <c r="G179" s="300" t="str">
        <f>IF(B179='PLAN DE ESTUDIO'!$XFD$41,"",+E179+F179)</f>
        <v/>
      </c>
    </row>
    <row r="180" spans="1:7" x14ac:dyDescent="0.3">
      <c r="A180" s="299" t="str">
        <f>IF('ASIGNACIÓN ASIGNATURAS'!$AF180=1,'ASIGNACIÓN ASIGNATURAS'!$M180,"")</f>
        <v/>
      </c>
      <c r="B180" s="299" t="str">
        <f>IF('ASIGNACIÓN ASIGNATURAS'!$AF180=1,'ASIGNACIÓN ASIGNATURAS'!$O180,"")</f>
        <v/>
      </c>
      <c r="C180" s="299" t="str">
        <f>IF('ASIGNACIÓN ASIGNATURAS'!$AF180=1,'ASIGNACIÓN ASIGNATURAS'!$P180,"")</f>
        <v/>
      </c>
      <c r="D180" s="299" t="str">
        <f>IF('ASIGNACIÓN ASIGNATURAS'!$AF180=1,'ASIGNACIÓN ASIGNATURAS'!$S180,"")</f>
        <v/>
      </c>
      <c r="E180" s="299" t="str">
        <f>IF('ASIGNACIÓN ASIGNATURAS'!$AF180=1,'ASIGNACIÓN ASIGNATURAS'!$T180,"")</f>
        <v/>
      </c>
      <c r="F180" s="299" t="str">
        <f>IF('ASIGNACIÓN ASIGNATURAS'!$AF180=1,'ASIGNACIÓN ASIGNATURAS'!$U180,"")</f>
        <v/>
      </c>
      <c r="G180" s="300" t="str">
        <f>IF(B180='PLAN DE ESTUDIO'!$XFD$41,"",+E180+F180)</f>
        <v/>
      </c>
    </row>
    <row r="181" spans="1:7" x14ac:dyDescent="0.3">
      <c r="A181" s="299" t="str">
        <f>IF('ASIGNACIÓN ASIGNATURAS'!$AF181=1,'ASIGNACIÓN ASIGNATURAS'!$M181,"")</f>
        <v/>
      </c>
      <c r="B181" s="299" t="str">
        <f>IF('ASIGNACIÓN ASIGNATURAS'!$AF181=1,'ASIGNACIÓN ASIGNATURAS'!$O181,"")</f>
        <v/>
      </c>
      <c r="C181" s="299" t="str">
        <f>IF('ASIGNACIÓN ASIGNATURAS'!$AF181=1,'ASIGNACIÓN ASIGNATURAS'!$P181,"")</f>
        <v/>
      </c>
      <c r="D181" s="299" t="str">
        <f>IF('ASIGNACIÓN ASIGNATURAS'!$AF181=1,'ASIGNACIÓN ASIGNATURAS'!$S181,"")</f>
        <v/>
      </c>
      <c r="E181" s="299" t="str">
        <f>IF('ASIGNACIÓN ASIGNATURAS'!$AF181=1,'ASIGNACIÓN ASIGNATURAS'!$T181,"")</f>
        <v/>
      </c>
      <c r="F181" s="299" t="str">
        <f>IF('ASIGNACIÓN ASIGNATURAS'!$AF181=1,'ASIGNACIÓN ASIGNATURAS'!$U181,"")</f>
        <v/>
      </c>
      <c r="G181" s="300" t="str">
        <f>IF(B181='PLAN DE ESTUDIO'!$XFD$41,"",+E181+F181)</f>
        <v/>
      </c>
    </row>
    <row r="182" spans="1:7" x14ac:dyDescent="0.3">
      <c r="A182" s="299" t="str">
        <f>IF('ASIGNACIÓN ASIGNATURAS'!$AF182=1,'ASIGNACIÓN ASIGNATURAS'!$M182,"")</f>
        <v/>
      </c>
      <c r="B182" s="299" t="str">
        <f>IF('ASIGNACIÓN ASIGNATURAS'!$AF182=1,'ASIGNACIÓN ASIGNATURAS'!$O182,"")</f>
        <v/>
      </c>
      <c r="C182" s="299" t="str">
        <f>IF('ASIGNACIÓN ASIGNATURAS'!$AF182=1,'ASIGNACIÓN ASIGNATURAS'!$P182,"")</f>
        <v/>
      </c>
      <c r="D182" s="299" t="str">
        <f>IF('ASIGNACIÓN ASIGNATURAS'!$AF182=1,'ASIGNACIÓN ASIGNATURAS'!$S182,"")</f>
        <v/>
      </c>
      <c r="E182" s="299" t="str">
        <f>IF('ASIGNACIÓN ASIGNATURAS'!$AF182=1,'ASIGNACIÓN ASIGNATURAS'!$T182,"")</f>
        <v/>
      </c>
      <c r="F182" s="299" t="str">
        <f>IF('ASIGNACIÓN ASIGNATURAS'!$AF182=1,'ASIGNACIÓN ASIGNATURAS'!$U182,"")</f>
        <v/>
      </c>
      <c r="G182" s="300" t="str">
        <f>IF(B182='PLAN DE ESTUDIO'!$XFD$41,"",+E182+F182)</f>
        <v/>
      </c>
    </row>
    <row r="183" spans="1:7" x14ac:dyDescent="0.3">
      <c r="A183" s="299" t="str">
        <f>IF('ASIGNACIÓN ASIGNATURAS'!$AF183=1,'ASIGNACIÓN ASIGNATURAS'!$M183,"")</f>
        <v/>
      </c>
      <c r="B183" s="299" t="str">
        <f>IF('ASIGNACIÓN ASIGNATURAS'!$AF183=1,'ASIGNACIÓN ASIGNATURAS'!$O183,"")</f>
        <v/>
      </c>
      <c r="C183" s="299" t="str">
        <f>IF('ASIGNACIÓN ASIGNATURAS'!$AF183=1,'ASIGNACIÓN ASIGNATURAS'!$P183,"")</f>
        <v/>
      </c>
      <c r="D183" s="299" t="str">
        <f>IF('ASIGNACIÓN ASIGNATURAS'!$AF183=1,'ASIGNACIÓN ASIGNATURAS'!$S183,"")</f>
        <v/>
      </c>
      <c r="E183" s="299" t="str">
        <f>IF('ASIGNACIÓN ASIGNATURAS'!$AF183=1,'ASIGNACIÓN ASIGNATURAS'!$T183,"")</f>
        <v/>
      </c>
      <c r="F183" s="299" t="str">
        <f>IF('ASIGNACIÓN ASIGNATURAS'!$AF183=1,'ASIGNACIÓN ASIGNATURAS'!$U183,"")</f>
        <v/>
      </c>
      <c r="G183" s="300" t="str">
        <f>IF(B183='PLAN DE ESTUDIO'!$XFD$41,"",+E183+F183)</f>
        <v/>
      </c>
    </row>
    <row r="184" spans="1:7" x14ac:dyDescent="0.3">
      <c r="A184" s="299" t="str">
        <f>IF('ASIGNACIÓN ASIGNATURAS'!$AF184=1,'ASIGNACIÓN ASIGNATURAS'!$M184,"")</f>
        <v/>
      </c>
      <c r="B184" s="299" t="str">
        <f>IF('ASIGNACIÓN ASIGNATURAS'!$AF184=1,'ASIGNACIÓN ASIGNATURAS'!$O184,"")</f>
        <v/>
      </c>
      <c r="C184" s="299" t="str">
        <f>IF('ASIGNACIÓN ASIGNATURAS'!$AF184=1,'ASIGNACIÓN ASIGNATURAS'!$P184,"")</f>
        <v/>
      </c>
      <c r="D184" s="299" t="str">
        <f>IF('ASIGNACIÓN ASIGNATURAS'!$AF184=1,'ASIGNACIÓN ASIGNATURAS'!$S184,"")</f>
        <v/>
      </c>
      <c r="E184" s="299" t="str">
        <f>IF('ASIGNACIÓN ASIGNATURAS'!$AF184=1,'ASIGNACIÓN ASIGNATURAS'!$T184,"")</f>
        <v/>
      </c>
      <c r="F184" s="299" t="str">
        <f>IF('ASIGNACIÓN ASIGNATURAS'!$AF184=1,'ASIGNACIÓN ASIGNATURAS'!$U184,"")</f>
        <v/>
      </c>
      <c r="G184" s="300" t="str">
        <f>IF(B184='PLAN DE ESTUDIO'!$XFD$41,"",+E184+F184)</f>
        <v/>
      </c>
    </row>
    <row r="185" spans="1:7" x14ac:dyDescent="0.3">
      <c r="A185" s="299" t="str">
        <f>IF('ASIGNACIÓN ASIGNATURAS'!$AF185=1,'ASIGNACIÓN ASIGNATURAS'!$M185,"")</f>
        <v/>
      </c>
      <c r="B185" s="299" t="str">
        <f>IF('ASIGNACIÓN ASIGNATURAS'!$AF185=1,'ASIGNACIÓN ASIGNATURAS'!$O185,"")</f>
        <v/>
      </c>
      <c r="C185" s="299" t="str">
        <f>IF('ASIGNACIÓN ASIGNATURAS'!$AF185=1,'ASIGNACIÓN ASIGNATURAS'!$P185,"")</f>
        <v/>
      </c>
      <c r="D185" s="299" t="str">
        <f>IF('ASIGNACIÓN ASIGNATURAS'!$AF185=1,'ASIGNACIÓN ASIGNATURAS'!$S185,"")</f>
        <v/>
      </c>
      <c r="E185" s="299" t="str">
        <f>IF('ASIGNACIÓN ASIGNATURAS'!$AF185=1,'ASIGNACIÓN ASIGNATURAS'!$T185,"")</f>
        <v/>
      </c>
      <c r="F185" s="299" t="str">
        <f>IF('ASIGNACIÓN ASIGNATURAS'!$AF185=1,'ASIGNACIÓN ASIGNATURAS'!$U185,"")</f>
        <v/>
      </c>
      <c r="G185" s="300" t="str">
        <f>IF(B185='PLAN DE ESTUDIO'!$XFD$41,"",+E185+F185)</f>
        <v/>
      </c>
    </row>
    <row r="186" spans="1:7" x14ac:dyDescent="0.3">
      <c r="A186" s="299" t="str">
        <f>IF('ASIGNACIÓN ASIGNATURAS'!$AF186=1,'ASIGNACIÓN ASIGNATURAS'!$M186,"")</f>
        <v/>
      </c>
      <c r="B186" s="299" t="str">
        <f>IF('ASIGNACIÓN ASIGNATURAS'!$AF186=1,'ASIGNACIÓN ASIGNATURAS'!$O186,"")</f>
        <v/>
      </c>
      <c r="C186" s="299" t="str">
        <f>IF('ASIGNACIÓN ASIGNATURAS'!$AF186=1,'ASIGNACIÓN ASIGNATURAS'!$P186,"")</f>
        <v/>
      </c>
      <c r="D186" s="299" t="str">
        <f>IF('ASIGNACIÓN ASIGNATURAS'!$AF186=1,'ASIGNACIÓN ASIGNATURAS'!$S186,"")</f>
        <v/>
      </c>
      <c r="E186" s="299" t="str">
        <f>IF('ASIGNACIÓN ASIGNATURAS'!$AF186=1,'ASIGNACIÓN ASIGNATURAS'!$T186,"")</f>
        <v/>
      </c>
      <c r="F186" s="299" t="str">
        <f>IF('ASIGNACIÓN ASIGNATURAS'!$AF186=1,'ASIGNACIÓN ASIGNATURAS'!$U186,"")</f>
        <v/>
      </c>
      <c r="G186" s="300" t="str">
        <f>IF(B186='PLAN DE ESTUDIO'!$XFD$41,"",+E186+F186)</f>
        <v/>
      </c>
    </row>
    <row r="187" spans="1:7" x14ac:dyDescent="0.3">
      <c r="A187" s="299" t="str">
        <f>IF('ASIGNACIÓN ASIGNATURAS'!$AF187=1,'ASIGNACIÓN ASIGNATURAS'!$M187,"")</f>
        <v/>
      </c>
      <c r="B187" s="299" t="str">
        <f>IF('ASIGNACIÓN ASIGNATURAS'!$AF187=1,'ASIGNACIÓN ASIGNATURAS'!$O187,"")</f>
        <v/>
      </c>
      <c r="C187" s="299" t="str">
        <f>IF('ASIGNACIÓN ASIGNATURAS'!$AF187=1,'ASIGNACIÓN ASIGNATURAS'!$P187,"")</f>
        <v/>
      </c>
      <c r="D187" s="299" t="str">
        <f>IF('ASIGNACIÓN ASIGNATURAS'!$AF187=1,'ASIGNACIÓN ASIGNATURAS'!$S187,"")</f>
        <v/>
      </c>
      <c r="E187" s="299" t="str">
        <f>IF('ASIGNACIÓN ASIGNATURAS'!$AF187=1,'ASIGNACIÓN ASIGNATURAS'!$T187,"")</f>
        <v/>
      </c>
      <c r="F187" s="299" t="str">
        <f>IF('ASIGNACIÓN ASIGNATURAS'!$AF187=1,'ASIGNACIÓN ASIGNATURAS'!$U187,"")</f>
        <v/>
      </c>
      <c r="G187" s="300" t="str">
        <f>IF(B187='PLAN DE ESTUDIO'!$XFD$41,"",+E187+F187)</f>
        <v/>
      </c>
    </row>
    <row r="188" spans="1:7" x14ac:dyDescent="0.3">
      <c r="A188" s="299" t="str">
        <f>IF('ASIGNACIÓN ASIGNATURAS'!$AF188=1,'ASIGNACIÓN ASIGNATURAS'!$M188,"")</f>
        <v/>
      </c>
      <c r="B188" s="299" t="str">
        <f>IF('ASIGNACIÓN ASIGNATURAS'!$AF188=1,'ASIGNACIÓN ASIGNATURAS'!$O188,"")</f>
        <v/>
      </c>
      <c r="C188" s="299" t="str">
        <f>IF('ASIGNACIÓN ASIGNATURAS'!$AF188=1,'ASIGNACIÓN ASIGNATURAS'!$P188,"")</f>
        <v/>
      </c>
      <c r="D188" s="299" t="str">
        <f>IF('ASIGNACIÓN ASIGNATURAS'!$AF188=1,'ASIGNACIÓN ASIGNATURAS'!$S188,"")</f>
        <v/>
      </c>
      <c r="E188" s="299" t="str">
        <f>IF('ASIGNACIÓN ASIGNATURAS'!$AF188=1,'ASIGNACIÓN ASIGNATURAS'!$T188,"")</f>
        <v/>
      </c>
      <c r="F188" s="299" t="str">
        <f>IF('ASIGNACIÓN ASIGNATURAS'!$AF188=1,'ASIGNACIÓN ASIGNATURAS'!$U188,"")</f>
        <v/>
      </c>
      <c r="G188" s="300" t="str">
        <f>IF(B188='PLAN DE ESTUDIO'!$XFD$41,"",+E188+F188)</f>
        <v/>
      </c>
    </row>
    <row r="189" spans="1:7" x14ac:dyDescent="0.3">
      <c r="A189" s="299" t="str">
        <f>IF('ASIGNACIÓN ASIGNATURAS'!$AF189=1,'ASIGNACIÓN ASIGNATURAS'!$M189,"")</f>
        <v/>
      </c>
      <c r="B189" s="299" t="str">
        <f>IF('ASIGNACIÓN ASIGNATURAS'!$AF189=1,'ASIGNACIÓN ASIGNATURAS'!$O189,"")</f>
        <v/>
      </c>
      <c r="C189" s="299" t="str">
        <f>IF('ASIGNACIÓN ASIGNATURAS'!$AF189=1,'ASIGNACIÓN ASIGNATURAS'!$P189,"")</f>
        <v/>
      </c>
      <c r="D189" s="299" t="str">
        <f>IF('ASIGNACIÓN ASIGNATURAS'!$AF189=1,'ASIGNACIÓN ASIGNATURAS'!$S189,"")</f>
        <v/>
      </c>
      <c r="E189" s="299" t="str">
        <f>IF('ASIGNACIÓN ASIGNATURAS'!$AF189=1,'ASIGNACIÓN ASIGNATURAS'!$T189,"")</f>
        <v/>
      </c>
      <c r="F189" s="299" t="str">
        <f>IF('ASIGNACIÓN ASIGNATURAS'!$AF189=1,'ASIGNACIÓN ASIGNATURAS'!$U189,"")</f>
        <v/>
      </c>
      <c r="G189" s="300" t="str">
        <f>IF(B189='PLAN DE ESTUDIO'!$XFD$41,"",+E189+F189)</f>
        <v/>
      </c>
    </row>
    <row r="190" spans="1:7" x14ac:dyDescent="0.3">
      <c r="A190" s="299" t="str">
        <f>IF('ASIGNACIÓN ASIGNATURAS'!$AF190=1,'ASIGNACIÓN ASIGNATURAS'!$M190,"")</f>
        <v/>
      </c>
      <c r="B190" s="299" t="str">
        <f>IF('ASIGNACIÓN ASIGNATURAS'!$AF190=1,'ASIGNACIÓN ASIGNATURAS'!$O190,"")</f>
        <v/>
      </c>
      <c r="C190" s="299" t="str">
        <f>IF('ASIGNACIÓN ASIGNATURAS'!$AF190=1,'ASIGNACIÓN ASIGNATURAS'!$P190,"")</f>
        <v/>
      </c>
      <c r="D190" s="299" t="str">
        <f>IF('ASIGNACIÓN ASIGNATURAS'!$AF190=1,'ASIGNACIÓN ASIGNATURAS'!$S190,"")</f>
        <v/>
      </c>
      <c r="E190" s="299" t="str">
        <f>IF('ASIGNACIÓN ASIGNATURAS'!$AF190=1,'ASIGNACIÓN ASIGNATURAS'!$T190,"")</f>
        <v/>
      </c>
      <c r="F190" s="299" t="str">
        <f>IF('ASIGNACIÓN ASIGNATURAS'!$AF190=1,'ASIGNACIÓN ASIGNATURAS'!$U190,"")</f>
        <v/>
      </c>
      <c r="G190" s="300" t="str">
        <f>IF(B190='PLAN DE ESTUDIO'!$XFD$41,"",+E190+F190)</f>
        <v/>
      </c>
    </row>
    <row r="191" spans="1:7" x14ac:dyDescent="0.3">
      <c r="A191" s="299" t="str">
        <f>IF('ASIGNACIÓN ASIGNATURAS'!$AF191=1,'ASIGNACIÓN ASIGNATURAS'!$M191,"")</f>
        <v/>
      </c>
      <c r="B191" s="299" t="str">
        <f>IF('ASIGNACIÓN ASIGNATURAS'!$AF191=1,'ASIGNACIÓN ASIGNATURAS'!$O191,"")</f>
        <v/>
      </c>
      <c r="C191" s="299" t="str">
        <f>IF('ASIGNACIÓN ASIGNATURAS'!$AF191=1,'ASIGNACIÓN ASIGNATURAS'!$P191,"")</f>
        <v/>
      </c>
      <c r="D191" s="299" t="str">
        <f>IF('ASIGNACIÓN ASIGNATURAS'!$AF191=1,'ASIGNACIÓN ASIGNATURAS'!$S191,"")</f>
        <v/>
      </c>
      <c r="E191" s="299" t="str">
        <f>IF('ASIGNACIÓN ASIGNATURAS'!$AF191=1,'ASIGNACIÓN ASIGNATURAS'!$T191,"")</f>
        <v/>
      </c>
      <c r="F191" s="299" t="str">
        <f>IF('ASIGNACIÓN ASIGNATURAS'!$AF191=1,'ASIGNACIÓN ASIGNATURAS'!$U191,"")</f>
        <v/>
      </c>
      <c r="G191" s="300" t="str">
        <f>IF(B191='PLAN DE ESTUDIO'!$XFD$41,"",+E191+F191)</f>
        <v/>
      </c>
    </row>
    <row r="192" spans="1:7" x14ac:dyDescent="0.3">
      <c r="A192" s="299" t="str">
        <f>IF('ASIGNACIÓN ASIGNATURAS'!$AF192=1,'ASIGNACIÓN ASIGNATURAS'!$M192,"")</f>
        <v/>
      </c>
      <c r="B192" s="299" t="str">
        <f>IF('ASIGNACIÓN ASIGNATURAS'!$AF192=1,'ASIGNACIÓN ASIGNATURAS'!$O192,"")</f>
        <v/>
      </c>
      <c r="C192" s="299" t="str">
        <f>IF('ASIGNACIÓN ASIGNATURAS'!$AF192=1,'ASIGNACIÓN ASIGNATURAS'!$P192,"")</f>
        <v/>
      </c>
      <c r="D192" s="299" t="str">
        <f>IF('ASIGNACIÓN ASIGNATURAS'!$AF192=1,'ASIGNACIÓN ASIGNATURAS'!$S192,"")</f>
        <v/>
      </c>
      <c r="E192" s="299" t="str">
        <f>IF('ASIGNACIÓN ASIGNATURAS'!$AF192=1,'ASIGNACIÓN ASIGNATURAS'!$T192,"")</f>
        <v/>
      </c>
      <c r="F192" s="299" t="str">
        <f>IF('ASIGNACIÓN ASIGNATURAS'!$AF192=1,'ASIGNACIÓN ASIGNATURAS'!$U192,"")</f>
        <v/>
      </c>
      <c r="G192" s="300" t="str">
        <f>IF(B192='PLAN DE ESTUDIO'!$XFD$41,"",+E192+F192)</f>
        <v/>
      </c>
    </row>
    <row r="193" spans="1:7" x14ac:dyDescent="0.3">
      <c r="A193" s="299" t="str">
        <f>IF('ASIGNACIÓN ASIGNATURAS'!$AF193=1,'ASIGNACIÓN ASIGNATURAS'!$M193,"")</f>
        <v/>
      </c>
      <c r="B193" s="299" t="str">
        <f>IF('ASIGNACIÓN ASIGNATURAS'!$AF193=1,'ASIGNACIÓN ASIGNATURAS'!$O193,"")</f>
        <v/>
      </c>
      <c r="C193" s="299" t="str">
        <f>IF('ASIGNACIÓN ASIGNATURAS'!$AF193=1,'ASIGNACIÓN ASIGNATURAS'!$P193,"")</f>
        <v/>
      </c>
      <c r="D193" s="299" t="str">
        <f>IF('ASIGNACIÓN ASIGNATURAS'!$AF193=1,'ASIGNACIÓN ASIGNATURAS'!$S193,"")</f>
        <v/>
      </c>
      <c r="E193" s="299" t="str">
        <f>IF('ASIGNACIÓN ASIGNATURAS'!$AF193=1,'ASIGNACIÓN ASIGNATURAS'!$T193,"")</f>
        <v/>
      </c>
      <c r="F193" s="299" t="str">
        <f>IF('ASIGNACIÓN ASIGNATURAS'!$AF193=1,'ASIGNACIÓN ASIGNATURAS'!$U193,"")</f>
        <v/>
      </c>
      <c r="G193" s="300" t="str">
        <f>IF(B193='PLAN DE ESTUDIO'!$XFD$41,"",+E193+F193)</f>
        <v/>
      </c>
    </row>
    <row r="194" spans="1:7" x14ac:dyDescent="0.3">
      <c r="A194" s="299" t="str">
        <f>IF('ASIGNACIÓN ASIGNATURAS'!$AF194=1,'ASIGNACIÓN ASIGNATURAS'!$M194,"")</f>
        <v/>
      </c>
      <c r="B194" s="299" t="str">
        <f>IF('ASIGNACIÓN ASIGNATURAS'!$AF194=1,'ASIGNACIÓN ASIGNATURAS'!$O194,"")</f>
        <v/>
      </c>
      <c r="C194" s="299" t="str">
        <f>IF('ASIGNACIÓN ASIGNATURAS'!$AF194=1,'ASIGNACIÓN ASIGNATURAS'!$P194,"")</f>
        <v/>
      </c>
      <c r="D194" s="299" t="str">
        <f>IF('ASIGNACIÓN ASIGNATURAS'!$AF194=1,'ASIGNACIÓN ASIGNATURAS'!$S194,"")</f>
        <v/>
      </c>
      <c r="E194" s="299" t="str">
        <f>IF('ASIGNACIÓN ASIGNATURAS'!$AF194=1,'ASIGNACIÓN ASIGNATURAS'!$T194,"")</f>
        <v/>
      </c>
      <c r="F194" s="299" t="str">
        <f>IF('ASIGNACIÓN ASIGNATURAS'!$AF194=1,'ASIGNACIÓN ASIGNATURAS'!$U194,"")</f>
        <v/>
      </c>
      <c r="G194" s="300" t="str">
        <f>IF(B194='PLAN DE ESTUDIO'!$XFD$41,"",+E194+F194)</f>
        <v/>
      </c>
    </row>
    <row r="195" spans="1:7" x14ac:dyDescent="0.3">
      <c r="A195" s="299" t="str">
        <f>IF('ASIGNACIÓN ASIGNATURAS'!$AF195=1,'ASIGNACIÓN ASIGNATURAS'!$M195,"")</f>
        <v/>
      </c>
      <c r="B195" s="299" t="str">
        <f>IF('ASIGNACIÓN ASIGNATURAS'!$AF195=1,'ASIGNACIÓN ASIGNATURAS'!$O195,"")</f>
        <v/>
      </c>
      <c r="C195" s="299" t="str">
        <f>IF('ASIGNACIÓN ASIGNATURAS'!$AF195=1,'ASIGNACIÓN ASIGNATURAS'!$P195,"")</f>
        <v/>
      </c>
      <c r="D195" s="299" t="str">
        <f>IF('ASIGNACIÓN ASIGNATURAS'!$AF195=1,'ASIGNACIÓN ASIGNATURAS'!$S195,"")</f>
        <v/>
      </c>
      <c r="E195" s="299" t="str">
        <f>IF('ASIGNACIÓN ASIGNATURAS'!$AF195=1,'ASIGNACIÓN ASIGNATURAS'!$T195,"")</f>
        <v/>
      </c>
      <c r="F195" s="299" t="str">
        <f>IF('ASIGNACIÓN ASIGNATURAS'!$AF195=1,'ASIGNACIÓN ASIGNATURAS'!$U195,"")</f>
        <v/>
      </c>
      <c r="G195" s="300" t="str">
        <f>IF(B195='PLAN DE ESTUDIO'!$XFD$41,"",+E195+F195)</f>
        <v/>
      </c>
    </row>
    <row r="196" spans="1:7" x14ac:dyDescent="0.3">
      <c r="A196" s="299" t="str">
        <f>IF('ASIGNACIÓN ASIGNATURAS'!$AF196=1,'ASIGNACIÓN ASIGNATURAS'!$M196,"")</f>
        <v/>
      </c>
      <c r="B196" s="299" t="str">
        <f>IF('ASIGNACIÓN ASIGNATURAS'!$AF196=1,'ASIGNACIÓN ASIGNATURAS'!$O196,"")</f>
        <v/>
      </c>
      <c r="C196" s="299" t="str">
        <f>IF('ASIGNACIÓN ASIGNATURAS'!$AF196=1,'ASIGNACIÓN ASIGNATURAS'!$P196,"")</f>
        <v/>
      </c>
      <c r="D196" s="299" t="str">
        <f>IF('ASIGNACIÓN ASIGNATURAS'!$AF196=1,'ASIGNACIÓN ASIGNATURAS'!$S196,"")</f>
        <v/>
      </c>
      <c r="E196" s="299" t="str">
        <f>IF('ASIGNACIÓN ASIGNATURAS'!$AF196=1,'ASIGNACIÓN ASIGNATURAS'!$T196,"")</f>
        <v/>
      </c>
      <c r="F196" s="299" t="str">
        <f>IF('ASIGNACIÓN ASIGNATURAS'!$AF196=1,'ASIGNACIÓN ASIGNATURAS'!$U196,"")</f>
        <v/>
      </c>
      <c r="G196" s="300" t="str">
        <f>IF(B196='PLAN DE ESTUDIO'!$XFD$41,"",+E196+F196)</f>
        <v/>
      </c>
    </row>
    <row r="197" spans="1:7" x14ac:dyDescent="0.3">
      <c r="A197" s="299" t="str">
        <f>IF('ASIGNACIÓN ASIGNATURAS'!$AF197=1,'ASIGNACIÓN ASIGNATURAS'!$M197,"")</f>
        <v/>
      </c>
      <c r="B197" s="299" t="str">
        <f>IF('ASIGNACIÓN ASIGNATURAS'!$AF197=1,'ASIGNACIÓN ASIGNATURAS'!$O197,"")</f>
        <v/>
      </c>
      <c r="C197" s="299" t="str">
        <f>IF('ASIGNACIÓN ASIGNATURAS'!$AF197=1,'ASIGNACIÓN ASIGNATURAS'!$P197,"")</f>
        <v/>
      </c>
      <c r="D197" s="299" t="str">
        <f>IF('ASIGNACIÓN ASIGNATURAS'!$AF197=1,'ASIGNACIÓN ASIGNATURAS'!$S197,"")</f>
        <v/>
      </c>
      <c r="E197" s="299" t="str">
        <f>IF('ASIGNACIÓN ASIGNATURAS'!$AF197=1,'ASIGNACIÓN ASIGNATURAS'!$T197,"")</f>
        <v/>
      </c>
      <c r="F197" s="299" t="str">
        <f>IF('ASIGNACIÓN ASIGNATURAS'!$AF197=1,'ASIGNACIÓN ASIGNATURAS'!$U197,"")</f>
        <v/>
      </c>
      <c r="G197" s="300" t="str">
        <f>IF(B197='PLAN DE ESTUDIO'!$XFD$41,"",+E197+F197)</f>
        <v/>
      </c>
    </row>
    <row r="198" spans="1:7" x14ac:dyDescent="0.3">
      <c r="A198" s="299" t="str">
        <f>IF('ASIGNACIÓN ASIGNATURAS'!$AF198=1,'ASIGNACIÓN ASIGNATURAS'!$M198,"")</f>
        <v/>
      </c>
      <c r="B198" s="299" t="str">
        <f>IF('ASIGNACIÓN ASIGNATURAS'!$AF198=1,'ASIGNACIÓN ASIGNATURAS'!$O198,"")</f>
        <v/>
      </c>
      <c r="C198" s="299" t="str">
        <f>IF('ASIGNACIÓN ASIGNATURAS'!$AF198=1,'ASIGNACIÓN ASIGNATURAS'!$P198,"")</f>
        <v/>
      </c>
      <c r="D198" s="299" t="str">
        <f>IF('ASIGNACIÓN ASIGNATURAS'!$AF198=1,'ASIGNACIÓN ASIGNATURAS'!$S198,"")</f>
        <v/>
      </c>
      <c r="E198" s="299" t="str">
        <f>IF('ASIGNACIÓN ASIGNATURAS'!$AF198=1,'ASIGNACIÓN ASIGNATURAS'!$T198,"")</f>
        <v/>
      </c>
      <c r="F198" s="299" t="str">
        <f>IF('ASIGNACIÓN ASIGNATURAS'!$AF198=1,'ASIGNACIÓN ASIGNATURAS'!$U198,"")</f>
        <v/>
      </c>
      <c r="G198" s="300" t="str">
        <f>IF(B198='PLAN DE ESTUDIO'!$XFD$41,"",+E198+F198)</f>
        <v/>
      </c>
    </row>
    <row r="199" spans="1:7" x14ac:dyDescent="0.3">
      <c r="A199" s="299" t="str">
        <f>IF('ASIGNACIÓN ASIGNATURAS'!$AF199=1,'ASIGNACIÓN ASIGNATURAS'!$M199,"")</f>
        <v/>
      </c>
      <c r="B199" s="299" t="str">
        <f>IF('ASIGNACIÓN ASIGNATURAS'!$AF199=1,'ASIGNACIÓN ASIGNATURAS'!$O199,"")</f>
        <v/>
      </c>
      <c r="C199" s="299" t="str">
        <f>IF('ASIGNACIÓN ASIGNATURAS'!$AF199=1,'ASIGNACIÓN ASIGNATURAS'!$P199,"")</f>
        <v/>
      </c>
      <c r="D199" s="299" t="str">
        <f>IF('ASIGNACIÓN ASIGNATURAS'!$AF199=1,'ASIGNACIÓN ASIGNATURAS'!$S199,"")</f>
        <v/>
      </c>
      <c r="E199" s="299" t="str">
        <f>IF('ASIGNACIÓN ASIGNATURAS'!$AF199=1,'ASIGNACIÓN ASIGNATURAS'!$T199,"")</f>
        <v/>
      </c>
      <c r="F199" s="299" t="str">
        <f>IF('ASIGNACIÓN ASIGNATURAS'!$AF199=1,'ASIGNACIÓN ASIGNATURAS'!$U199,"")</f>
        <v/>
      </c>
      <c r="G199" s="300" t="str">
        <f>IF(B199='PLAN DE ESTUDIO'!$XFD$41,"",+E199+F199)</f>
        <v/>
      </c>
    </row>
    <row r="200" spans="1:7" x14ac:dyDescent="0.3">
      <c r="A200" s="299" t="str">
        <f>IF('ASIGNACIÓN ASIGNATURAS'!$AF200=1,'ASIGNACIÓN ASIGNATURAS'!$M200,"")</f>
        <v/>
      </c>
      <c r="B200" s="299" t="str">
        <f>IF('ASIGNACIÓN ASIGNATURAS'!$AF200=1,'ASIGNACIÓN ASIGNATURAS'!$O200,"")</f>
        <v/>
      </c>
      <c r="C200" s="299" t="str">
        <f>IF('ASIGNACIÓN ASIGNATURAS'!$AF200=1,'ASIGNACIÓN ASIGNATURAS'!$P200,"")</f>
        <v/>
      </c>
      <c r="D200" s="299" t="str">
        <f>IF('ASIGNACIÓN ASIGNATURAS'!$AF200=1,'ASIGNACIÓN ASIGNATURAS'!$S200,"")</f>
        <v/>
      </c>
      <c r="E200" s="299" t="str">
        <f>IF('ASIGNACIÓN ASIGNATURAS'!$AF200=1,'ASIGNACIÓN ASIGNATURAS'!$T200,"")</f>
        <v/>
      </c>
      <c r="F200" s="299" t="str">
        <f>IF('ASIGNACIÓN ASIGNATURAS'!$AF200=1,'ASIGNACIÓN ASIGNATURAS'!$U200,"")</f>
        <v/>
      </c>
      <c r="G200" s="300" t="str">
        <f>IF(B200='PLAN DE ESTUDIO'!$XFD$41,"",+E200+F200)</f>
        <v/>
      </c>
    </row>
    <row r="201" spans="1:7" x14ac:dyDescent="0.3">
      <c r="A201" s="299" t="str">
        <f>IF('ASIGNACIÓN ASIGNATURAS'!$AF201=1,'ASIGNACIÓN ASIGNATURAS'!$M201,"")</f>
        <v/>
      </c>
      <c r="B201" s="299" t="str">
        <f>IF('ASIGNACIÓN ASIGNATURAS'!$AF201=1,'ASIGNACIÓN ASIGNATURAS'!$O201,"")</f>
        <v/>
      </c>
      <c r="C201" s="299" t="str">
        <f>IF('ASIGNACIÓN ASIGNATURAS'!$AF201=1,'ASIGNACIÓN ASIGNATURAS'!$P201,"")</f>
        <v/>
      </c>
      <c r="D201" s="299" t="str">
        <f>IF('ASIGNACIÓN ASIGNATURAS'!$AF201=1,'ASIGNACIÓN ASIGNATURAS'!$S201,"")</f>
        <v/>
      </c>
      <c r="E201" s="299" t="str">
        <f>IF('ASIGNACIÓN ASIGNATURAS'!$AF201=1,'ASIGNACIÓN ASIGNATURAS'!$T201,"")</f>
        <v/>
      </c>
      <c r="F201" s="299" t="str">
        <f>IF('ASIGNACIÓN ASIGNATURAS'!$AF201=1,'ASIGNACIÓN ASIGNATURAS'!$U201,"")</f>
        <v/>
      </c>
      <c r="G201" s="300" t="str">
        <f>IF(B201='PLAN DE ESTUDIO'!$XFD$41,"",+E201+F201)</f>
        <v/>
      </c>
    </row>
    <row r="202" spans="1:7" x14ac:dyDescent="0.3">
      <c r="A202" s="299" t="str">
        <f>IF('ASIGNACIÓN ASIGNATURAS'!$AF202=1,'ASIGNACIÓN ASIGNATURAS'!$M202,"")</f>
        <v/>
      </c>
      <c r="B202" s="299" t="str">
        <f>IF('ASIGNACIÓN ASIGNATURAS'!$AF202=1,'ASIGNACIÓN ASIGNATURAS'!$O202,"")</f>
        <v/>
      </c>
      <c r="C202" s="299" t="str">
        <f>IF('ASIGNACIÓN ASIGNATURAS'!$AF202=1,'ASIGNACIÓN ASIGNATURAS'!$P202,"")</f>
        <v/>
      </c>
      <c r="D202" s="299" t="str">
        <f>IF('ASIGNACIÓN ASIGNATURAS'!$AF202=1,'ASIGNACIÓN ASIGNATURAS'!$S202,"")</f>
        <v/>
      </c>
      <c r="E202" s="299" t="str">
        <f>IF('ASIGNACIÓN ASIGNATURAS'!$AF202=1,'ASIGNACIÓN ASIGNATURAS'!$T202,"")</f>
        <v/>
      </c>
      <c r="F202" s="299" t="str">
        <f>IF('ASIGNACIÓN ASIGNATURAS'!$AF202=1,'ASIGNACIÓN ASIGNATURAS'!$U202,"")</f>
        <v/>
      </c>
      <c r="G202" s="300" t="str">
        <f>IF(B202='PLAN DE ESTUDIO'!$XFD$41,"",+E202+F202)</f>
        <v/>
      </c>
    </row>
    <row r="203" spans="1:7" x14ac:dyDescent="0.3">
      <c r="A203" s="299" t="str">
        <f>IF('ASIGNACIÓN ASIGNATURAS'!$AF203=1,'ASIGNACIÓN ASIGNATURAS'!$M203,"")</f>
        <v/>
      </c>
      <c r="B203" s="299" t="str">
        <f>IF('ASIGNACIÓN ASIGNATURAS'!$AF203=1,'ASIGNACIÓN ASIGNATURAS'!$O203,"")</f>
        <v/>
      </c>
      <c r="C203" s="299" t="str">
        <f>IF('ASIGNACIÓN ASIGNATURAS'!$AF203=1,'ASIGNACIÓN ASIGNATURAS'!$P203,"")</f>
        <v/>
      </c>
      <c r="D203" s="299" t="str">
        <f>IF('ASIGNACIÓN ASIGNATURAS'!$AF203=1,'ASIGNACIÓN ASIGNATURAS'!$S203,"")</f>
        <v/>
      </c>
      <c r="E203" s="299" t="str">
        <f>IF('ASIGNACIÓN ASIGNATURAS'!$AF203=1,'ASIGNACIÓN ASIGNATURAS'!$T203,"")</f>
        <v/>
      </c>
      <c r="F203" s="299" t="str">
        <f>IF('ASIGNACIÓN ASIGNATURAS'!$AF203=1,'ASIGNACIÓN ASIGNATURAS'!$U203,"")</f>
        <v/>
      </c>
      <c r="G203" s="300" t="str">
        <f>IF(B203='PLAN DE ESTUDIO'!$XFD$41,"",+E203+F203)</f>
        <v/>
      </c>
    </row>
    <row r="204" spans="1:7" x14ac:dyDescent="0.3">
      <c r="A204" s="299" t="str">
        <f>IF('ASIGNACIÓN ASIGNATURAS'!$AF204=1,'ASIGNACIÓN ASIGNATURAS'!$M204,"")</f>
        <v/>
      </c>
      <c r="B204" s="299" t="str">
        <f>IF('ASIGNACIÓN ASIGNATURAS'!$AF204=1,'ASIGNACIÓN ASIGNATURAS'!$O204,"")</f>
        <v/>
      </c>
      <c r="C204" s="299" t="str">
        <f>IF('ASIGNACIÓN ASIGNATURAS'!$AF204=1,'ASIGNACIÓN ASIGNATURAS'!$P204,"")</f>
        <v/>
      </c>
      <c r="D204" s="299" t="str">
        <f>IF('ASIGNACIÓN ASIGNATURAS'!$AF204=1,'ASIGNACIÓN ASIGNATURAS'!$S204,"")</f>
        <v/>
      </c>
      <c r="E204" s="299" t="str">
        <f>IF('ASIGNACIÓN ASIGNATURAS'!$AF204=1,'ASIGNACIÓN ASIGNATURAS'!$T204,"")</f>
        <v/>
      </c>
      <c r="F204" s="299" t="str">
        <f>IF('ASIGNACIÓN ASIGNATURAS'!$AF204=1,'ASIGNACIÓN ASIGNATURAS'!$U204,"")</f>
        <v/>
      </c>
      <c r="G204" s="300" t="str">
        <f>IF(B204='PLAN DE ESTUDIO'!$XFD$41,"",+E204+F204)</f>
        <v/>
      </c>
    </row>
    <row r="205" spans="1:7" x14ac:dyDescent="0.3">
      <c r="A205" s="299" t="str">
        <f>IF('ASIGNACIÓN ASIGNATURAS'!$AF205=1,'ASIGNACIÓN ASIGNATURAS'!$M205,"")</f>
        <v/>
      </c>
      <c r="B205" s="299" t="str">
        <f>IF('ASIGNACIÓN ASIGNATURAS'!$AF205=1,'ASIGNACIÓN ASIGNATURAS'!$O205,"")</f>
        <v/>
      </c>
      <c r="C205" s="299" t="str">
        <f>IF('ASIGNACIÓN ASIGNATURAS'!$AF205=1,'ASIGNACIÓN ASIGNATURAS'!$P205,"")</f>
        <v/>
      </c>
      <c r="D205" s="299" t="str">
        <f>IF('ASIGNACIÓN ASIGNATURAS'!$AF205=1,'ASIGNACIÓN ASIGNATURAS'!$S205,"")</f>
        <v/>
      </c>
      <c r="E205" s="299" t="str">
        <f>IF('ASIGNACIÓN ASIGNATURAS'!$AF205=1,'ASIGNACIÓN ASIGNATURAS'!$T205,"")</f>
        <v/>
      </c>
      <c r="F205" s="299" t="str">
        <f>IF('ASIGNACIÓN ASIGNATURAS'!$AF205=1,'ASIGNACIÓN ASIGNATURAS'!$U205,"")</f>
        <v/>
      </c>
      <c r="G205" s="300" t="str">
        <f>IF(B205='PLAN DE ESTUDIO'!$XFD$41,"",+E205+F205)</f>
        <v/>
      </c>
    </row>
    <row r="206" spans="1:7" x14ac:dyDescent="0.3">
      <c r="A206" s="299" t="str">
        <f>IF('ASIGNACIÓN ASIGNATURAS'!$AF206=1,'ASIGNACIÓN ASIGNATURAS'!$M206,"")</f>
        <v/>
      </c>
      <c r="B206" s="299" t="str">
        <f>IF('ASIGNACIÓN ASIGNATURAS'!$AF206=1,'ASIGNACIÓN ASIGNATURAS'!$O206,"")</f>
        <v/>
      </c>
      <c r="C206" s="299" t="str">
        <f>IF('ASIGNACIÓN ASIGNATURAS'!$AF206=1,'ASIGNACIÓN ASIGNATURAS'!$P206,"")</f>
        <v/>
      </c>
      <c r="D206" s="299" t="str">
        <f>IF('ASIGNACIÓN ASIGNATURAS'!$AF206=1,'ASIGNACIÓN ASIGNATURAS'!$S206,"")</f>
        <v/>
      </c>
      <c r="E206" s="299" t="str">
        <f>IF('ASIGNACIÓN ASIGNATURAS'!$AF206=1,'ASIGNACIÓN ASIGNATURAS'!$T206,"")</f>
        <v/>
      </c>
      <c r="F206" s="299" t="str">
        <f>IF('ASIGNACIÓN ASIGNATURAS'!$AF206=1,'ASIGNACIÓN ASIGNATURAS'!$U206,"")</f>
        <v/>
      </c>
      <c r="G206" s="300" t="str">
        <f>IF(B206='PLAN DE ESTUDIO'!$XFD$41,"",+E206+F206)</f>
        <v/>
      </c>
    </row>
    <row r="207" spans="1:7" x14ac:dyDescent="0.3">
      <c r="A207" s="299" t="str">
        <f>IF('ASIGNACIÓN ASIGNATURAS'!$AF207=1,'ASIGNACIÓN ASIGNATURAS'!$M207,"")</f>
        <v/>
      </c>
      <c r="B207" s="299" t="str">
        <f>IF('ASIGNACIÓN ASIGNATURAS'!$AF207=1,'ASIGNACIÓN ASIGNATURAS'!$O207,"")</f>
        <v/>
      </c>
      <c r="C207" s="299" t="str">
        <f>IF('ASIGNACIÓN ASIGNATURAS'!$AF207=1,'ASIGNACIÓN ASIGNATURAS'!$P207,"")</f>
        <v/>
      </c>
      <c r="D207" s="299" t="str">
        <f>IF('ASIGNACIÓN ASIGNATURAS'!$AF207=1,'ASIGNACIÓN ASIGNATURAS'!$S207,"")</f>
        <v/>
      </c>
      <c r="E207" s="299" t="str">
        <f>IF('ASIGNACIÓN ASIGNATURAS'!$AF207=1,'ASIGNACIÓN ASIGNATURAS'!$T207,"")</f>
        <v/>
      </c>
      <c r="F207" s="299" t="str">
        <f>IF('ASIGNACIÓN ASIGNATURAS'!$AF207=1,'ASIGNACIÓN ASIGNATURAS'!$U207,"")</f>
        <v/>
      </c>
      <c r="G207" s="300" t="str">
        <f>IF(B207='PLAN DE ESTUDIO'!$XFD$41,"",+E207+F207)</f>
        <v/>
      </c>
    </row>
    <row r="208" spans="1:7" x14ac:dyDescent="0.3">
      <c r="A208" s="299" t="str">
        <f>IF('ASIGNACIÓN ASIGNATURAS'!$AF208=1,'ASIGNACIÓN ASIGNATURAS'!$M208,"")</f>
        <v/>
      </c>
      <c r="B208" s="299" t="str">
        <f>IF('ASIGNACIÓN ASIGNATURAS'!$AF208=1,'ASIGNACIÓN ASIGNATURAS'!$O208,"")</f>
        <v/>
      </c>
      <c r="C208" s="299" t="str">
        <f>IF('ASIGNACIÓN ASIGNATURAS'!$AF208=1,'ASIGNACIÓN ASIGNATURAS'!$P208,"")</f>
        <v/>
      </c>
      <c r="D208" s="299" t="str">
        <f>IF('ASIGNACIÓN ASIGNATURAS'!$AF208=1,'ASIGNACIÓN ASIGNATURAS'!$S208,"")</f>
        <v/>
      </c>
      <c r="E208" s="299" t="str">
        <f>IF('ASIGNACIÓN ASIGNATURAS'!$AF208=1,'ASIGNACIÓN ASIGNATURAS'!$T208,"")</f>
        <v/>
      </c>
      <c r="F208" s="299" t="str">
        <f>IF('ASIGNACIÓN ASIGNATURAS'!$AF208=1,'ASIGNACIÓN ASIGNATURAS'!$U208,"")</f>
        <v/>
      </c>
      <c r="G208" s="300" t="str">
        <f>IF(B208='PLAN DE ESTUDIO'!$XFD$41,"",+E208+F208)</f>
        <v/>
      </c>
    </row>
    <row r="209" spans="1:7" x14ac:dyDescent="0.3">
      <c r="A209" s="299" t="str">
        <f>IF('ASIGNACIÓN ASIGNATURAS'!$AF209=1,'ASIGNACIÓN ASIGNATURAS'!$M209,"")</f>
        <v/>
      </c>
      <c r="B209" s="299" t="str">
        <f>IF('ASIGNACIÓN ASIGNATURAS'!$AF209=1,'ASIGNACIÓN ASIGNATURAS'!$O209,"")</f>
        <v/>
      </c>
      <c r="C209" s="299" t="str">
        <f>IF('ASIGNACIÓN ASIGNATURAS'!$AF209=1,'ASIGNACIÓN ASIGNATURAS'!$P209,"")</f>
        <v/>
      </c>
      <c r="D209" s="299" t="str">
        <f>IF('ASIGNACIÓN ASIGNATURAS'!$AF209=1,'ASIGNACIÓN ASIGNATURAS'!$S209,"")</f>
        <v/>
      </c>
      <c r="E209" s="299" t="str">
        <f>IF('ASIGNACIÓN ASIGNATURAS'!$AF209=1,'ASIGNACIÓN ASIGNATURAS'!$T209,"")</f>
        <v/>
      </c>
      <c r="F209" s="299" t="str">
        <f>IF('ASIGNACIÓN ASIGNATURAS'!$AF209=1,'ASIGNACIÓN ASIGNATURAS'!$U209,"")</f>
        <v/>
      </c>
      <c r="G209" s="300" t="str">
        <f>IF(B209='PLAN DE ESTUDIO'!$XFD$41,"",+E209+F209)</f>
        <v/>
      </c>
    </row>
    <row r="210" spans="1:7" x14ac:dyDescent="0.3">
      <c r="A210" s="299" t="str">
        <f>IF('ASIGNACIÓN ASIGNATURAS'!$AF210=1,'ASIGNACIÓN ASIGNATURAS'!$M210,"")</f>
        <v/>
      </c>
      <c r="B210" s="299" t="str">
        <f>IF('ASIGNACIÓN ASIGNATURAS'!$AF210=1,'ASIGNACIÓN ASIGNATURAS'!$O210,"")</f>
        <v/>
      </c>
      <c r="C210" s="299" t="str">
        <f>IF('ASIGNACIÓN ASIGNATURAS'!$AF210=1,'ASIGNACIÓN ASIGNATURAS'!$P210,"")</f>
        <v/>
      </c>
      <c r="D210" s="299" t="str">
        <f>IF('ASIGNACIÓN ASIGNATURAS'!$AF210=1,'ASIGNACIÓN ASIGNATURAS'!$S210,"")</f>
        <v/>
      </c>
      <c r="E210" s="299" t="str">
        <f>IF('ASIGNACIÓN ASIGNATURAS'!$AF210=1,'ASIGNACIÓN ASIGNATURAS'!$T210,"")</f>
        <v/>
      </c>
      <c r="F210" s="299" t="str">
        <f>IF('ASIGNACIÓN ASIGNATURAS'!$AF210=1,'ASIGNACIÓN ASIGNATURAS'!$U210,"")</f>
        <v/>
      </c>
      <c r="G210" s="300" t="str">
        <f>IF(B210='PLAN DE ESTUDIO'!$XFD$41,"",+E210+F210)</f>
        <v/>
      </c>
    </row>
    <row r="211" spans="1:7" x14ac:dyDescent="0.3">
      <c r="A211" s="299" t="str">
        <f>IF('ASIGNACIÓN ASIGNATURAS'!$AF211=1,'ASIGNACIÓN ASIGNATURAS'!$M211,"")</f>
        <v/>
      </c>
      <c r="B211" s="299" t="str">
        <f>IF('ASIGNACIÓN ASIGNATURAS'!$AF211=1,'ASIGNACIÓN ASIGNATURAS'!$O211,"")</f>
        <v/>
      </c>
      <c r="C211" s="299" t="str">
        <f>IF('ASIGNACIÓN ASIGNATURAS'!$AF211=1,'ASIGNACIÓN ASIGNATURAS'!$P211,"")</f>
        <v/>
      </c>
      <c r="D211" s="299" t="str">
        <f>IF('ASIGNACIÓN ASIGNATURAS'!$AF211=1,'ASIGNACIÓN ASIGNATURAS'!$S211,"")</f>
        <v/>
      </c>
      <c r="E211" s="299" t="str">
        <f>IF('ASIGNACIÓN ASIGNATURAS'!$AF211=1,'ASIGNACIÓN ASIGNATURAS'!$T211,"")</f>
        <v/>
      </c>
      <c r="F211" s="299" t="str">
        <f>IF('ASIGNACIÓN ASIGNATURAS'!$AF211=1,'ASIGNACIÓN ASIGNATURAS'!$U211,"")</f>
        <v/>
      </c>
      <c r="G211" s="300" t="str">
        <f>IF(B211='PLAN DE ESTUDIO'!$XFD$41,"",+E211+F211)</f>
        <v/>
      </c>
    </row>
    <row r="212" spans="1:7" x14ac:dyDescent="0.3">
      <c r="A212" s="299" t="str">
        <f>IF('ASIGNACIÓN ASIGNATURAS'!$AF212=1,'ASIGNACIÓN ASIGNATURAS'!$M212,"")</f>
        <v/>
      </c>
      <c r="B212" s="299" t="str">
        <f>IF('ASIGNACIÓN ASIGNATURAS'!$AF212=1,'ASIGNACIÓN ASIGNATURAS'!$O212,"")</f>
        <v/>
      </c>
      <c r="C212" s="299" t="str">
        <f>IF('ASIGNACIÓN ASIGNATURAS'!$AF212=1,'ASIGNACIÓN ASIGNATURAS'!$P212,"")</f>
        <v/>
      </c>
      <c r="D212" s="299" t="str">
        <f>IF('ASIGNACIÓN ASIGNATURAS'!$AF212=1,'ASIGNACIÓN ASIGNATURAS'!$S212,"")</f>
        <v/>
      </c>
      <c r="E212" s="299" t="str">
        <f>IF('ASIGNACIÓN ASIGNATURAS'!$AF212=1,'ASIGNACIÓN ASIGNATURAS'!$T212,"")</f>
        <v/>
      </c>
      <c r="F212" s="299" t="str">
        <f>IF('ASIGNACIÓN ASIGNATURAS'!$AF212=1,'ASIGNACIÓN ASIGNATURAS'!$U212,"")</f>
        <v/>
      </c>
      <c r="G212" s="300" t="str">
        <f>IF(B212='PLAN DE ESTUDIO'!$XFD$41,"",+E212+F212)</f>
        <v/>
      </c>
    </row>
    <row r="213" spans="1:7" x14ac:dyDescent="0.3">
      <c r="A213" s="299" t="str">
        <f>IF('ASIGNACIÓN ASIGNATURAS'!$AF213=1,'ASIGNACIÓN ASIGNATURAS'!$M213,"")</f>
        <v/>
      </c>
      <c r="B213" s="299" t="str">
        <f>IF('ASIGNACIÓN ASIGNATURAS'!$AF213=1,'ASIGNACIÓN ASIGNATURAS'!$O213,"")</f>
        <v/>
      </c>
      <c r="C213" s="299" t="str">
        <f>IF('ASIGNACIÓN ASIGNATURAS'!$AF213=1,'ASIGNACIÓN ASIGNATURAS'!$P213,"")</f>
        <v/>
      </c>
      <c r="D213" s="299" t="str">
        <f>IF('ASIGNACIÓN ASIGNATURAS'!$AF213=1,'ASIGNACIÓN ASIGNATURAS'!$S213,"")</f>
        <v/>
      </c>
      <c r="E213" s="299" t="str">
        <f>IF('ASIGNACIÓN ASIGNATURAS'!$AF213=1,'ASIGNACIÓN ASIGNATURAS'!$T213,"")</f>
        <v/>
      </c>
      <c r="F213" s="299" t="str">
        <f>IF('ASIGNACIÓN ASIGNATURAS'!$AF213=1,'ASIGNACIÓN ASIGNATURAS'!$U213,"")</f>
        <v/>
      </c>
      <c r="G213" s="300" t="str">
        <f>IF(B213='PLAN DE ESTUDIO'!$XFD$41,"",+E213+F213)</f>
        <v/>
      </c>
    </row>
    <row r="214" spans="1:7" x14ac:dyDescent="0.3">
      <c r="A214" s="299" t="str">
        <f>IF('ASIGNACIÓN ASIGNATURAS'!$AF214=1,'ASIGNACIÓN ASIGNATURAS'!$M214,"")</f>
        <v/>
      </c>
      <c r="B214" s="299" t="str">
        <f>IF('ASIGNACIÓN ASIGNATURAS'!$AF214=1,'ASIGNACIÓN ASIGNATURAS'!$O214,"")</f>
        <v/>
      </c>
      <c r="C214" s="299" t="str">
        <f>IF('ASIGNACIÓN ASIGNATURAS'!$AF214=1,'ASIGNACIÓN ASIGNATURAS'!$P214,"")</f>
        <v/>
      </c>
      <c r="D214" s="299" t="str">
        <f>IF('ASIGNACIÓN ASIGNATURAS'!$AF214=1,'ASIGNACIÓN ASIGNATURAS'!$S214,"")</f>
        <v/>
      </c>
      <c r="E214" s="299" t="str">
        <f>IF('ASIGNACIÓN ASIGNATURAS'!$AF214=1,'ASIGNACIÓN ASIGNATURAS'!$T214,"")</f>
        <v/>
      </c>
      <c r="F214" s="299" t="str">
        <f>IF('ASIGNACIÓN ASIGNATURAS'!$AF214=1,'ASIGNACIÓN ASIGNATURAS'!$U214,"")</f>
        <v/>
      </c>
      <c r="G214" s="300" t="str">
        <f>IF(B214='PLAN DE ESTUDIO'!$XFD$41,"",+E214+F214)</f>
        <v/>
      </c>
    </row>
    <row r="215" spans="1:7" x14ac:dyDescent="0.3">
      <c r="A215" s="299" t="str">
        <f>IF('ASIGNACIÓN ASIGNATURAS'!$AF215=1,'ASIGNACIÓN ASIGNATURAS'!$M215,"")</f>
        <v/>
      </c>
      <c r="B215" s="299" t="str">
        <f>IF('ASIGNACIÓN ASIGNATURAS'!$AF215=1,'ASIGNACIÓN ASIGNATURAS'!$O215,"")</f>
        <v/>
      </c>
      <c r="C215" s="299" t="str">
        <f>IF('ASIGNACIÓN ASIGNATURAS'!$AF215=1,'ASIGNACIÓN ASIGNATURAS'!$P215,"")</f>
        <v/>
      </c>
      <c r="D215" s="299" t="str">
        <f>IF('ASIGNACIÓN ASIGNATURAS'!$AF215=1,'ASIGNACIÓN ASIGNATURAS'!$S215,"")</f>
        <v/>
      </c>
      <c r="E215" s="299" t="str">
        <f>IF('ASIGNACIÓN ASIGNATURAS'!$AF215=1,'ASIGNACIÓN ASIGNATURAS'!$T215,"")</f>
        <v/>
      </c>
      <c r="F215" s="299" t="str">
        <f>IF('ASIGNACIÓN ASIGNATURAS'!$AF215=1,'ASIGNACIÓN ASIGNATURAS'!$U215,"")</f>
        <v/>
      </c>
      <c r="G215" s="300" t="str">
        <f>IF(B215='PLAN DE ESTUDIO'!$XFD$41,"",+E215+F215)</f>
        <v/>
      </c>
    </row>
    <row r="216" spans="1:7" x14ac:dyDescent="0.3">
      <c r="A216" s="299" t="str">
        <f>IF('ASIGNACIÓN ASIGNATURAS'!$AF216=1,'ASIGNACIÓN ASIGNATURAS'!$M216,"")</f>
        <v/>
      </c>
      <c r="B216" s="299" t="str">
        <f>IF('ASIGNACIÓN ASIGNATURAS'!$AF216=1,'ASIGNACIÓN ASIGNATURAS'!$O216,"")</f>
        <v/>
      </c>
      <c r="C216" s="299" t="str">
        <f>IF('ASIGNACIÓN ASIGNATURAS'!$AF216=1,'ASIGNACIÓN ASIGNATURAS'!$P216,"")</f>
        <v/>
      </c>
      <c r="D216" s="299" t="str">
        <f>IF('ASIGNACIÓN ASIGNATURAS'!$AF216=1,'ASIGNACIÓN ASIGNATURAS'!$S216,"")</f>
        <v/>
      </c>
      <c r="E216" s="299" t="str">
        <f>IF('ASIGNACIÓN ASIGNATURAS'!$AF216=1,'ASIGNACIÓN ASIGNATURAS'!$T216,"")</f>
        <v/>
      </c>
      <c r="F216" s="299" t="str">
        <f>IF('ASIGNACIÓN ASIGNATURAS'!$AF216=1,'ASIGNACIÓN ASIGNATURAS'!$U216,"")</f>
        <v/>
      </c>
      <c r="G216" s="300" t="str">
        <f>IF(B216='PLAN DE ESTUDIO'!$XFD$41,"",+E216+F216)</f>
        <v/>
      </c>
    </row>
    <row r="217" spans="1:7" x14ac:dyDescent="0.3">
      <c r="A217" s="299" t="str">
        <f>IF('ASIGNACIÓN ASIGNATURAS'!$AF217=1,'ASIGNACIÓN ASIGNATURAS'!$M217,"")</f>
        <v/>
      </c>
      <c r="B217" s="299" t="str">
        <f>IF('ASIGNACIÓN ASIGNATURAS'!$AF217=1,'ASIGNACIÓN ASIGNATURAS'!$O217,"")</f>
        <v/>
      </c>
      <c r="C217" s="299" t="str">
        <f>IF('ASIGNACIÓN ASIGNATURAS'!$AF217=1,'ASIGNACIÓN ASIGNATURAS'!$P217,"")</f>
        <v/>
      </c>
      <c r="D217" s="299" t="str">
        <f>IF('ASIGNACIÓN ASIGNATURAS'!$AF217=1,'ASIGNACIÓN ASIGNATURAS'!$S217,"")</f>
        <v/>
      </c>
      <c r="E217" s="299" t="str">
        <f>IF('ASIGNACIÓN ASIGNATURAS'!$AF217=1,'ASIGNACIÓN ASIGNATURAS'!$T217,"")</f>
        <v/>
      </c>
      <c r="F217" s="299" t="str">
        <f>IF('ASIGNACIÓN ASIGNATURAS'!$AF217=1,'ASIGNACIÓN ASIGNATURAS'!$U217,"")</f>
        <v/>
      </c>
      <c r="G217" s="300" t="str">
        <f>IF(B217='PLAN DE ESTUDIO'!$XFD$41,"",+E217+F217)</f>
        <v/>
      </c>
    </row>
    <row r="218" spans="1:7" x14ac:dyDescent="0.3">
      <c r="A218" s="299" t="str">
        <f>IF('ASIGNACIÓN ASIGNATURAS'!$AF218=1,'ASIGNACIÓN ASIGNATURAS'!$M218,"")</f>
        <v/>
      </c>
      <c r="B218" s="299" t="str">
        <f>IF('ASIGNACIÓN ASIGNATURAS'!$AF218=1,'ASIGNACIÓN ASIGNATURAS'!$O218,"")</f>
        <v/>
      </c>
      <c r="C218" s="299" t="str">
        <f>IF('ASIGNACIÓN ASIGNATURAS'!$AF218=1,'ASIGNACIÓN ASIGNATURAS'!$P218,"")</f>
        <v/>
      </c>
      <c r="D218" s="299" t="str">
        <f>IF('ASIGNACIÓN ASIGNATURAS'!$AF218=1,'ASIGNACIÓN ASIGNATURAS'!$S218,"")</f>
        <v/>
      </c>
      <c r="E218" s="299" t="str">
        <f>IF('ASIGNACIÓN ASIGNATURAS'!$AF218=1,'ASIGNACIÓN ASIGNATURAS'!$T218,"")</f>
        <v/>
      </c>
      <c r="F218" s="299" t="str">
        <f>IF('ASIGNACIÓN ASIGNATURAS'!$AF218=1,'ASIGNACIÓN ASIGNATURAS'!$U218,"")</f>
        <v/>
      </c>
      <c r="G218" s="300" t="str">
        <f>IF(B218='PLAN DE ESTUDIO'!$XFD$41,"",+E218+F218)</f>
        <v/>
      </c>
    </row>
    <row r="219" spans="1:7" x14ac:dyDescent="0.3">
      <c r="A219" s="299" t="str">
        <f>IF('ASIGNACIÓN ASIGNATURAS'!$AF219=1,'ASIGNACIÓN ASIGNATURAS'!$M219,"")</f>
        <v/>
      </c>
      <c r="B219" s="299" t="str">
        <f>IF('ASIGNACIÓN ASIGNATURAS'!$AF219=1,'ASIGNACIÓN ASIGNATURAS'!$O219,"")</f>
        <v/>
      </c>
      <c r="C219" s="299" t="str">
        <f>IF('ASIGNACIÓN ASIGNATURAS'!$AF219=1,'ASIGNACIÓN ASIGNATURAS'!$P219,"")</f>
        <v/>
      </c>
      <c r="D219" s="299" t="str">
        <f>IF('ASIGNACIÓN ASIGNATURAS'!$AF219=1,'ASIGNACIÓN ASIGNATURAS'!$S219,"")</f>
        <v/>
      </c>
      <c r="E219" s="299" t="str">
        <f>IF('ASIGNACIÓN ASIGNATURAS'!$AF219=1,'ASIGNACIÓN ASIGNATURAS'!$T219,"")</f>
        <v/>
      </c>
      <c r="F219" s="299" t="str">
        <f>IF('ASIGNACIÓN ASIGNATURAS'!$AF219=1,'ASIGNACIÓN ASIGNATURAS'!$U219,"")</f>
        <v/>
      </c>
      <c r="G219" s="300" t="str">
        <f>IF(B219='PLAN DE ESTUDIO'!$XFD$41,"",+E219+F219)</f>
        <v/>
      </c>
    </row>
    <row r="220" spans="1:7" x14ac:dyDescent="0.3">
      <c r="A220" s="299" t="str">
        <f>IF('ASIGNACIÓN ASIGNATURAS'!$AF220=1,'ASIGNACIÓN ASIGNATURAS'!$M220,"")</f>
        <v/>
      </c>
      <c r="B220" s="299" t="str">
        <f>IF('ASIGNACIÓN ASIGNATURAS'!$AF220=1,'ASIGNACIÓN ASIGNATURAS'!$O220,"")</f>
        <v/>
      </c>
      <c r="C220" s="299" t="str">
        <f>IF('ASIGNACIÓN ASIGNATURAS'!$AF220=1,'ASIGNACIÓN ASIGNATURAS'!$P220,"")</f>
        <v/>
      </c>
      <c r="D220" s="299" t="str">
        <f>IF('ASIGNACIÓN ASIGNATURAS'!$AF220=1,'ASIGNACIÓN ASIGNATURAS'!$S220,"")</f>
        <v/>
      </c>
      <c r="E220" s="299" t="str">
        <f>IF('ASIGNACIÓN ASIGNATURAS'!$AF220=1,'ASIGNACIÓN ASIGNATURAS'!$T220,"")</f>
        <v/>
      </c>
      <c r="F220" s="299" t="str">
        <f>IF('ASIGNACIÓN ASIGNATURAS'!$AF220=1,'ASIGNACIÓN ASIGNATURAS'!$U220,"")</f>
        <v/>
      </c>
      <c r="G220" s="300" t="str">
        <f>IF(B220='PLAN DE ESTUDIO'!$XFD$41,"",+E220+F220)</f>
        <v/>
      </c>
    </row>
    <row r="221" spans="1:7" x14ac:dyDescent="0.3">
      <c r="A221" s="299" t="str">
        <f>IF('ASIGNACIÓN ASIGNATURAS'!$AF221=1,'ASIGNACIÓN ASIGNATURAS'!$M221,"")</f>
        <v/>
      </c>
      <c r="B221" s="299" t="str">
        <f>IF('ASIGNACIÓN ASIGNATURAS'!$AF221=1,'ASIGNACIÓN ASIGNATURAS'!$O221,"")</f>
        <v/>
      </c>
      <c r="C221" s="299" t="str">
        <f>IF('ASIGNACIÓN ASIGNATURAS'!$AF221=1,'ASIGNACIÓN ASIGNATURAS'!$P221,"")</f>
        <v/>
      </c>
      <c r="D221" s="299" t="str">
        <f>IF('ASIGNACIÓN ASIGNATURAS'!$AF221=1,'ASIGNACIÓN ASIGNATURAS'!$S221,"")</f>
        <v/>
      </c>
      <c r="E221" s="299" t="str">
        <f>IF('ASIGNACIÓN ASIGNATURAS'!$AF221=1,'ASIGNACIÓN ASIGNATURAS'!$T221,"")</f>
        <v/>
      </c>
      <c r="F221" s="299" t="str">
        <f>IF('ASIGNACIÓN ASIGNATURAS'!$AF221=1,'ASIGNACIÓN ASIGNATURAS'!$U221,"")</f>
        <v/>
      </c>
      <c r="G221" s="300" t="str">
        <f>IF(B221='PLAN DE ESTUDIO'!$XFD$41,"",+E221+F221)</f>
        <v/>
      </c>
    </row>
    <row r="222" spans="1:7" x14ac:dyDescent="0.3">
      <c r="A222" s="299" t="str">
        <f>IF('ASIGNACIÓN ASIGNATURAS'!$AF222=1,'ASIGNACIÓN ASIGNATURAS'!$M222,"")</f>
        <v/>
      </c>
      <c r="B222" s="299" t="str">
        <f>IF('ASIGNACIÓN ASIGNATURAS'!$AF222=1,'ASIGNACIÓN ASIGNATURAS'!$O222,"")</f>
        <v/>
      </c>
      <c r="C222" s="299" t="str">
        <f>IF('ASIGNACIÓN ASIGNATURAS'!$AF222=1,'ASIGNACIÓN ASIGNATURAS'!$P222,"")</f>
        <v/>
      </c>
      <c r="D222" s="299" t="str">
        <f>IF('ASIGNACIÓN ASIGNATURAS'!$AF222=1,'ASIGNACIÓN ASIGNATURAS'!$S222,"")</f>
        <v/>
      </c>
      <c r="E222" s="299" t="str">
        <f>IF('ASIGNACIÓN ASIGNATURAS'!$AF222=1,'ASIGNACIÓN ASIGNATURAS'!$T222,"")</f>
        <v/>
      </c>
      <c r="F222" s="299" t="str">
        <f>IF('ASIGNACIÓN ASIGNATURAS'!$AF222=1,'ASIGNACIÓN ASIGNATURAS'!$U222,"")</f>
        <v/>
      </c>
      <c r="G222" s="300" t="str">
        <f>IF(B222='PLAN DE ESTUDIO'!$XFD$41,"",+E222+F222)</f>
        <v/>
      </c>
    </row>
    <row r="223" spans="1:7" x14ac:dyDescent="0.3">
      <c r="A223" s="299" t="str">
        <f>IF('ASIGNACIÓN ASIGNATURAS'!$AF223=1,'ASIGNACIÓN ASIGNATURAS'!$M223,"")</f>
        <v/>
      </c>
      <c r="B223" s="299" t="str">
        <f>IF('ASIGNACIÓN ASIGNATURAS'!$AF223=1,'ASIGNACIÓN ASIGNATURAS'!$O223,"")</f>
        <v/>
      </c>
      <c r="C223" s="299" t="str">
        <f>IF('ASIGNACIÓN ASIGNATURAS'!$AF223=1,'ASIGNACIÓN ASIGNATURAS'!$P223,"")</f>
        <v/>
      </c>
      <c r="D223" s="299" t="str">
        <f>IF('ASIGNACIÓN ASIGNATURAS'!$AF223=1,'ASIGNACIÓN ASIGNATURAS'!$S223,"")</f>
        <v/>
      </c>
      <c r="E223" s="299" t="str">
        <f>IF('ASIGNACIÓN ASIGNATURAS'!$AF223=1,'ASIGNACIÓN ASIGNATURAS'!$T223,"")</f>
        <v/>
      </c>
      <c r="F223" s="299" t="str">
        <f>IF('ASIGNACIÓN ASIGNATURAS'!$AF223=1,'ASIGNACIÓN ASIGNATURAS'!$U223,"")</f>
        <v/>
      </c>
      <c r="G223" s="300" t="str">
        <f>IF(B223='PLAN DE ESTUDIO'!$XFD$41,"",+E223+F223)</f>
        <v/>
      </c>
    </row>
    <row r="224" spans="1:7" x14ac:dyDescent="0.3">
      <c r="A224" s="299" t="str">
        <f>IF('ASIGNACIÓN ASIGNATURAS'!$AF224=1,'ASIGNACIÓN ASIGNATURAS'!$M224,"")</f>
        <v/>
      </c>
      <c r="B224" s="299" t="str">
        <f>IF('ASIGNACIÓN ASIGNATURAS'!$AF224=1,'ASIGNACIÓN ASIGNATURAS'!$O224,"")</f>
        <v/>
      </c>
      <c r="C224" s="299" t="str">
        <f>IF('ASIGNACIÓN ASIGNATURAS'!$AF224=1,'ASIGNACIÓN ASIGNATURAS'!$P224,"")</f>
        <v/>
      </c>
      <c r="D224" s="299" t="str">
        <f>IF('ASIGNACIÓN ASIGNATURAS'!$AF224=1,'ASIGNACIÓN ASIGNATURAS'!$S224,"")</f>
        <v/>
      </c>
      <c r="E224" s="299" t="str">
        <f>IF('ASIGNACIÓN ASIGNATURAS'!$AF224=1,'ASIGNACIÓN ASIGNATURAS'!$T224,"")</f>
        <v/>
      </c>
      <c r="F224" s="299" t="str">
        <f>IF('ASIGNACIÓN ASIGNATURAS'!$AF224=1,'ASIGNACIÓN ASIGNATURAS'!$U224,"")</f>
        <v/>
      </c>
      <c r="G224" s="300" t="str">
        <f>IF(B224='PLAN DE ESTUDIO'!$XFD$41,"",+E224+F224)</f>
        <v/>
      </c>
    </row>
    <row r="225" spans="1:7" x14ac:dyDescent="0.3">
      <c r="A225" s="299" t="str">
        <f>IF('ASIGNACIÓN ASIGNATURAS'!$AF225=1,'ASIGNACIÓN ASIGNATURAS'!$M225,"")</f>
        <v/>
      </c>
      <c r="B225" s="299" t="str">
        <f>IF('ASIGNACIÓN ASIGNATURAS'!$AF225=1,'ASIGNACIÓN ASIGNATURAS'!$O225,"")</f>
        <v/>
      </c>
      <c r="C225" s="299" t="str">
        <f>IF('ASIGNACIÓN ASIGNATURAS'!$AF225=1,'ASIGNACIÓN ASIGNATURAS'!$P225,"")</f>
        <v/>
      </c>
      <c r="D225" s="299" t="str">
        <f>IF('ASIGNACIÓN ASIGNATURAS'!$AF225=1,'ASIGNACIÓN ASIGNATURAS'!$S225,"")</f>
        <v/>
      </c>
      <c r="E225" s="299" t="str">
        <f>IF('ASIGNACIÓN ASIGNATURAS'!$AF225=1,'ASIGNACIÓN ASIGNATURAS'!$T225,"")</f>
        <v/>
      </c>
      <c r="F225" s="299" t="str">
        <f>IF('ASIGNACIÓN ASIGNATURAS'!$AF225=1,'ASIGNACIÓN ASIGNATURAS'!$U225,"")</f>
        <v/>
      </c>
      <c r="G225" s="300" t="str">
        <f>IF(B225='PLAN DE ESTUDIO'!$XFD$41,"",+E225+F225)</f>
        <v/>
      </c>
    </row>
    <row r="226" spans="1:7" x14ac:dyDescent="0.3">
      <c r="A226" s="299" t="str">
        <f>IF('ASIGNACIÓN ASIGNATURAS'!$AF226=1,'ASIGNACIÓN ASIGNATURAS'!$M226,"")</f>
        <v/>
      </c>
      <c r="B226" s="299" t="str">
        <f>IF('ASIGNACIÓN ASIGNATURAS'!$AF226=1,'ASIGNACIÓN ASIGNATURAS'!$O226,"")</f>
        <v/>
      </c>
      <c r="C226" s="299" t="str">
        <f>IF('ASIGNACIÓN ASIGNATURAS'!$AF226=1,'ASIGNACIÓN ASIGNATURAS'!$P226,"")</f>
        <v/>
      </c>
      <c r="D226" s="299" t="str">
        <f>IF('ASIGNACIÓN ASIGNATURAS'!$AF226=1,'ASIGNACIÓN ASIGNATURAS'!$S226,"")</f>
        <v/>
      </c>
      <c r="E226" s="299" t="str">
        <f>IF('ASIGNACIÓN ASIGNATURAS'!$AF226=1,'ASIGNACIÓN ASIGNATURAS'!$T226,"")</f>
        <v/>
      </c>
      <c r="F226" s="299" t="str">
        <f>IF('ASIGNACIÓN ASIGNATURAS'!$AF226=1,'ASIGNACIÓN ASIGNATURAS'!$U226,"")</f>
        <v/>
      </c>
      <c r="G226" s="300" t="str">
        <f>IF(B226='PLAN DE ESTUDIO'!$XFD$41,"",+E226+F226)</f>
        <v/>
      </c>
    </row>
    <row r="227" spans="1:7" x14ac:dyDescent="0.3">
      <c r="A227" s="299" t="str">
        <f>IF('ASIGNACIÓN ASIGNATURAS'!$AF227=1,'ASIGNACIÓN ASIGNATURAS'!$M227,"")</f>
        <v/>
      </c>
      <c r="B227" s="299" t="str">
        <f>IF('ASIGNACIÓN ASIGNATURAS'!$AF227=1,'ASIGNACIÓN ASIGNATURAS'!$O227,"")</f>
        <v/>
      </c>
      <c r="C227" s="299" t="str">
        <f>IF('ASIGNACIÓN ASIGNATURAS'!$AF227=1,'ASIGNACIÓN ASIGNATURAS'!$P227,"")</f>
        <v/>
      </c>
      <c r="D227" s="299" t="str">
        <f>IF('ASIGNACIÓN ASIGNATURAS'!$AF227=1,'ASIGNACIÓN ASIGNATURAS'!$S227,"")</f>
        <v/>
      </c>
      <c r="E227" s="299" t="str">
        <f>IF('ASIGNACIÓN ASIGNATURAS'!$AF227=1,'ASIGNACIÓN ASIGNATURAS'!$T227,"")</f>
        <v/>
      </c>
      <c r="F227" s="299" t="str">
        <f>IF('ASIGNACIÓN ASIGNATURAS'!$AF227=1,'ASIGNACIÓN ASIGNATURAS'!$U227,"")</f>
        <v/>
      </c>
      <c r="G227" s="300" t="str">
        <f>IF(B227='PLAN DE ESTUDIO'!$XFD$41,"",+E227+F227)</f>
        <v/>
      </c>
    </row>
    <row r="228" spans="1:7" x14ac:dyDescent="0.3">
      <c r="A228" s="299" t="str">
        <f>IF('ASIGNACIÓN ASIGNATURAS'!$AF228=1,'ASIGNACIÓN ASIGNATURAS'!$M228,"")</f>
        <v/>
      </c>
      <c r="B228" s="299" t="str">
        <f>IF('ASIGNACIÓN ASIGNATURAS'!$AF228=1,'ASIGNACIÓN ASIGNATURAS'!$O228,"")</f>
        <v/>
      </c>
      <c r="C228" s="299" t="str">
        <f>IF('ASIGNACIÓN ASIGNATURAS'!$AF228=1,'ASIGNACIÓN ASIGNATURAS'!$P228,"")</f>
        <v/>
      </c>
      <c r="D228" s="299" t="str">
        <f>IF('ASIGNACIÓN ASIGNATURAS'!$AF228=1,'ASIGNACIÓN ASIGNATURAS'!$S228,"")</f>
        <v/>
      </c>
      <c r="E228" s="299" t="str">
        <f>IF('ASIGNACIÓN ASIGNATURAS'!$AF228=1,'ASIGNACIÓN ASIGNATURAS'!$T228,"")</f>
        <v/>
      </c>
      <c r="F228" s="299" t="str">
        <f>IF('ASIGNACIÓN ASIGNATURAS'!$AF228=1,'ASIGNACIÓN ASIGNATURAS'!$U228,"")</f>
        <v/>
      </c>
      <c r="G228" s="300" t="str">
        <f>IF(B228='PLAN DE ESTUDIO'!$XFD$41,"",+E228+F228)</f>
        <v/>
      </c>
    </row>
    <row r="229" spans="1:7" x14ac:dyDescent="0.3">
      <c r="A229" s="299" t="str">
        <f>IF('ASIGNACIÓN ASIGNATURAS'!$AF229=1,'ASIGNACIÓN ASIGNATURAS'!$M229,"")</f>
        <v/>
      </c>
      <c r="B229" s="299" t="str">
        <f>IF('ASIGNACIÓN ASIGNATURAS'!$AF229=1,'ASIGNACIÓN ASIGNATURAS'!$O229,"")</f>
        <v/>
      </c>
      <c r="C229" s="299" t="str">
        <f>IF('ASIGNACIÓN ASIGNATURAS'!$AF229=1,'ASIGNACIÓN ASIGNATURAS'!$P229,"")</f>
        <v/>
      </c>
      <c r="D229" s="299" t="str">
        <f>IF('ASIGNACIÓN ASIGNATURAS'!$AF229=1,'ASIGNACIÓN ASIGNATURAS'!$S229,"")</f>
        <v/>
      </c>
      <c r="E229" s="299" t="str">
        <f>IF('ASIGNACIÓN ASIGNATURAS'!$AF229=1,'ASIGNACIÓN ASIGNATURAS'!$T229,"")</f>
        <v/>
      </c>
      <c r="F229" s="299" t="str">
        <f>IF('ASIGNACIÓN ASIGNATURAS'!$AF229=1,'ASIGNACIÓN ASIGNATURAS'!$U229,"")</f>
        <v/>
      </c>
      <c r="G229" s="300" t="str">
        <f>IF(B229='PLAN DE ESTUDIO'!$XFD$41,"",+E229+F229)</f>
        <v/>
      </c>
    </row>
    <row r="230" spans="1:7" x14ac:dyDescent="0.3">
      <c r="A230" s="299" t="str">
        <f>IF('ASIGNACIÓN ASIGNATURAS'!$AF230=1,'ASIGNACIÓN ASIGNATURAS'!$M230,"")</f>
        <v/>
      </c>
      <c r="B230" s="299" t="str">
        <f>IF('ASIGNACIÓN ASIGNATURAS'!$AF230=1,'ASIGNACIÓN ASIGNATURAS'!$O230,"")</f>
        <v/>
      </c>
      <c r="C230" s="299" t="str">
        <f>IF('ASIGNACIÓN ASIGNATURAS'!$AF230=1,'ASIGNACIÓN ASIGNATURAS'!$P230,"")</f>
        <v/>
      </c>
      <c r="D230" s="299" t="str">
        <f>IF('ASIGNACIÓN ASIGNATURAS'!$AF230=1,'ASIGNACIÓN ASIGNATURAS'!$S230,"")</f>
        <v/>
      </c>
      <c r="E230" s="299" t="str">
        <f>IF('ASIGNACIÓN ASIGNATURAS'!$AF230=1,'ASIGNACIÓN ASIGNATURAS'!$T230,"")</f>
        <v/>
      </c>
      <c r="F230" s="299" t="str">
        <f>IF('ASIGNACIÓN ASIGNATURAS'!$AF230=1,'ASIGNACIÓN ASIGNATURAS'!$U230,"")</f>
        <v/>
      </c>
      <c r="G230" s="300" t="str">
        <f>IF(B230='PLAN DE ESTUDIO'!$XFD$41,"",+E230+F230)</f>
        <v/>
      </c>
    </row>
    <row r="231" spans="1:7" x14ac:dyDescent="0.3">
      <c r="A231" s="299" t="str">
        <f>IF('ASIGNACIÓN ASIGNATURAS'!$AF231=1,'ASIGNACIÓN ASIGNATURAS'!$M231,"")</f>
        <v/>
      </c>
      <c r="B231" s="299" t="str">
        <f>IF('ASIGNACIÓN ASIGNATURAS'!$AF231=1,'ASIGNACIÓN ASIGNATURAS'!$O231,"")</f>
        <v/>
      </c>
      <c r="C231" s="299" t="str">
        <f>IF('ASIGNACIÓN ASIGNATURAS'!$AF231=1,'ASIGNACIÓN ASIGNATURAS'!$P231,"")</f>
        <v/>
      </c>
      <c r="D231" s="299" t="str">
        <f>IF('ASIGNACIÓN ASIGNATURAS'!$AF231=1,'ASIGNACIÓN ASIGNATURAS'!$S231,"")</f>
        <v/>
      </c>
      <c r="E231" s="299" t="str">
        <f>IF('ASIGNACIÓN ASIGNATURAS'!$AF231=1,'ASIGNACIÓN ASIGNATURAS'!$T231,"")</f>
        <v/>
      </c>
      <c r="F231" s="299" t="str">
        <f>IF('ASIGNACIÓN ASIGNATURAS'!$AF231=1,'ASIGNACIÓN ASIGNATURAS'!$U231,"")</f>
        <v/>
      </c>
      <c r="G231" s="300" t="str">
        <f>IF(B231='PLAN DE ESTUDIO'!$XFD$41,"",+E231+F231)</f>
        <v/>
      </c>
    </row>
    <row r="232" spans="1:7" x14ac:dyDescent="0.3">
      <c r="A232" s="299" t="str">
        <f>IF('ASIGNACIÓN ASIGNATURAS'!$AF232=1,'ASIGNACIÓN ASIGNATURAS'!$M232,"")</f>
        <v/>
      </c>
      <c r="B232" s="299" t="str">
        <f>IF('ASIGNACIÓN ASIGNATURAS'!$AF232=1,'ASIGNACIÓN ASIGNATURAS'!$O232,"")</f>
        <v/>
      </c>
      <c r="C232" s="299" t="str">
        <f>IF('ASIGNACIÓN ASIGNATURAS'!$AF232=1,'ASIGNACIÓN ASIGNATURAS'!$P232,"")</f>
        <v/>
      </c>
      <c r="D232" s="299" t="str">
        <f>IF('ASIGNACIÓN ASIGNATURAS'!$AF232=1,'ASIGNACIÓN ASIGNATURAS'!$S232,"")</f>
        <v/>
      </c>
      <c r="E232" s="299" t="str">
        <f>IF('ASIGNACIÓN ASIGNATURAS'!$AF232=1,'ASIGNACIÓN ASIGNATURAS'!$T232,"")</f>
        <v/>
      </c>
      <c r="F232" s="299" t="str">
        <f>IF('ASIGNACIÓN ASIGNATURAS'!$AF232=1,'ASIGNACIÓN ASIGNATURAS'!$U232,"")</f>
        <v/>
      </c>
      <c r="G232" s="300" t="str">
        <f>IF(B232='PLAN DE ESTUDIO'!$XFD$41,"",+E232+F232)</f>
        <v/>
      </c>
    </row>
    <row r="233" spans="1:7" x14ac:dyDescent="0.3">
      <c r="A233" s="299" t="str">
        <f>IF('ASIGNACIÓN ASIGNATURAS'!$AF233=1,'ASIGNACIÓN ASIGNATURAS'!$M233,"")</f>
        <v/>
      </c>
      <c r="B233" s="299" t="str">
        <f>IF('ASIGNACIÓN ASIGNATURAS'!$AF233=1,'ASIGNACIÓN ASIGNATURAS'!$O233,"")</f>
        <v/>
      </c>
      <c r="C233" s="299" t="str">
        <f>IF('ASIGNACIÓN ASIGNATURAS'!$AF233=1,'ASIGNACIÓN ASIGNATURAS'!$P233,"")</f>
        <v/>
      </c>
      <c r="D233" s="299" t="str">
        <f>IF('ASIGNACIÓN ASIGNATURAS'!$AF233=1,'ASIGNACIÓN ASIGNATURAS'!$S233,"")</f>
        <v/>
      </c>
      <c r="E233" s="299" t="str">
        <f>IF('ASIGNACIÓN ASIGNATURAS'!$AF233=1,'ASIGNACIÓN ASIGNATURAS'!$T233,"")</f>
        <v/>
      </c>
      <c r="F233" s="299" t="str">
        <f>IF('ASIGNACIÓN ASIGNATURAS'!$AF233=1,'ASIGNACIÓN ASIGNATURAS'!$U233,"")</f>
        <v/>
      </c>
      <c r="G233" s="300" t="str">
        <f>IF(B233='PLAN DE ESTUDIO'!$XFD$41,"",+E233+F233)</f>
        <v/>
      </c>
    </row>
    <row r="234" spans="1:7" x14ac:dyDescent="0.3">
      <c r="A234" s="299" t="str">
        <f>IF('ASIGNACIÓN ASIGNATURAS'!$AF234=1,'ASIGNACIÓN ASIGNATURAS'!$M234,"")</f>
        <v/>
      </c>
      <c r="B234" s="299" t="str">
        <f>IF('ASIGNACIÓN ASIGNATURAS'!$AF234=1,'ASIGNACIÓN ASIGNATURAS'!$O234,"")</f>
        <v/>
      </c>
      <c r="C234" s="299" t="str">
        <f>IF('ASIGNACIÓN ASIGNATURAS'!$AF234=1,'ASIGNACIÓN ASIGNATURAS'!$P234,"")</f>
        <v/>
      </c>
      <c r="D234" s="299" t="str">
        <f>IF('ASIGNACIÓN ASIGNATURAS'!$AF234=1,'ASIGNACIÓN ASIGNATURAS'!$S234,"")</f>
        <v/>
      </c>
      <c r="E234" s="299" t="str">
        <f>IF('ASIGNACIÓN ASIGNATURAS'!$AF234=1,'ASIGNACIÓN ASIGNATURAS'!$T234,"")</f>
        <v/>
      </c>
      <c r="F234" s="299" t="str">
        <f>IF('ASIGNACIÓN ASIGNATURAS'!$AF234=1,'ASIGNACIÓN ASIGNATURAS'!$U234,"")</f>
        <v/>
      </c>
      <c r="G234" s="300" t="str">
        <f>IF(B234='PLAN DE ESTUDIO'!$XFD$41,"",+E234+F234)</f>
        <v/>
      </c>
    </row>
    <row r="235" spans="1:7" x14ac:dyDescent="0.3">
      <c r="A235" s="299" t="str">
        <f>IF('ASIGNACIÓN ASIGNATURAS'!$AF235=1,'ASIGNACIÓN ASIGNATURAS'!$M235,"")</f>
        <v/>
      </c>
      <c r="B235" s="299" t="str">
        <f>IF('ASIGNACIÓN ASIGNATURAS'!$AF235=1,'ASIGNACIÓN ASIGNATURAS'!$O235,"")</f>
        <v/>
      </c>
      <c r="C235" s="299" t="str">
        <f>IF('ASIGNACIÓN ASIGNATURAS'!$AF235=1,'ASIGNACIÓN ASIGNATURAS'!$P235,"")</f>
        <v/>
      </c>
      <c r="D235" s="299" t="str">
        <f>IF('ASIGNACIÓN ASIGNATURAS'!$AF235=1,'ASIGNACIÓN ASIGNATURAS'!$S235,"")</f>
        <v/>
      </c>
      <c r="E235" s="299" t="str">
        <f>IF('ASIGNACIÓN ASIGNATURAS'!$AF235=1,'ASIGNACIÓN ASIGNATURAS'!$T235,"")</f>
        <v/>
      </c>
      <c r="F235" s="299" t="str">
        <f>IF('ASIGNACIÓN ASIGNATURAS'!$AF235=1,'ASIGNACIÓN ASIGNATURAS'!$U235,"")</f>
        <v/>
      </c>
      <c r="G235" s="300" t="str">
        <f>IF(B235='PLAN DE ESTUDIO'!$XFD$41,"",+E235+F235)</f>
        <v/>
      </c>
    </row>
    <row r="236" spans="1:7" x14ac:dyDescent="0.3">
      <c r="A236" s="299" t="str">
        <f>IF('ASIGNACIÓN ASIGNATURAS'!$AF236=1,'ASIGNACIÓN ASIGNATURAS'!$M236,"")</f>
        <v/>
      </c>
      <c r="B236" s="299" t="str">
        <f>IF('ASIGNACIÓN ASIGNATURAS'!$AF236=1,'ASIGNACIÓN ASIGNATURAS'!$O236,"")</f>
        <v/>
      </c>
      <c r="C236" s="299" t="str">
        <f>IF('ASIGNACIÓN ASIGNATURAS'!$AF236=1,'ASIGNACIÓN ASIGNATURAS'!$P236,"")</f>
        <v/>
      </c>
      <c r="D236" s="299" t="str">
        <f>IF('ASIGNACIÓN ASIGNATURAS'!$AF236=1,'ASIGNACIÓN ASIGNATURAS'!$S236,"")</f>
        <v/>
      </c>
      <c r="E236" s="299" t="str">
        <f>IF('ASIGNACIÓN ASIGNATURAS'!$AF236=1,'ASIGNACIÓN ASIGNATURAS'!$T236,"")</f>
        <v/>
      </c>
      <c r="F236" s="299" t="str">
        <f>IF('ASIGNACIÓN ASIGNATURAS'!$AF236=1,'ASIGNACIÓN ASIGNATURAS'!$U236,"")</f>
        <v/>
      </c>
      <c r="G236" s="300" t="str">
        <f>IF(B236='PLAN DE ESTUDIO'!$XFD$41,"",+E236+F236)</f>
        <v/>
      </c>
    </row>
    <row r="237" spans="1:7" x14ac:dyDescent="0.3">
      <c r="A237" s="299" t="str">
        <f>IF('ASIGNACIÓN ASIGNATURAS'!$AF237=1,'ASIGNACIÓN ASIGNATURAS'!$M237,"")</f>
        <v/>
      </c>
      <c r="B237" s="299" t="str">
        <f>IF('ASIGNACIÓN ASIGNATURAS'!$AF237=1,'ASIGNACIÓN ASIGNATURAS'!$O237,"")</f>
        <v/>
      </c>
      <c r="C237" s="299" t="str">
        <f>IF('ASIGNACIÓN ASIGNATURAS'!$AF237=1,'ASIGNACIÓN ASIGNATURAS'!$P237,"")</f>
        <v/>
      </c>
      <c r="D237" s="299" t="str">
        <f>IF('ASIGNACIÓN ASIGNATURAS'!$AF237=1,'ASIGNACIÓN ASIGNATURAS'!$S237,"")</f>
        <v/>
      </c>
      <c r="E237" s="299" t="str">
        <f>IF('ASIGNACIÓN ASIGNATURAS'!$AF237=1,'ASIGNACIÓN ASIGNATURAS'!$T237,"")</f>
        <v/>
      </c>
      <c r="F237" s="299" t="str">
        <f>IF('ASIGNACIÓN ASIGNATURAS'!$AF237=1,'ASIGNACIÓN ASIGNATURAS'!$U237,"")</f>
        <v/>
      </c>
      <c r="G237" s="300" t="str">
        <f>IF(B237='PLAN DE ESTUDIO'!$XFD$41,"",+E237+F237)</f>
        <v/>
      </c>
    </row>
    <row r="238" spans="1:7" x14ac:dyDescent="0.3">
      <c r="A238" s="299" t="str">
        <f>IF('ASIGNACIÓN ASIGNATURAS'!$AF238=1,'ASIGNACIÓN ASIGNATURAS'!$M238,"")</f>
        <v/>
      </c>
      <c r="B238" s="299" t="str">
        <f>IF('ASIGNACIÓN ASIGNATURAS'!$AF238=1,'ASIGNACIÓN ASIGNATURAS'!$O238,"")</f>
        <v/>
      </c>
      <c r="C238" s="299" t="str">
        <f>IF('ASIGNACIÓN ASIGNATURAS'!$AF238=1,'ASIGNACIÓN ASIGNATURAS'!$P238,"")</f>
        <v/>
      </c>
      <c r="D238" s="299" t="str">
        <f>IF('ASIGNACIÓN ASIGNATURAS'!$AF238=1,'ASIGNACIÓN ASIGNATURAS'!$S238,"")</f>
        <v/>
      </c>
      <c r="E238" s="299" t="str">
        <f>IF('ASIGNACIÓN ASIGNATURAS'!$AF238=1,'ASIGNACIÓN ASIGNATURAS'!$T238,"")</f>
        <v/>
      </c>
      <c r="F238" s="299" t="str">
        <f>IF('ASIGNACIÓN ASIGNATURAS'!$AF238=1,'ASIGNACIÓN ASIGNATURAS'!$U238,"")</f>
        <v/>
      </c>
      <c r="G238" s="300" t="str">
        <f>IF(B238='PLAN DE ESTUDIO'!$XFD$41,"",+E238+F238)</f>
        <v/>
      </c>
    </row>
    <row r="239" spans="1:7" x14ac:dyDescent="0.3">
      <c r="A239" s="299" t="str">
        <f>IF('ASIGNACIÓN ASIGNATURAS'!$AF239=1,'ASIGNACIÓN ASIGNATURAS'!$M239,"")</f>
        <v/>
      </c>
      <c r="B239" s="299" t="str">
        <f>IF('ASIGNACIÓN ASIGNATURAS'!$AF239=1,'ASIGNACIÓN ASIGNATURAS'!$O239,"")</f>
        <v/>
      </c>
      <c r="C239" s="299" t="str">
        <f>IF('ASIGNACIÓN ASIGNATURAS'!$AF239=1,'ASIGNACIÓN ASIGNATURAS'!$P239,"")</f>
        <v/>
      </c>
      <c r="D239" s="299" t="str">
        <f>IF('ASIGNACIÓN ASIGNATURAS'!$AF239=1,'ASIGNACIÓN ASIGNATURAS'!$S239,"")</f>
        <v/>
      </c>
      <c r="E239" s="299" t="str">
        <f>IF('ASIGNACIÓN ASIGNATURAS'!$AF239=1,'ASIGNACIÓN ASIGNATURAS'!$T239,"")</f>
        <v/>
      </c>
      <c r="F239" s="299" t="str">
        <f>IF('ASIGNACIÓN ASIGNATURAS'!$AF239=1,'ASIGNACIÓN ASIGNATURAS'!$U239,"")</f>
        <v/>
      </c>
      <c r="G239" s="300" t="str">
        <f>IF(B239='PLAN DE ESTUDIO'!$XFD$41,"",+E239+F239)</f>
        <v/>
      </c>
    </row>
    <row r="240" spans="1:7" x14ac:dyDescent="0.3">
      <c r="A240" s="299" t="str">
        <f>IF('ASIGNACIÓN ASIGNATURAS'!$AF240=1,'ASIGNACIÓN ASIGNATURAS'!$M240,"")</f>
        <v/>
      </c>
      <c r="B240" s="299" t="str">
        <f>IF('ASIGNACIÓN ASIGNATURAS'!$AF240=1,'ASIGNACIÓN ASIGNATURAS'!$O240,"")</f>
        <v/>
      </c>
      <c r="C240" s="299" t="str">
        <f>IF('ASIGNACIÓN ASIGNATURAS'!$AF240=1,'ASIGNACIÓN ASIGNATURAS'!$P240,"")</f>
        <v/>
      </c>
      <c r="D240" s="299" t="str">
        <f>IF('ASIGNACIÓN ASIGNATURAS'!$AF240=1,'ASIGNACIÓN ASIGNATURAS'!$S240,"")</f>
        <v/>
      </c>
      <c r="E240" s="299" t="str">
        <f>IF('ASIGNACIÓN ASIGNATURAS'!$AF240=1,'ASIGNACIÓN ASIGNATURAS'!$T240,"")</f>
        <v/>
      </c>
      <c r="F240" s="299" t="str">
        <f>IF('ASIGNACIÓN ASIGNATURAS'!$AF240=1,'ASIGNACIÓN ASIGNATURAS'!$U240,"")</f>
        <v/>
      </c>
      <c r="G240" s="300" t="str">
        <f>IF(B240='PLAN DE ESTUDIO'!$XFD$41,"",+E240+F240)</f>
        <v/>
      </c>
    </row>
    <row r="241" spans="1:7" x14ac:dyDescent="0.3">
      <c r="A241" s="299" t="str">
        <f>IF('ASIGNACIÓN ASIGNATURAS'!$AF241=1,'ASIGNACIÓN ASIGNATURAS'!$M241,"")</f>
        <v/>
      </c>
      <c r="B241" s="299" t="str">
        <f>IF('ASIGNACIÓN ASIGNATURAS'!$AF241=1,'ASIGNACIÓN ASIGNATURAS'!$O241,"")</f>
        <v/>
      </c>
      <c r="C241" s="299" t="str">
        <f>IF('ASIGNACIÓN ASIGNATURAS'!$AF241=1,'ASIGNACIÓN ASIGNATURAS'!$P241,"")</f>
        <v/>
      </c>
      <c r="D241" s="299" t="str">
        <f>IF('ASIGNACIÓN ASIGNATURAS'!$AF241=1,'ASIGNACIÓN ASIGNATURAS'!$S241,"")</f>
        <v/>
      </c>
      <c r="E241" s="299" t="str">
        <f>IF('ASIGNACIÓN ASIGNATURAS'!$AF241=1,'ASIGNACIÓN ASIGNATURAS'!$T241,"")</f>
        <v/>
      </c>
      <c r="F241" s="299" t="str">
        <f>IF('ASIGNACIÓN ASIGNATURAS'!$AF241=1,'ASIGNACIÓN ASIGNATURAS'!$U241,"")</f>
        <v/>
      </c>
      <c r="G241" s="300" t="str">
        <f>IF(B241='PLAN DE ESTUDIO'!$XFD$41,"",+E241+F241)</f>
        <v/>
      </c>
    </row>
    <row r="242" spans="1:7" x14ac:dyDescent="0.3">
      <c r="A242" s="299" t="str">
        <f>IF('ASIGNACIÓN ASIGNATURAS'!$AF242=1,'ASIGNACIÓN ASIGNATURAS'!$M242,"")</f>
        <v/>
      </c>
      <c r="B242" s="299" t="str">
        <f>IF('ASIGNACIÓN ASIGNATURAS'!$AF242=1,'ASIGNACIÓN ASIGNATURAS'!$O242,"")</f>
        <v/>
      </c>
      <c r="C242" s="299" t="str">
        <f>IF('ASIGNACIÓN ASIGNATURAS'!$AF242=1,'ASIGNACIÓN ASIGNATURAS'!$P242,"")</f>
        <v/>
      </c>
      <c r="D242" s="299" t="str">
        <f>IF('ASIGNACIÓN ASIGNATURAS'!$AF242=1,'ASIGNACIÓN ASIGNATURAS'!$S242,"")</f>
        <v/>
      </c>
      <c r="E242" s="299" t="str">
        <f>IF('ASIGNACIÓN ASIGNATURAS'!$AF242=1,'ASIGNACIÓN ASIGNATURAS'!$T242,"")</f>
        <v/>
      </c>
      <c r="F242" s="299" t="str">
        <f>IF('ASIGNACIÓN ASIGNATURAS'!$AF242=1,'ASIGNACIÓN ASIGNATURAS'!$U242,"")</f>
        <v/>
      </c>
      <c r="G242" s="300" t="str">
        <f>IF(B242='PLAN DE ESTUDIO'!$XFD$41,"",+E242+F242)</f>
        <v/>
      </c>
    </row>
    <row r="243" spans="1:7" x14ac:dyDescent="0.3">
      <c r="A243" s="299" t="str">
        <f>IF('ASIGNACIÓN ASIGNATURAS'!$AF243=1,'ASIGNACIÓN ASIGNATURAS'!$M243,"")</f>
        <v/>
      </c>
      <c r="B243" s="299" t="str">
        <f>IF('ASIGNACIÓN ASIGNATURAS'!$AF243=1,'ASIGNACIÓN ASIGNATURAS'!$O243,"")</f>
        <v/>
      </c>
      <c r="C243" s="299" t="str">
        <f>IF('ASIGNACIÓN ASIGNATURAS'!$AF243=1,'ASIGNACIÓN ASIGNATURAS'!$P243,"")</f>
        <v/>
      </c>
      <c r="D243" s="299" t="str">
        <f>IF('ASIGNACIÓN ASIGNATURAS'!$AF243=1,'ASIGNACIÓN ASIGNATURAS'!$S243,"")</f>
        <v/>
      </c>
      <c r="E243" s="299" t="str">
        <f>IF('ASIGNACIÓN ASIGNATURAS'!$AF243=1,'ASIGNACIÓN ASIGNATURAS'!$T243,"")</f>
        <v/>
      </c>
      <c r="F243" s="299" t="str">
        <f>IF('ASIGNACIÓN ASIGNATURAS'!$AF243=1,'ASIGNACIÓN ASIGNATURAS'!$U243,"")</f>
        <v/>
      </c>
      <c r="G243" s="300" t="str">
        <f>IF(B243='PLAN DE ESTUDIO'!$XFD$41,"",+E243+F243)</f>
        <v/>
      </c>
    </row>
    <row r="244" spans="1:7" x14ac:dyDescent="0.3">
      <c r="A244" s="299" t="str">
        <f>IF('ASIGNACIÓN ASIGNATURAS'!$AF244=1,'ASIGNACIÓN ASIGNATURAS'!$M244,"")</f>
        <v/>
      </c>
      <c r="B244" s="299" t="str">
        <f>IF('ASIGNACIÓN ASIGNATURAS'!$AF244=1,'ASIGNACIÓN ASIGNATURAS'!$O244,"")</f>
        <v/>
      </c>
      <c r="C244" s="299" t="str">
        <f>IF('ASIGNACIÓN ASIGNATURAS'!$AF244=1,'ASIGNACIÓN ASIGNATURAS'!$P244,"")</f>
        <v/>
      </c>
      <c r="D244" s="299" t="str">
        <f>IF('ASIGNACIÓN ASIGNATURAS'!$AF244=1,'ASIGNACIÓN ASIGNATURAS'!$S244,"")</f>
        <v/>
      </c>
      <c r="E244" s="299" t="str">
        <f>IF('ASIGNACIÓN ASIGNATURAS'!$AF244=1,'ASIGNACIÓN ASIGNATURAS'!$T244,"")</f>
        <v/>
      </c>
      <c r="F244" s="299" t="str">
        <f>IF('ASIGNACIÓN ASIGNATURAS'!$AF244=1,'ASIGNACIÓN ASIGNATURAS'!$U244,"")</f>
        <v/>
      </c>
      <c r="G244" s="300" t="str">
        <f>IF(B244='PLAN DE ESTUDIO'!$XFD$41,"",+E244+F244)</f>
        <v/>
      </c>
    </row>
    <row r="245" spans="1:7" x14ac:dyDescent="0.3">
      <c r="A245" s="299" t="str">
        <f>IF('ASIGNACIÓN ASIGNATURAS'!$AF245=1,'ASIGNACIÓN ASIGNATURAS'!$M245,"")</f>
        <v/>
      </c>
      <c r="B245" s="299" t="str">
        <f>IF('ASIGNACIÓN ASIGNATURAS'!$AF245=1,'ASIGNACIÓN ASIGNATURAS'!$O245,"")</f>
        <v/>
      </c>
      <c r="C245" s="299" t="str">
        <f>IF('ASIGNACIÓN ASIGNATURAS'!$AF245=1,'ASIGNACIÓN ASIGNATURAS'!$P245,"")</f>
        <v/>
      </c>
      <c r="D245" s="299" t="str">
        <f>IF('ASIGNACIÓN ASIGNATURAS'!$AF245=1,'ASIGNACIÓN ASIGNATURAS'!$S245,"")</f>
        <v/>
      </c>
      <c r="E245" s="299" t="str">
        <f>IF('ASIGNACIÓN ASIGNATURAS'!$AF245=1,'ASIGNACIÓN ASIGNATURAS'!$T245,"")</f>
        <v/>
      </c>
      <c r="F245" s="299" t="str">
        <f>IF('ASIGNACIÓN ASIGNATURAS'!$AF245=1,'ASIGNACIÓN ASIGNATURAS'!$U245,"")</f>
        <v/>
      </c>
      <c r="G245" s="300" t="str">
        <f>IF(B245='PLAN DE ESTUDIO'!$XFD$41,"",+E245+F245)</f>
        <v/>
      </c>
    </row>
    <row r="246" spans="1:7" x14ac:dyDescent="0.3">
      <c r="A246" s="299" t="str">
        <f>IF('ASIGNACIÓN ASIGNATURAS'!$AF246=1,'ASIGNACIÓN ASIGNATURAS'!$M246,"")</f>
        <v/>
      </c>
      <c r="B246" s="299" t="str">
        <f>IF('ASIGNACIÓN ASIGNATURAS'!$AF246=1,'ASIGNACIÓN ASIGNATURAS'!$O246,"")</f>
        <v/>
      </c>
      <c r="C246" s="299" t="str">
        <f>IF('ASIGNACIÓN ASIGNATURAS'!$AF246=1,'ASIGNACIÓN ASIGNATURAS'!$P246,"")</f>
        <v/>
      </c>
      <c r="D246" s="299" t="str">
        <f>IF('ASIGNACIÓN ASIGNATURAS'!$AF246=1,'ASIGNACIÓN ASIGNATURAS'!$S246,"")</f>
        <v/>
      </c>
      <c r="E246" s="299" t="str">
        <f>IF('ASIGNACIÓN ASIGNATURAS'!$AF246=1,'ASIGNACIÓN ASIGNATURAS'!$T246,"")</f>
        <v/>
      </c>
      <c r="F246" s="299" t="str">
        <f>IF('ASIGNACIÓN ASIGNATURAS'!$AF246=1,'ASIGNACIÓN ASIGNATURAS'!$U246,"")</f>
        <v/>
      </c>
      <c r="G246" s="300" t="str">
        <f>IF(B246='PLAN DE ESTUDIO'!$XFD$41,"",+E246+F246)</f>
        <v/>
      </c>
    </row>
    <row r="247" spans="1:7" x14ac:dyDescent="0.3">
      <c r="A247" s="299" t="str">
        <f>IF('ASIGNACIÓN ASIGNATURAS'!$AF247=1,'ASIGNACIÓN ASIGNATURAS'!$M247,"")</f>
        <v/>
      </c>
      <c r="B247" s="299" t="str">
        <f>IF('ASIGNACIÓN ASIGNATURAS'!$AF247=1,'ASIGNACIÓN ASIGNATURAS'!$O247,"")</f>
        <v/>
      </c>
      <c r="C247" s="299" t="str">
        <f>IF('ASIGNACIÓN ASIGNATURAS'!$AF247=1,'ASIGNACIÓN ASIGNATURAS'!$P247,"")</f>
        <v/>
      </c>
      <c r="D247" s="299" t="str">
        <f>IF('ASIGNACIÓN ASIGNATURAS'!$AF247=1,'ASIGNACIÓN ASIGNATURAS'!$S247,"")</f>
        <v/>
      </c>
      <c r="E247" s="299" t="str">
        <f>IF('ASIGNACIÓN ASIGNATURAS'!$AF247=1,'ASIGNACIÓN ASIGNATURAS'!$T247,"")</f>
        <v/>
      </c>
      <c r="F247" s="299" t="str">
        <f>IF('ASIGNACIÓN ASIGNATURAS'!$AF247=1,'ASIGNACIÓN ASIGNATURAS'!$U247,"")</f>
        <v/>
      </c>
      <c r="G247" s="300" t="str">
        <f>IF(B247='PLAN DE ESTUDIO'!$XFD$41,"",+E247+F247)</f>
        <v/>
      </c>
    </row>
    <row r="248" spans="1:7" x14ac:dyDescent="0.3">
      <c r="A248" s="299" t="str">
        <f>IF('ASIGNACIÓN ASIGNATURAS'!$AF248=1,'ASIGNACIÓN ASIGNATURAS'!$M248,"")</f>
        <v/>
      </c>
      <c r="B248" s="299" t="str">
        <f>IF('ASIGNACIÓN ASIGNATURAS'!$AF248=1,'ASIGNACIÓN ASIGNATURAS'!$O248,"")</f>
        <v/>
      </c>
      <c r="C248" s="299" t="str">
        <f>IF('ASIGNACIÓN ASIGNATURAS'!$AF248=1,'ASIGNACIÓN ASIGNATURAS'!$P248,"")</f>
        <v/>
      </c>
      <c r="D248" s="299" t="str">
        <f>IF('ASIGNACIÓN ASIGNATURAS'!$AF248=1,'ASIGNACIÓN ASIGNATURAS'!$S248,"")</f>
        <v/>
      </c>
      <c r="E248" s="299" t="str">
        <f>IF('ASIGNACIÓN ASIGNATURAS'!$AF248=1,'ASIGNACIÓN ASIGNATURAS'!$T248,"")</f>
        <v/>
      </c>
      <c r="F248" s="299" t="str">
        <f>IF('ASIGNACIÓN ASIGNATURAS'!$AF248=1,'ASIGNACIÓN ASIGNATURAS'!$U248,"")</f>
        <v/>
      </c>
      <c r="G248" s="300" t="str">
        <f>IF(B248='PLAN DE ESTUDIO'!$XFD$41,"",+E248+F248)</f>
        <v/>
      </c>
    </row>
    <row r="249" spans="1:7" x14ac:dyDescent="0.3">
      <c r="A249" s="299" t="str">
        <f>IF('ASIGNACIÓN ASIGNATURAS'!$AF249=1,'ASIGNACIÓN ASIGNATURAS'!$M249,"")</f>
        <v/>
      </c>
      <c r="B249" s="299" t="str">
        <f>IF('ASIGNACIÓN ASIGNATURAS'!$AF249=1,'ASIGNACIÓN ASIGNATURAS'!$O249,"")</f>
        <v/>
      </c>
      <c r="C249" s="299" t="str">
        <f>IF('ASIGNACIÓN ASIGNATURAS'!$AF249=1,'ASIGNACIÓN ASIGNATURAS'!$P249,"")</f>
        <v/>
      </c>
      <c r="D249" s="299" t="str">
        <f>IF('ASIGNACIÓN ASIGNATURAS'!$AF249=1,'ASIGNACIÓN ASIGNATURAS'!$S249,"")</f>
        <v/>
      </c>
      <c r="E249" s="299" t="str">
        <f>IF('ASIGNACIÓN ASIGNATURAS'!$AF249=1,'ASIGNACIÓN ASIGNATURAS'!$T249,"")</f>
        <v/>
      </c>
      <c r="F249" s="299" t="str">
        <f>IF('ASIGNACIÓN ASIGNATURAS'!$AF249=1,'ASIGNACIÓN ASIGNATURAS'!$U249,"")</f>
        <v/>
      </c>
      <c r="G249" s="300" t="str">
        <f>IF(B249='PLAN DE ESTUDIO'!$XFD$41,"",+E249+F249)</f>
        <v/>
      </c>
    </row>
    <row r="250" spans="1:7" x14ac:dyDescent="0.3">
      <c r="A250" s="299" t="str">
        <f>IF('ASIGNACIÓN ASIGNATURAS'!$AF250=1,'ASIGNACIÓN ASIGNATURAS'!$M250,"")</f>
        <v/>
      </c>
      <c r="B250" s="299" t="str">
        <f>IF('ASIGNACIÓN ASIGNATURAS'!$AF250=1,'ASIGNACIÓN ASIGNATURAS'!$O250,"")</f>
        <v/>
      </c>
      <c r="C250" s="299" t="str">
        <f>IF('ASIGNACIÓN ASIGNATURAS'!$AF250=1,'ASIGNACIÓN ASIGNATURAS'!$P250,"")</f>
        <v/>
      </c>
      <c r="D250" s="299" t="str">
        <f>IF('ASIGNACIÓN ASIGNATURAS'!$AF250=1,'ASIGNACIÓN ASIGNATURAS'!$S250,"")</f>
        <v/>
      </c>
      <c r="E250" s="299" t="str">
        <f>IF('ASIGNACIÓN ASIGNATURAS'!$AF250=1,'ASIGNACIÓN ASIGNATURAS'!$T250,"")</f>
        <v/>
      </c>
      <c r="F250" s="299" t="str">
        <f>IF('ASIGNACIÓN ASIGNATURAS'!$AF250=1,'ASIGNACIÓN ASIGNATURAS'!$U250,"")</f>
        <v/>
      </c>
      <c r="G250" s="300" t="str">
        <f>IF(B250='PLAN DE ESTUDIO'!$XFD$41,"",+E250+F250)</f>
        <v/>
      </c>
    </row>
    <row r="251" spans="1:7" x14ac:dyDescent="0.3">
      <c r="A251" s="299" t="str">
        <f>IF('ASIGNACIÓN ASIGNATURAS'!$AF251=1,'ASIGNACIÓN ASIGNATURAS'!$M251,"")</f>
        <v/>
      </c>
      <c r="B251" s="299" t="str">
        <f>IF('ASIGNACIÓN ASIGNATURAS'!$AF251=1,'ASIGNACIÓN ASIGNATURAS'!$O251,"")</f>
        <v/>
      </c>
      <c r="C251" s="299" t="str">
        <f>IF('ASIGNACIÓN ASIGNATURAS'!$AF251=1,'ASIGNACIÓN ASIGNATURAS'!$P251,"")</f>
        <v/>
      </c>
      <c r="D251" s="299" t="str">
        <f>IF('ASIGNACIÓN ASIGNATURAS'!$AF251=1,'ASIGNACIÓN ASIGNATURAS'!$S251,"")</f>
        <v/>
      </c>
      <c r="E251" s="299" t="str">
        <f>IF('ASIGNACIÓN ASIGNATURAS'!$AF251=1,'ASIGNACIÓN ASIGNATURAS'!$T251,"")</f>
        <v/>
      </c>
      <c r="F251" s="299" t="str">
        <f>IF('ASIGNACIÓN ASIGNATURAS'!$AF251=1,'ASIGNACIÓN ASIGNATURAS'!$U251,"")</f>
        <v/>
      </c>
      <c r="G251" s="300" t="str">
        <f>IF(B251='PLAN DE ESTUDIO'!$XFD$41,"",+E251+F251)</f>
        <v/>
      </c>
    </row>
    <row r="252" spans="1:7" x14ac:dyDescent="0.3">
      <c r="A252" s="299" t="str">
        <f>IF('ASIGNACIÓN ASIGNATURAS'!$AF252=1,'ASIGNACIÓN ASIGNATURAS'!$M252,"")</f>
        <v/>
      </c>
      <c r="B252" s="299" t="str">
        <f>IF('ASIGNACIÓN ASIGNATURAS'!$AF252=1,'ASIGNACIÓN ASIGNATURAS'!$O252,"")</f>
        <v/>
      </c>
      <c r="C252" s="299" t="str">
        <f>IF('ASIGNACIÓN ASIGNATURAS'!$AF252=1,'ASIGNACIÓN ASIGNATURAS'!$P252,"")</f>
        <v/>
      </c>
      <c r="D252" s="299" t="str">
        <f>IF('ASIGNACIÓN ASIGNATURAS'!$AF252=1,'ASIGNACIÓN ASIGNATURAS'!$S252,"")</f>
        <v/>
      </c>
      <c r="E252" s="299" t="str">
        <f>IF('ASIGNACIÓN ASIGNATURAS'!$AF252=1,'ASIGNACIÓN ASIGNATURAS'!$T252,"")</f>
        <v/>
      </c>
      <c r="F252" s="299" t="str">
        <f>IF('ASIGNACIÓN ASIGNATURAS'!$AF252=1,'ASIGNACIÓN ASIGNATURAS'!$U252,"")</f>
        <v/>
      </c>
      <c r="G252" s="300" t="str">
        <f>IF(B252='PLAN DE ESTUDIO'!$XFD$41,"",+E252+F252)</f>
        <v/>
      </c>
    </row>
    <row r="253" spans="1:7" x14ac:dyDescent="0.3">
      <c r="A253" s="299" t="str">
        <f>IF('ASIGNACIÓN ASIGNATURAS'!$AF253=1,'ASIGNACIÓN ASIGNATURAS'!$M253,"")</f>
        <v/>
      </c>
      <c r="B253" s="299" t="str">
        <f>IF('ASIGNACIÓN ASIGNATURAS'!$AF253=1,'ASIGNACIÓN ASIGNATURAS'!$O253,"")</f>
        <v/>
      </c>
      <c r="C253" s="299" t="str">
        <f>IF('ASIGNACIÓN ASIGNATURAS'!$AF253=1,'ASIGNACIÓN ASIGNATURAS'!$P253,"")</f>
        <v/>
      </c>
      <c r="D253" s="299" t="str">
        <f>IF('ASIGNACIÓN ASIGNATURAS'!$AF253=1,'ASIGNACIÓN ASIGNATURAS'!$S253,"")</f>
        <v/>
      </c>
      <c r="E253" s="299" t="str">
        <f>IF('ASIGNACIÓN ASIGNATURAS'!$AF253=1,'ASIGNACIÓN ASIGNATURAS'!$T253,"")</f>
        <v/>
      </c>
      <c r="F253" s="299" t="str">
        <f>IF('ASIGNACIÓN ASIGNATURAS'!$AF253=1,'ASIGNACIÓN ASIGNATURAS'!$U253,"")</f>
        <v/>
      </c>
      <c r="G253" s="300" t="str">
        <f>IF(B253='PLAN DE ESTUDIO'!$XFD$41,"",+E253+F253)</f>
        <v/>
      </c>
    </row>
    <row r="254" spans="1:7" x14ac:dyDescent="0.3">
      <c r="A254" s="299" t="str">
        <f>IF('ASIGNACIÓN ASIGNATURAS'!$AF254=1,'ASIGNACIÓN ASIGNATURAS'!$M254,"")</f>
        <v/>
      </c>
      <c r="B254" s="299" t="str">
        <f>IF('ASIGNACIÓN ASIGNATURAS'!$AF254=1,'ASIGNACIÓN ASIGNATURAS'!$O254,"")</f>
        <v/>
      </c>
      <c r="C254" s="299" t="str">
        <f>IF('ASIGNACIÓN ASIGNATURAS'!$AF254=1,'ASIGNACIÓN ASIGNATURAS'!$P254,"")</f>
        <v/>
      </c>
      <c r="D254" s="299" t="str">
        <f>IF('ASIGNACIÓN ASIGNATURAS'!$AF254=1,'ASIGNACIÓN ASIGNATURAS'!$S254,"")</f>
        <v/>
      </c>
      <c r="E254" s="299" t="str">
        <f>IF('ASIGNACIÓN ASIGNATURAS'!$AF254=1,'ASIGNACIÓN ASIGNATURAS'!$T254,"")</f>
        <v/>
      </c>
      <c r="F254" s="299" t="str">
        <f>IF('ASIGNACIÓN ASIGNATURAS'!$AF254=1,'ASIGNACIÓN ASIGNATURAS'!$U254,"")</f>
        <v/>
      </c>
      <c r="G254" s="300" t="str">
        <f>IF(B254='PLAN DE ESTUDIO'!$XFD$41,"",+E254+F254)</f>
        <v/>
      </c>
    </row>
    <row r="255" spans="1:7" x14ac:dyDescent="0.3">
      <c r="A255" s="299" t="str">
        <f>IF('ASIGNACIÓN ASIGNATURAS'!$AF255=1,'ASIGNACIÓN ASIGNATURAS'!$M255,"")</f>
        <v/>
      </c>
      <c r="B255" s="299" t="str">
        <f>IF('ASIGNACIÓN ASIGNATURAS'!$AF255=1,'ASIGNACIÓN ASIGNATURAS'!$O255,"")</f>
        <v/>
      </c>
      <c r="C255" s="299" t="str">
        <f>IF('ASIGNACIÓN ASIGNATURAS'!$AF255=1,'ASIGNACIÓN ASIGNATURAS'!$P255,"")</f>
        <v/>
      </c>
      <c r="D255" s="299" t="str">
        <f>IF('ASIGNACIÓN ASIGNATURAS'!$AF255=1,'ASIGNACIÓN ASIGNATURAS'!$S255,"")</f>
        <v/>
      </c>
      <c r="E255" s="299" t="str">
        <f>IF('ASIGNACIÓN ASIGNATURAS'!$AF255=1,'ASIGNACIÓN ASIGNATURAS'!$T255,"")</f>
        <v/>
      </c>
      <c r="F255" s="299" t="str">
        <f>IF('ASIGNACIÓN ASIGNATURAS'!$AF255=1,'ASIGNACIÓN ASIGNATURAS'!$U255,"")</f>
        <v/>
      </c>
      <c r="G255" s="300" t="str">
        <f>IF(B255='PLAN DE ESTUDIO'!$XFD$41,"",+E255+F255)</f>
        <v/>
      </c>
    </row>
    <row r="256" spans="1:7" x14ac:dyDescent="0.3">
      <c r="A256" s="299" t="str">
        <f>IF('ASIGNACIÓN ASIGNATURAS'!$AF256=1,'ASIGNACIÓN ASIGNATURAS'!$M256,"")</f>
        <v/>
      </c>
      <c r="B256" s="299" t="str">
        <f>IF('ASIGNACIÓN ASIGNATURAS'!$AF256=1,'ASIGNACIÓN ASIGNATURAS'!$O256,"")</f>
        <v/>
      </c>
      <c r="C256" s="299" t="str">
        <f>IF('ASIGNACIÓN ASIGNATURAS'!$AF256=1,'ASIGNACIÓN ASIGNATURAS'!$P256,"")</f>
        <v/>
      </c>
      <c r="D256" s="299" t="str">
        <f>IF('ASIGNACIÓN ASIGNATURAS'!$AF256=1,'ASIGNACIÓN ASIGNATURAS'!$S256,"")</f>
        <v/>
      </c>
      <c r="E256" s="299" t="str">
        <f>IF('ASIGNACIÓN ASIGNATURAS'!$AF256=1,'ASIGNACIÓN ASIGNATURAS'!$T256,"")</f>
        <v/>
      </c>
      <c r="F256" s="299" t="str">
        <f>IF('ASIGNACIÓN ASIGNATURAS'!$AF256=1,'ASIGNACIÓN ASIGNATURAS'!$U256,"")</f>
        <v/>
      </c>
      <c r="G256" s="300" t="str">
        <f>IF(B256='PLAN DE ESTUDIO'!$XFD$41,"",+E256+F256)</f>
        <v/>
      </c>
    </row>
    <row r="257" spans="1:7" x14ac:dyDescent="0.3">
      <c r="A257" s="299" t="str">
        <f>IF('ASIGNACIÓN ASIGNATURAS'!$AF257=1,'ASIGNACIÓN ASIGNATURAS'!$M257,"")</f>
        <v/>
      </c>
      <c r="B257" s="299" t="str">
        <f>IF('ASIGNACIÓN ASIGNATURAS'!$AF257=1,'ASIGNACIÓN ASIGNATURAS'!$O257,"")</f>
        <v/>
      </c>
      <c r="C257" s="299" t="str">
        <f>IF('ASIGNACIÓN ASIGNATURAS'!$AF257=1,'ASIGNACIÓN ASIGNATURAS'!$P257,"")</f>
        <v/>
      </c>
      <c r="D257" s="299" t="str">
        <f>IF('ASIGNACIÓN ASIGNATURAS'!$AF257=1,'ASIGNACIÓN ASIGNATURAS'!$S257,"")</f>
        <v/>
      </c>
      <c r="E257" s="299" t="str">
        <f>IF('ASIGNACIÓN ASIGNATURAS'!$AF257=1,'ASIGNACIÓN ASIGNATURAS'!$T257,"")</f>
        <v/>
      </c>
      <c r="F257" s="299" t="str">
        <f>IF('ASIGNACIÓN ASIGNATURAS'!$AF257=1,'ASIGNACIÓN ASIGNATURAS'!$U257,"")</f>
        <v/>
      </c>
      <c r="G257" s="300" t="str">
        <f>IF(B257='PLAN DE ESTUDIO'!$XFD$41,"",+E257+F257)</f>
        <v/>
      </c>
    </row>
    <row r="258" spans="1:7" x14ac:dyDescent="0.3">
      <c r="A258" s="299" t="str">
        <f>IF('ASIGNACIÓN ASIGNATURAS'!$AF258=1,'ASIGNACIÓN ASIGNATURAS'!$M258,"")</f>
        <v/>
      </c>
      <c r="B258" s="299" t="str">
        <f>IF('ASIGNACIÓN ASIGNATURAS'!$AF258=1,'ASIGNACIÓN ASIGNATURAS'!$O258,"")</f>
        <v/>
      </c>
      <c r="C258" s="299" t="str">
        <f>IF('ASIGNACIÓN ASIGNATURAS'!$AF258=1,'ASIGNACIÓN ASIGNATURAS'!$P258,"")</f>
        <v/>
      </c>
      <c r="D258" s="299" t="str">
        <f>IF('ASIGNACIÓN ASIGNATURAS'!$AF258=1,'ASIGNACIÓN ASIGNATURAS'!$S258,"")</f>
        <v/>
      </c>
      <c r="E258" s="299" t="str">
        <f>IF('ASIGNACIÓN ASIGNATURAS'!$AF258=1,'ASIGNACIÓN ASIGNATURAS'!$T258,"")</f>
        <v/>
      </c>
      <c r="F258" s="299" t="str">
        <f>IF('ASIGNACIÓN ASIGNATURAS'!$AF258=1,'ASIGNACIÓN ASIGNATURAS'!$U258,"")</f>
        <v/>
      </c>
      <c r="G258" s="300" t="str">
        <f>IF(B258='PLAN DE ESTUDIO'!$XFD$41,"",+E258+F258)</f>
        <v/>
      </c>
    </row>
    <row r="259" spans="1:7" x14ac:dyDescent="0.3">
      <c r="A259" s="299" t="str">
        <f>IF('ASIGNACIÓN ASIGNATURAS'!$AF259=1,'ASIGNACIÓN ASIGNATURAS'!$M259,"")</f>
        <v/>
      </c>
      <c r="B259" s="299" t="str">
        <f>IF('ASIGNACIÓN ASIGNATURAS'!$AF259=1,'ASIGNACIÓN ASIGNATURAS'!$O259,"")</f>
        <v/>
      </c>
      <c r="C259" s="299" t="str">
        <f>IF('ASIGNACIÓN ASIGNATURAS'!$AF259=1,'ASIGNACIÓN ASIGNATURAS'!$P259,"")</f>
        <v/>
      </c>
      <c r="D259" s="299" t="str">
        <f>IF('ASIGNACIÓN ASIGNATURAS'!$AF259=1,'ASIGNACIÓN ASIGNATURAS'!$S259,"")</f>
        <v/>
      </c>
      <c r="E259" s="299" t="str">
        <f>IF('ASIGNACIÓN ASIGNATURAS'!$AF259=1,'ASIGNACIÓN ASIGNATURAS'!$T259,"")</f>
        <v/>
      </c>
      <c r="F259" s="299" t="str">
        <f>IF('ASIGNACIÓN ASIGNATURAS'!$AF259=1,'ASIGNACIÓN ASIGNATURAS'!$U259,"")</f>
        <v/>
      </c>
      <c r="G259" s="300" t="str">
        <f>IF(B259='PLAN DE ESTUDIO'!$XFD$41,"",+E259+F259)</f>
        <v/>
      </c>
    </row>
    <row r="260" spans="1:7" x14ac:dyDescent="0.3">
      <c r="A260" s="299" t="str">
        <f>IF('ASIGNACIÓN ASIGNATURAS'!$AF260=1,'ASIGNACIÓN ASIGNATURAS'!$M260,"")</f>
        <v/>
      </c>
      <c r="B260" s="299" t="str">
        <f>IF('ASIGNACIÓN ASIGNATURAS'!$AF260=1,'ASIGNACIÓN ASIGNATURAS'!$O260,"")</f>
        <v/>
      </c>
      <c r="C260" s="299" t="str">
        <f>IF('ASIGNACIÓN ASIGNATURAS'!$AF260=1,'ASIGNACIÓN ASIGNATURAS'!$P260,"")</f>
        <v/>
      </c>
      <c r="D260" s="299" t="str">
        <f>IF('ASIGNACIÓN ASIGNATURAS'!$AF260=1,'ASIGNACIÓN ASIGNATURAS'!$S260,"")</f>
        <v/>
      </c>
      <c r="E260" s="299" t="str">
        <f>IF('ASIGNACIÓN ASIGNATURAS'!$AF260=1,'ASIGNACIÓN ASIGNATURAS'!$T260,"")</f>
        <v/>
      </c>
      <c r="F260" s="299" t="str">
        <f>IF('ASIGNACIÓN ASIGNATURAS'!$AF260=1,'ASIGNACIÓN ASIGNATURAS'!$U260,"")</f>
        <v/>
      </c>
      <c r="G260" s="300" t="str">
        <f>IF(B260='PLAN DE ESTUDIO'!$XFD$41,"",+E260+F260)</f>
        <v/>
      </c>
    </row>
    <row r="261" spans="1:7" x14ac:dyDescent="0.3">
      <c r="A261" s="299" t="str">
        <f>IF('ASIGNACIÓN ASIGNATURAS'!$AF261=1,'ASIGNACIÓN ASIGNATURAS'!$M261,"")</f>
        <v/>
      </c>
      <c r="B261" s="299" t="str">
        <f>IF('ASIGNACIÓN ASIGNATURAS'!$AF261=1,'ASIGNACIÓN ASIGNATURAS'!$O261,"")</f>
        <v/>
      </c>
      <c r="C261" s="299" t="str">
        <f>IF('ASIGNACIÓN ASIGNATURAS'!$AF261=1,'ASIGNACIÓN ASIGNATURAS'!$P261,"")</f>
        <v/>
      </c>
      <c r="D261" s="299" t="str">
        <f>IF('ASIGNACIÓN ASIGNATURAS'!$AF261=1,'ASIGNACIÓN ASIGNATURAS'!$S261,"")</f>
        <v/>
      </c>
      <c r="E261" s="299" t="str">
        <f>IF('ASIGNACIÓN ASIGNATURAS'!$AF261=1,'ASIGNACIÓN ASIGNATURAS'!$T261,"")</f>
        <v/>
      </c>
      <c r="F261" s="299" t="str">
        <f>IF('ASIGNACIÓN ASIGNATURAS'!$AF261=1,'ASIGNACIÓN ASIGNATURAS'!$U261,"")</f>
        <v/>
      </c>
      <c r="G261" s="300" t="str">
        <f>IF(B261='PLAN DE ESTUDIO'!$XFD$41,"",+E261+F261)</f>
        <v/>
      </c>
    </row>
    <row r="262" spans="1:7" x14ac:dyDescent="0.3">
      <c r="A262" s="299" t="str">
        <f>IF('ASIGNACIÓN ASIGNATURAS'!$AF262=1,'ASIGNACIÓN ASIGNATURAS'!$M262,"")</f>
        <v/>
      </c>
      <c r="B262" s="299" t="str">
        <f>IF('ASIGNACIÓN ASIGNATURAS'!$AF262=1,'ASIGNACIÓN ASIGNATURAS'!$O262,"")</f>
        <v/>
      </c>
      <c r="C262" s="299" t="str">
        <f>IF('ASIGNACIÓN ASIGNATURAS'!$AF262=1,'ASIGNACIÓN ASIGNATURAS'!$P262,"")</f>
        <v/>
      </c>
      <c r="D262" s="299" t="str">
        <f>IF('ASIGNACIÓN ASIGNATURAS'!$AF262=1,'ASIGNACIÓN ASIGNATURAS'!$S262,"")</f>
        <v/>
      </c>
      <c r="E262" s="299" t="str">
        <f>IF('ASIGNACIÓN ASIGNATURAS'!$AF262=1,'ASIGNACIÓN ASIGNATURAS'!$T262,"")</f>
        <v/>
      </c>
      <c r="F262" s="299" t="str">
        <f>IF('ASIGNACIÓN ASIGNATURAS'!$AF262=1,'ASIGNACIÓN ASIGNATURAS'!$U262,"")</f>
        <v/>
      </c>
      <c r="G262" s="300" t="str">
        <f>IF(B262='PLAN DE ESTUDIO'!$XFD$41,"",+E262+F262)</f>
        <v/>
      </c>
    </row>
    <row r="263" spans="1:7" x14ac:dyDescent="0.3">
      <c r="A263" s="299" t="str">
        <f>IF('ASIGNACIÓN ASIGNATURAS'!$AF263=1,'ASIGNACIÓN ASIGNATURAS'!$M263,"")</f>
        <v/>
      </c>
      <c r="B263" s="299" t="str">
        <f>IF('ASIGNACIÓN ASIGNATURAS'!$AF263=1,'ASIGNACIÓN ASIGNATURAS'!$O263,"")</f>
        <v/>
      </c>
      <c r="C263" s="299" t="str">
        <f>IF('ASIGNACIÓN ASIGNATURAS'!$AF263=1,'ASIGNACIÓN ASIGNATURAS'!$P263,"")</f>
        <v/>
      </c>
      <c r="D263" s="299" t="str">
        <f>IF('ASIGNACIÓN ASIGNATURAS'!$AF263=1,'ASIGNACIÓN ASIGNATURAS'!$S263,"")</f>
        <v/>
      </c>
      <c r="E263" s="299" t="str">
        <f>IF('ASIGNACIÓN ASIGNATURAS'!$AF263=1,'ASIGNACIÓN ASIGNATURAS'!$T263,"")</f>
        <v/>
      </c>
      <c r="F263" s="299" t="str">
        <f>IF('ASIGNACIÓN ASIGNATURAS'!$AF263=1,'ASIGNACIÓN ASIGNATURAS'!$U263,"")</f>
        <v/>
      </c>
      <c r="G263" s="300" t="str">
        <f>IF(B263='PLAN DE ESTUDIO'!$XFD$41,"",+E263+F263)</f>
        <v/>
      </c>
    </row>
    <row r="264" spans="1:7" x14ac:dyDescent="0.3">
      <c r="A264" s="299" t="str">
        <f>IF('ASIGNACIÓN ASIGNATURAS'!$AF264=1,'ASIGNACIÓN ASIGNATURAS'!$M264,"")</f>
        <v/>
      </c>
      <c r="B264" s="299" t="str">
        <f>IF('ASIGNACIÓN ASIGNATURAS'!$AF264=1,'ASIGNACIÓN ASIGNATURAS'!$O264,"")</f>
        <v/>
      </c>
      <c r="C264" s="299" t="str">
        <f>IF('ASIGNACIÓN ASIGNATURAS'!$AF264=1,'ASIGNACIÓN ASIGNATURAS'!$P264,"")</f>
        <v/>
      </c>
      <c r="D264" s="299" t="str">
        <f>IF('ASIGNACIÓN ASIGNATURAS'!$AF264=1,'ASIGNACIÓN ASIGNATURAS'!$S264,"")</f>
        <v/>
      </c>
      <c r="E264" s="299" t="str">
        <f>IF('ASIGNACIÓN ASIGNATURAS'!$AF264=1,'ASIGNACIÓN ASIGNATURAS'!$T264,"")</f>
        <v/>
      </c>
      <c r="F264" s="299" t="str">
        <f>IF('ASIGNACIÓN ASIGNATURAS'!$AF264=1,'ASIGNACIÓN ASIGNATURAS'!$U264,"")</f>
        <v/>
      </c>
      <c r="G264" s="300" t="str">
        <f>IF(B264='PLAN DE ESTUDIO'!$XFD$41,"",+E264+F264)</f>
        <v/>
      </c>
    </row>
    <row r="265" spans="1:7" x14ac:dyDescent="0.3">
      <c r="A265" s="299" t="str">
        <f>IF('ASIGNACIÓN ASIGNATURAS'!$AF265=1,'ASIGNACIÓN ASIGNATURAS'!$M265,"")</f>
        <v/>
      </c>
      <c r="B265" s="299" t="str">
        <f>IF('ASIGNACIÓN ASIGNATURAS'!$AF265=1,'ASIGNACIÓN ASIGNATURAS'!$O265,"")</f>
        <v/>
      </c>
      <c r="C265" s="299" t="str">
        <f>IF('ASIGNACIÓN ASIGNATURAS'!$AF265=1,'ASIGNACIÓN ASIGNATURAS'!$P265,"")</f>
        <v/>
      </c>
      <c r="D265" s="299" t="str">
        <f>IF('ASIGNACIÓN ASIGNATURAS'!$AF265=1,'ASIGNACIÓN ASIGNATURAS'!$S265,"")</f>
        <v/>
      </c>
      <c r="E265" s="299" t="str">
        <f>IF('ASIGNACIÓN ASIGNATURAS'!$AF265=1,'ASIGNACIÓN ASIGNATURAS'!$T265,"")</f>
        <v/>
      </c>
      <c r="F265" s="299" t="str">
        <f>IF('ASIGNACIÓN ASIGNATURAS'!$AF265=1,'ASIGNACIÓN ASIGNATURAS'!$U265,"")</f>
        <v/>
      </c>
      <c r="G265" s="300" t="str">
        <f>IF(B265='PLAN DE ESTUDIO'!$XFD$41,"",+E265+F265)</f>
        <v/>
      </c>
    </row>
    <row r="266" spans="1:7" x14ac:dyDescent="0.3">
      <c r="A266" s="299" t="str">
        <f>IF('ASIGNACIÓN ASIGNATURAS'!$AF266=1,'ASIGNACIÓN ASIGNATURAS'!$M266,"")</f>
        <v/>
      </c>
      <c r="B266" s="299" t="str">
        <f>IF('ASIGNACIÓN ASIGNATURAS'!$AF266=1,'ASIGNACIÓN ASIGNATURAS'!$O266,"")</f>
        <v/>
      </c>
      <c r="C266" s="299" t="str">
        <f>IF('ASIGNACIÓN ASIGNATURAS'!$AF266=1,'ASIGNACIÓN ASIGNATURAS'!$P266,"")</f>
        <v/>
      </c>
      <c r="D266" s="299" t="str">
        <f>IF('ASIGNACIÓN ASIGNATURAS'!$AF266=1,'ASIGNACIÓN ASIGNATURAS'!$S266,"")</f>
        <v/>
      </c>
      <c r="E266" s="299" t="str">
        <f>IF('ASIGNACIÓN ASIGNATURAS'!$AF266=1,'ASIGNACIÓN ASIGNATURAS'!$T266,"")</f>
        <v/>
      </c>
      <c r="F266" s="299" t="str">
        <f>IF('ASIGNACIÓN ASIGNATURAS'!$AF266=1,'ASIGNACIÓN ASIGNATURAS'!$U266,"")</f>
        <v/>
      </c>
      <c r="G266" s="300" t="str">
        <f>IF(B266='PLAN DE ESTUDIO'!$XFD$41,"",+E266+F266)</f>
        <v/>
      </c>
    </row>
    <row r="267" spans="1:7" x14ac:dyDescent="0.3">
      <c r="A267" s="299" t="str">
        <f>IF('ASIGNACIÓN ASIGNATURAS'!$AF267=1,'ASIGNACIÓN ASIGNATURAS'!$M267,"")</f>
        <v/>
      </c>
      <c r="B267" s="299" t="str">
        <f>IF('ASIGNACIÓN ASIGNATURAS'!$AF267=1,'ASIGNACIÓN ASIGNATURAS'!$O267,"")</f>
        <v/>
      </c>
      <c r="C267" s="299" t="str">
        <f>IF('ASIGNACIÓN ASIGNATURAS'!$AF267=1,'ASIGNACIÓN ASIGNATURAS'!$P267,"")</f>
        <v/>
      </c>
      <c r="D267" s="299" t="str">
        <f>IF('ASIGNACIÓN ASIGNATURAS'!$AF267=1,'ASIGNACIÓN ASIGNATURAS'!$S267,"")</f>
        <v/>
      </c>
      <c r="E267" s="299" t="str">
        <f>IF('ASIGNACIÓN ASIGNATURAS'!$AF267=1,'ASIGNACIÓN ASIGNATURAS'!$T267,"")</f>
        <v/>
      </c>
      <c r="F267" s="299" t="str">
        <f>IF('ASIGNACIÓN ASIGNATURAS'!$AF267=1,'ASIGNACIÓN ASIGNATURAS'!$U267,"")</f>
        <v/>
      </c>
      <c r="G267" s="300" t="str">
        <f>IF(B267='PLAN DE ESTUDIO'!$XFD$41,"",+E267+F267)</f>
        <v/>
      </c>
    </row>
    <row r="268" spans="1:7" x14ac:dyDescent="0.3">
      <c r="A268" s="299" t="str">
        <f>IF('ASIGNACIÓN ASIGNATURAS'!$AF268=1,'ASIGNACIÓN ASIGNATURAS'!$M268,"")</f>
        <v/>
      </c>
      <c r="B268" s="299" t="str">
        <f>IF('ASIGNACIÓN ASIGNATURAS'!$AF268=1,'ASIGNACIÓN ASIGNATURAS'!$O268,"")</f>
        <v/>
      </c>
      <c r="C268" s="299" t="str">
        <f>IF('ASIGNACIÓN ASIGNATURAS'!$AF268=1,'ASIGNACIÓN ASIGNATURAS'!$P268,"")</f>
        <v/>
      </c>
      <c r="D268" s="299" t="str">
        <f>IF('ASIGNACIÓN ASIGNATURAS'!$AF268=1,'ASIGNACIÓN ASIGNATURAS'!$S268,"")</f>
        <v/>
      </c>
      <c r="E268" s="299" t="str">
        <f>IF('ASIGNACIÓN ASIGNATURAS'!$AF268=1,'ASIGNACIÓN ASIGNATURAS'!$T268,"")</f>
        <v/>
      </c>
      <c r="F268" s="299" t="str">
        <f>IF('ASIGNACIÓN ASIGNATURAS'!$AF268=1,'ASIGNACIÓN ASIGNATURAS'!$U268,"")</f>
        <v/>
      </c>
      <c r="G268" s="300" t="str">
        <f>IF(B268='PLAN DE ESTUDIO'!$XFD$41,"",+E268+F268)</f>
        <v/>
      </c>
    </row>
    <row r="269" spans="1:7" x14ac:dyDescent="0.3">
      <c r="A269" s="299" t="str">
        <f>IF('ASIGNACIÓN ASIGNATURAS'!$AF269=1,'ASIGNACIÓN ASIGNATURAS'!$M269,"")</f>
        <v/>
      </c>
      <c r="B269" s="299" t="str">
        <f>IF('ASIGNACIÓN ASIGNATURAS'!$AF269=1,'ASIGNACIÓN ASIGNATURAS'!$O269,"")</f>
        <v/>
      </c>
      <c r="C269" s="299" t="str">
        <f>IF('ASIGNACIÓN ASIGNATURAS'!$AF269=1,'ASIGNACIÓN ASIGNATURAS'!$P269,"")</f>
        <v/>
      </c>
      <c r="D269" s="299" t="str">
        <f>IF('ASIGNACIÓN ASIGNATURAS'!$AF269=1,'ASIGNACIÓN ASIGNATURAS'!$S269,"")</f>
        <v/>
      </c>
      <c r="E269" s="299" t="str">
        <f>IF('ASIGNACIÓN ASIGNATURAS'!$AF269=1,'ASIGNACIÓN ASIGNATURAS'!$T269,"")</f>
        <v/>
      </c>
      <c r="F269" s="299" t="str">
        <f>IF('ASIGNACIÓN ASIGNATURAS'!$AF269=1,'ASIGNACIÓN ASIGNATURAS'!$U269,"")</f>
        <v/>
      </c>
      <c r="G269" s="300" t="str">
        <f>IF(B269='PLAN DE ESTUDIO'!$XFD$41,"",+E269+F269)</f>
        <v/>
      </c>
    </row>
    <row r="270" spans="1:7" x14ac:dyDescent="0.3">
      <c r="A270" s="299" t="str">
        <f>IF('ASIGNACIÓN ASIGNATURAS'!$AF270=1,'ASIGNACIÓN ASIGNATURAS'!$M270,"")</f>
        <v/>
      </c>
      <c r="B270" s="299" t="str">
        <f>IF('ASIGNACIÓN ASIGNATURAS'!$AF270=1,'ASIGNACIÓN ASIGNATURAS'!$O270,"")</f>
        <v/>
      </c>
      <c r="C270" s="299" t="str">
        <f>IF('ASIGNACIÓN ASIGNATURAS'!$AF270=1,'ASIGNACIÓN ASIGNATURAS'!$P270,"")</f>
        <v/>
      </c>
      <c r="D270" s="299" t="str">
        <f>IF('ASIGNACIÓN ASIGNATURAS'!$AF270=1,'ASIGNACIÓN ASIGNATURAS'!$S270,"")</f>
        <v/>
      </c>
      <c r="E270" s="299" t="str">
        <f>IF('ASIGNACIÓN ASIGNATURAS'!$AF270=1,'ASIGNACIÓN ASIGNATURAS'!$T270,"")</f>
        <v/>
      </c>
      <c r="F270" s="299" t="str">
        <f>IF('ASIGNACIÓN ASIGNATURAS'!$AF270=1,'ASIGNACIÓN ASIGNATURAS'!$U270,"")</f>
        <v/>
      </c>
      <c r="G270" s="300" t="str">
        <f>IF(B270='PLAN DE ESTUDIO'!$XFD$41,"",+E270+F270)</f>
        <v/>
      </c>
    </row>
    <row r="271" spans="1:7" x14ac:dyDescent="0.3">
      <c r="A271" s="299" t="str">
        <f>IF('ASIGNACIÓN ASIGNATURAS'!$AF271=1,'ASIGNACIÓN ASIGNATURAS'!$M271,"")</f>
        <v/>
      </c>
      <c r="B271" s="299" t="str">
        <f>IF('ASIGNACIÓN ASIGNATURAS'!$AF271=1,'ASIGNACIÓN ASIGNATURAS'!$O271,"")</f>
        <v/>
      </c>
      <c r="C271" s="299" t="str">
        <f>IF('ASIGNACIÓN ASIGNATURAS'!$AF271=1,'ASIGNACIÓN ASIGNATURAS'!$P271,"")</f>
        <v/>
      </c>
      <c r="D271" s="299" t="str">
        <f>IF('ASIGNACIÓN ASIGNATURAS'!$AF271=1,'ASIGNACIÓN ASIGNATURAS'!$S271,"")</f>
        <v/>
      </c>
      <c r="E271" s="299" t="str">
        <f>IF('ASIGNACIÓN ASIGNATURAS'!$AF271=1,'ASIGNACIÓN ASIGNATURAS'!$T271,"")</f>
        <v/>
      </c>
      <c r="F271" s="299" t="str">
        <f>IF('ASIGNACIÓN ASIGNATURAS'!$AF271=1,'ASIGNACIÓN ASIGNATURAS'!$U271,"")</f>
        <v/>
      </c>
      <c r="G271" s="300" t="str">
        <f>IF(B271='PLAN DE ESTUDIO'!$XFD$41,"",+E271+F271)</f>
        <v/>
      </c>
    </row>
    <row r="272" spans="1:7" x14ac:dyDescent="0.3">
      <c r="A272" s="299" t="str">
        <f>IF('ASIGNACIÓN ASIGNATURAS'!$AF272=1,'ASIGNACIÓN ASIGNATURAS'!$M272,"")</f>
        <v/>
      </c>
      <c r="B272" s="299" t="str">
        <f>IF('ASIGNACIÓN ASIGNATURAS'!$AF272=1,'ASIGNACIÓN ASIGNATURAS'!$O272,"")</f>
        <v/>
      </c>
      <c r="C272" s="299" t="str">
        <f>IF('ASIGNACIÓN ASIGNATURAS'!$AF272=1,'ASIGNACIÓN ASIGNATURAS'!$P272,"")</f>
        <v/>
      </c>
      <c r="D272" s="299" t="str">
        <f>IF('ASIGNACIÓN ASIGNATURAS'!$AF272=1,'ASIGNACIÓN ASIGNATURAS'!$S272,"")</f>
        <v/>
      </c>
      <c r="E272" s="299" t="str">
        <f>IF('ASIGNACIÓN ASIGNATURAS'!$AF272=1,'ASIGNACIÓN ASIGNATURAS'!$T272,"")</f>
        <v/>
      </c>
      <c r="F272" s="299" t="str">
        <f>IF('ASIGNACIÓN ASIGNATURAS'!$AF272=1,'ASIGNACIÓN ASIGNATURAS'!$U272,"")</f>
        <v/>
      </c>
      <c r="G272" s="300" t="str">
        <f>IF(B272='PLAN DE ESTUDIO'!$XFD$41,"",+E272+F272)</f>
        <v/>
      </c>
    </row>
    <row r="273" spans="1:7" x14ac:dyDescent="0.3">
      <c r="A273" s="299" t="str">
        <f>IF('ASIGNACIÓN ASIGNATURAS'!$AF273=1,'ASIGNACIÓN ASIGNATURAS'!$M273,"")</f>
        <v/>
      </c>
      <c r="B273" s="299" t="str">
        <f>IF('ASIGNACIÓN ASIGNATURAS'!$AF273=1,'ASIGNACIÓN ASIGNATURAS'!$O273,"")</f>
        <v/>
      </c>
      <c r="C273" s="299" t="str">
        <f>IF('ASIGNACIÓN ASIGNATURAS'!$AF273=1,'ASIGNACIÓN ASIGNATURAS'!$P273,"")</f>
        <v/>
      </c>
      <c r="D273" s="299" t="str">
        <f>IF('ASIGNACIÓN ASIGNATURAS'!$AF273=1,'ASIGNACIÓN ASIGNATURAS'!$S273,"")</f>
        <v/>
      </c>
      <c r="E273" s="299" t="str">
        <f>IF('ASIGNACIÓN ASIGNATURAS'!$AF273=1,'ASIGNACIÓN ASIGNATURAS'!$T273,"")</f>
        <v/>
      </c>
      <c r="F273" s="299" t="str">
        <f>IF('ASIGNACIÓN ASIGNATURAS'!$AF273=1,'ASIGNACIÓN ASIGNATURAS'!$U273,"")</f>
        <v/>
      </c>
      <c r="G273" s="300" t="str">
        <f>IF(B273='PLAN DE ESTUDIO'!$XFD$41,"",+E273+F273)</f>
        <v/>
      </c>
    </row>
    <row r="274" spans="1:7" x14ac:dyDescent="0.3">
      <c r="A274" s="299" t="str">
        <f>IF('ASIGNACIÓN ASIGNATURAS'!$AF274=1,'ASIGNACIÓN ASIGNATURAS'!$M274,"")</f>
        <v/>
      </c>
      <c r="B274" s="299" t="str">
        <f>IF('ASIGNACIÓN ASIGNATURAS'!$AF274=1,'ASIGNACIÓN ASIGNATURAS'!$O274,"")</f>
        <v/>
      </c>
      <c r="C274" s="299" t="str">
        <f>IF('ASIGNACIÓN ASIGNATURAS'!$AF274=1,'ASIGNACIÓN ASIGNATURAS'!$P274,"")</f>
        <v/>
      </c>
      <c r="D274" s="299" t="str">
        <f>IF('ASIGNACIÓN ASIGNATURAS'!$AF274=1,'ASIGNACIÓN ASIGNATURAS'!$S274,"")</f>
        <v/>
      </c>
      <c r="E274" s="299" t="str">
        <f>IF('ASIGNACIÓN ASIGNATURAS'!$AF274=1,'ASIGNACIÓN ASIGNATURAS'!$T274,"")</f>
        <v/>
      </c>
      <c r="F274" s="299" t="str">
        <f>IF('ASIGNACIÓN ASIGNATURAS'!$AF274=1,'ASIGNACIÓN ASIGNATURAS'!$U274,"")</f>
        <v/>
      </c>
      <c r="G274" s="300" t="str">
        <f>IF(B274='PLAN DE ESTUDIO'!$XFD$41,"",+E274+F274)</f>
        <v/>
      </c>
    </row>
    <row r="275" spans="1:7" x14ac:dyDescent="0.3">
      <c r="A275" s="299" t="str">
        <f>IF('ASIGNACIÓN ASIGNATURAS'!$AF275=1,'ASIGNACIÓN ASIGNATURAS'!$M275,"")</f>
        <v/>
      </c>
      <c r="B275" s="299" t="str">
        <f>IF('ASIGNACIÓN ASIGNATURAS'!$AF275=1,'ASIGNACIÓN ASIGNATURAS'!$O275,"")</f>
        <v/>
      </c>
      <c r="C275" s="299" t="str">
        <f>IF('ASIGNACIÓN ASIGNATURAS'!$AF275=1,'ASIGNACIÓN ASIGNATURAS'!$P275,"")</f>
        <v/>
      </c>
      <c r="D275" s="299" t="str">
        <f>IF('ASIGNACIÓN ASIGNATURAS'!$AF275=1,'ASIGNACIÓN ASIGNATURAS'!$S275,"")</f>
        <v/>
      </c>
      <c r="E275" s="299" t="str">
        <f>IF('ASIGNACIÓN ASIGNATURAS'!$AF275=1,'ASIGNACIÓN ASIGNATURAS'!$T275,"")</f>
        <v/>
      </c>
      <c r="F275" s="299" t="str">
        <f>IF('ASIGNACIÓN ASIGNATURAS'!$AF275=1,'ASIGNACIÓN ASIGNATURAS'!$U275,"")</f>
        <v/>
      </c>
      <c r="G275" s="300" t="str">
        <f>IF(B275='PLAN DE ESTUDIO'!$XFD$41,"",+E275+F275)</f>
        <v/>
      </c>
    </row>
    <row r="276" spans="1:7" x14ac:dyDescent="0.3">
      <c r="A276" s="299" t="str">
        <f>IF('ASIGNACIÓN ASIGNATURAS'!$AF276=1,'ASIGNACIÓN ASIGNATURAS'!$M276,"")</f>
        <v/>
      </c>
      <c r="B276" s="299" t="str">
        <f>IF('ASIGNACIÓN ASIGNATURAS'!$AF276=1,'ASIGNACIÓN ASIGNATURAS'!$O276,"")</f>
        <v/>
      </c>
      <c r="C276" s="299" t="str">
        <f>IF('ASIGNACIÓN ASIGNATURAS'!$AF276=1,'ASIGNACIÓN ASIGNATURAS'!$P276,"")</f>
        <v/>
      </c>
      <c r="D276" s="299" t="str">
        <f>IF('ASIGNACIÓN ASIGNATURAS'!$AF276=1,'ASIGNACIÓN ASIGNATURAS'!$S276,"")</f>
        <v/>
      </c>
      <c r="E276" s="299" t="str">
        <f>IF('ASIGNACIÓN ASIGNATURAS'!$AF276=1,'ASIGNACIÓN ASIGNATURAS'!$T276,"")</f>
        <v/>
      </c>
      <c r="F276" s="299" t="str">
        <f>IF('ASIGNACIÓN ASIGNATURAS'!$AF276=1,'ASIGNACIÓN ASIGNATURAS'!$U276,"")</f>
        <v/>
      </c>
      <c r="G276" s="300" t="str">
        <f>IF(B276='PLAN DE ESTUDIO'!$XFD$41,"",+E276+F276)</f>
        <v/>
      </c>
    </row>
    <row r="277" spans="1:7" x14ac:dyDescent="0.3">
      <c r="A277" s="299" t="str">
        <f>IF('ASIGNACIÓN ASIGNATURAS'!$AF277=1,'ASIGNACIÓN ASIGNATURAS'!$M277,"")</f>
        <v/>
      </c>
      <c r="B277" s="299" t="str">
        <f>IF('ASIGNACIÓN ASIGNATURAS'!$AF277=1,'ASIGNACIÓN ASIGNATURAS'!$O277,"")</f>
        <v/>
      </c>
      <c r="C277" s="299" t="str">
        <f>IF('ASIGNACIÓN ASIGNATURAS'!$AF277=1,'ASIGNACIÓN ASIGNATURAS'!$P277,"")</f>
        <v/>
      </c>
      <c r="D277" s="299" t="str">
        <f>IF('ASIGNACIÓN ASIGNATURAS'!$AF277=1,'ASIGNACIÓN ASIGNATURAS'!$S277,"")</f>
        <v/>
      </c>
      <c r="E277" s="299" t="str">
        <f>IF('ASIGNACIÓN ASIGNATURAS'!$AF277=1,'ASIGNACIÓN ASIGNATURAS'!$T277,"")</f>
        <v/>
      </c>
      <c r="F277" s="299" t="str">
        <f>IF('ASIGNACIÓN ASIGNATURAS'!$AF277=1,'ASIGNACIÓN ASIGNATURAS'!$U277,"")</f>
        <v/>
      </c>
      <c r="G277" s="300" t="str">
        <f>IF(B277='PLAN DE ESTUDIO'!$XFD$41,"",+E277+F277)</f>
        <v/>
      </c>
    </row>
    <row r="278" spans="1:7" x14ac:dyDescent="0.3">
      <c r="A278" s="299" t="str">
        <f>IF('ASIGNACIÓN ASIGNATURAS'!$AF278=1,'ASIGNACIÓN ASIGNATURAS'!$M278,"")</f>
        <v/>
      </c>
      <c r="B278" s="299" t="str">
        <f>IF('ASIGNACIÓN ASIGNATURAS'!$AF278=1,'ASIGNACIÓN ASIGNATURAS'!$O278,"")</f>
        <v/>
      </c>
      <c r="C278" s="299" t="str">
        <f>IF('ASIGNACIÓN ASIGNATURAS'!$AF278=1,'ASIGNACIÓN ASIGNATURAS'!$P278,"")</f>
        <v/>
      </c>
      <c r="D278" s="299" t="str">
        <f>IF('ASIGNACIÓN ASIGNATURAS'!$AF278=1,'ASIGNACIÓN ASIGNATURAS'!$S278,"")</f>
        <v/>
      </c>
      <c r="E278" s="299" t="str">
        <f>IF('ASIGNACIÓN ASIGNATURAS'!$AF278=1,'ASIGNACIÓN ASIGNATURAS'!$T278,"")</f>
        <v/>
      </c>
      <c r="F278" s="299" t="str">
        <f>IF('ASIGNACIÓN ASIGNATURAS'!$AF278=1,'ASIGNACIÓN ASIGNATURAS'!$U278,"")</f>
        <v/>
      </c>
      <c r="G278" s="300" t="str">
        <f>IF(B278='PLAN DE ESTUDIO'!$XFD$41,"",+E278+F278)</f>
        <v/>
      </c>
    </row>
    <row r="279" spans="1:7" x14ac:dyDescent="0.3">
      <c r="A279" s="299" t="str">
        <f>IF('ASIGNACIÓN ASIGNATURAS'!$AF279=1,'ASIGNACIÓN ASIGNATURAS'!$M279,"")</f>
        <v/>
      </c>
      <c r="B279" s="299" t="str">
        <f>IF('ASIGNACIÓN ASIGNATURAS'!$AF279=1,'ASIGNACIÓN ASIGNATURAS'!$O279,"")</f>
        <v/>
      </c>
      <c r="C279" s="299" t="str">
        <f>IF('ASIGNACIÓN ASIGNATURAS'!$AF279=1,'ASIGNACIÓN ASIGNATURAS'!$P279,"")</f>
        <v/>
      </c>
      <c r="D279" s="299" t="str">
        <f>IF('ASIGNACIÓN ASIGNATURAS'!$AF279=1,'ASIGNACIÓN ASIGNATURAS'!$S279,"")</f>
        <v/>
      </c>
      <c r="E279" s="299" t="str">
        <f>IF('ASIGNACIÓN ASIGNATURAS'!$AF279=1,'ASIGNACIÓN ASIGNATURAS'!$T279,"")</f>
        <v/>
      </c>
      <c r="F279" s="299" t="str">
        <f>IF('ASIGNACIÓN ASIGNATURAS'!$AF279=1,'ASIGNACIÓN ASIGNATURAS'!$U279,"")</f>
        <v/>
      </c>
      <c r="G279" s="300" t="str">
        <f>IF(B279='PLAN DE ESTUDIO'!$XFD$41,"",+E279+F279)</f>
        <v/>
      </c>
    </row>
    <row r="280" spans="1:7" x14ac:dyDescent="0.3">
      <c r="A280" s="299" t="str">
        <f>IF('ASIGNACIÓN ASIGNATURAS'!$AF280=1,'ASIGNACIÓN ASIGNATURAS'!$M280,"")</f>
        <v/>
      </c>
      <c r="B280" s="299" t="str">
        <f>IF('ASIGNACIÓN ASIGNATURAS'!$AF280=1,'ASIGNACIÓN ASIGNATURAS'!$O280,"")</f>
        <v/>
      </c>
      <c r="C280" s="299" t="str">
        <f>IF('ASIGNACIÓN ASIGNATURAS'!$AF280=1,'ASIGNACIÓN ASIGNATURAS'!$P280,"")</f>
        <v/>
      </c>
      <c r="D280" s="299" t="str">
        <f>IF('ASIGNACIÓN ASIGNATURAS'!$AF280=1,'ASIGNACIÓN ASIGNATURAS'!$S280,"")</f>
        <v/>
      </c>
      <c r="E280" s="299" t="str">
        <f>IF('ASIGNACIÓN ASIGNATURAS'!$AF280=1,'ASIGNACIÓN ASIGNATURAS'!$T280,"")</f>
        <v/>
      </c>
      <c r="F280" s="299" t="str">
        <f>IF('ASIGNACIÓN ASIGNATURAS'!$AF280=1,'ASIGNACIÓN ASIGNATURAS'!$U280,"")</f>
        <v/>
      </c>
      <c r="G280" s="300" t="str">
        <f>IF(B280='PLAN DE ESTUDIO'!$XFD$41,"",+E280+F280)</f>
        <v/>
      </c>
    </row>
    <row r="281" spans="1:7" x14ac:dyDescent="0.3">
      <c r="A281" s="299" t="str">
        <f>IF('ASIGNACIÓN ASIGNATURAS'!$AF281=1,'ASIGNACIÓN ASIGNATURAS'!$M281,"")</f>
        <v/>
      </c>
      <c r="B281" s="299" t="str">
        <f>IF('ASIGNACIÓN ASIGNATURAS'!$AF281=1,'ASIGNACIÓN ASIGNATURAS'!$O281,"")</f>
        <v/>
      </c>
      <c r="C281" s="299" t="str">
        <f>IF('ASIGNACIÓN ASIGNATURAS'!$AF281=1,'ASIGNACIÓN ASIGNATURAS'!$P281,"")</f>
        <v/>
      </c>
      <c r="D281" s="299" t="str">
        <f>IF('ASIGNACIÓN ASIGNATURAS'!$AF281=1,'ASIGNACIÓN ASIGNATURAS'!$S281,"")</f>
        <v/>
      </c>
      <c r="E281" s="299" t="str">
        <f>IF('ASIGNACIÓN ASIGNATURAS'!$AF281=1,'ASIGNACIÓN ASIGNATURAS'!$T281,"")</f>
        <v/>
      </c>
      <c r="F281" s="299" t="str">
        <f>IF('ASIGNACIÓN ASIGNATURAS'!$AF281=1,'ASIGNACIÓN ASIGNATURAS'!$U281,"")</f>
        <v/>
      </c>
      <c r="G281" s="300" t="str">
        <f>IF(B281='PLAN DE ESTUDIO'!$XFD$41,"",+E281+F281)</f>
        <v/>
      </c>
    </row>
    <row r="282" spans="1:7" x14ac:dyDescent="0.3">
      <c r="A282" s="299" t="str">
        <f>IF('ASIGNACIÓN ASIGNATURAS'!$AF282=1,'ASIGNACIÓN ASIGNATURAS'!$M282,"")</f>
        <v/>
      </c>
      <c r="B282" s="299" t="str">
        <f>IF('ASIGNACIÓN ASIGNATURAS'!$AF282=1,'ASIGNACIÓN ASIGNATURAS'!$O282,"")</f>
        <v/>
      </c>
      <c r="C282" s="299" t="str">
        <f>IF('ASIGNACIÓN ASIGNATURAS'!$AF282=1,'ASIGNACIÓN ASIGNATURAS'!$P282,"")</f>
        <v/>
      </c>
      <c r="D282" s="299" t="str">
        <f>IF('ASIGNACIÓN ASIGNATURAS'!$AF282=1,'ASIGNACIÓN ASIGNATURAS'!$S282,"")</f>
        <v/>
      </c>
      <c r="E282" s="299" t="str">
        <f>IF('ASIGNACIÓN ASIGNATURAS'!$AF282=1,'ASIGNACIÓN ASIGNATURAS'!$T282,"")</f>
        <v/>
      </c>
      <c r="F282" s="299" t="str">
        <f>IF('ASIGNACIÓN ASIGNATURAS'!$AF282=1,'ASIGNACIÓN ASIGNATURAS'!$U282,"")</f>
        <v/>
      </c>
      <c r="G282" s="300" t="str">
        <f>IF(B282='PLAN DE ESTUDIO'!$XFD$41,"",+E282+F282)</f>
        <v/>
      </c>
    </row>
    <row r="283" spans="1:7" x14ac:dyDescent="0.3">
      <c r="A283" s="299" t="str">
        <f>IF('ASIGNACIÓN ASIGNATURAS'!$AF283=1,'ASIGNACIÓN ASIGNATURAS'!$M283,"")</f>
        <v/>
      </c>
      <c r="B283" s="299" t="str">
        <f>IF('ASIGNACIÓN ASIGNATURAS'!$AF283=1,'ASIGNACIÓN ASIGNATURAS'!$O283,"")</f>
        <v/>
      </c>
      <c r="C283" s="299" t="str">
        <f>IF('ASIGNACIÓN ASIGNATURAS'!$AF283=1,'ASIGNACIÓN ASIGNATURAS'!$P283,"")</f>
        <v/>
      </c>
      <c r="D283" s="299" t="str">
        <f>IF('ASIGNACIÓN ASIGNATURAS'!$AF283=1,'ASIGNACIÓN ASIGNATURAS'!$S283,"")</f>
        <v/>
      </c>
      <c r="E283" s="299" t="str">
        <f>IF('ASIGNACIÓN ASIGNATURAS'!$AF283=1,'ASIGNACIÓN ASIGNATURAS'!$T283,"")</f>
        <v/>
      </c>
      <c r="F283" s="299" t="str">
        <f>IF('ASIGNACIÓN ASIGNATURAS'!$AF283=1,'ASIGNACIÓN ASIGNATURAS'!$U283,"")</f>
        <v/>
      </c>
      <c r="G283" s="300" t="str">
        <f>IF(B283='PLAN DE ESTUDIO'!$XFD$41,"",+E283+F283)</f>
        <v/>
      </c>
    </row>
    <row r="284" spans="1:7" x14ac:dyDescent="0.3">
      <c r="A284" s="299" t="str">
        <f>IF('ASIGNACIÓN ASIGNATURAS'!$AF284=1,'ASIGNACIÓN ASIGNATURAS'!$M284,"")</f>
        <v/>
      </c>
      <c r="B284" s="299" t="str">
        <f>IF('ASIGNACIÓN ASIGNATURAS'!$AF284=1,'ASIGNACIÓN ASIGNATURAS'!$O284,"")</f>
        <v/>
      </c>
      <c r="C284" s="299" t="str">
        <f>IF('ASIGNACIÓN ASIGNATURAS'!$AF284=1,'ASIGNACIÓN ASIGNATURAS'!$P284,"")</f>
        <v/>
      </c>
      <c r="D284" s="299" t="str">
        <f>IF('ASIGNACIÓN ASIGNATURAS'!$AF284=1,'ASIGNACIÓN ASIGNATURAS'!$S284,"")</f>
        <v/>
      </c>
      <c r="E284" s="299" t="str">
        <f>IF('ASIGNACIÓN ASIGNATURAS'!$AF284=1,'ASIGNACIÓN ASIGNATURAS'!$T284,"")</f>
        <v/>
      </c>
      <c r="F284" s="299" t="str">
        <f>IF('ASIGNACIÓN ASIGNATURAS'!$AF284=1,'ASIGNACIÓN ASIGNATURAS'!$U284,"")</f>
        <v/>
      </c>
      <c r="G284" s="300" t="str">
        <f>IF(B284='PLAN DE ESTUDIO'!$XFD$41,"",+E284+F284)</f>
        <v/>
      </c>
    </row>
    <row r="285" spans="1:7" x14ac:dyDescent="0.3">
      <c r="A285" s="299" t="str">
        <f>IF('ASIGNACIÓN ASIGNATURAS'!$AF285=1,'ASIGNACIÓN ASIGNATURAS'!$M285,"")</f>
        <v/>
      </c>
      <c r="B285" s="299" t="str">
        <f>IF('ASIGNACIÓN ASIGNATURAS'!$AF285=1,'ASIGNACIÓN ASIGNATURAS'!$O285,"")</f>
        <v/>
      </c>
      <c r="C285" s="299" t="str">
        <f>IF('ASIGNACIÓN ASIGNATURAS'!$AF285=1,'ASIGNACIÓN ASIGNATURAS'!$P285,"")</f>
        <v/>
      </c>
      <c r="D285" s="299" t="str">
        <f>IF('ASIGNACIÓN ASIGNATURAS'!$AF285=1,'ASIGNACIÓN ASIGNATURAS'!$S285,"")</f>
        <v/>
      </c>
      <c r="E285" s="299" t="str">
        <f>IF('ASIGNACIÓN ASIGNATURAS'!$AF285=1,'ASIGNACIÓN ASIGNATURAS'!$T285,"")</f>
        <v/>
      </c>
      <c r="F285" s="299" t="str">
        <f>IF('ASIGNACIÓN ASIGNATURAS'!$AF285=1,'ASIGNACIÓN ASIGNATURAS'!$U285,"")</f>
        <v/>
      </c>
      <c r="G285" s="300" t="str">
        <f>IF(B285='PLAN DE ESTUDIO'!$XFD$41,"",+E285+F285)</f>
        <v/>
      </c>
    </row>
    <row r="286" spans="1:7" x14ac:dyDescent="0.3">
      <c r="A286" s="299" t="str">
        <f>IF('ASIGNACIÓN ASIGNATURAS'!$AF286=1,'ASIGNACIÓN ASIGNATURAS'!$M286,"")</f>
        <v/>
      </c>
      <c r="B286" s="299" t="str">
        <f>IF('ASIGNACIÓN ASIGNATURAS'!$AF286=1,'ASIGNACIÓN ASIGNATURAS'!$O286,"")</f>
        <v/>
      </c>
      <c r="C286" s="299" t="str">
        <f>IF('ASIGNACIÓN ASIGNATURAS'!$AF286=1,'ASIGNACIÓN ASIGNATURAS'!$P286,"")</f>
        <v/>
      </c>
      <c r="D286" s="299" t="str">
        <f>IF('ASIGNACIÓN ASIGNATURAS'!$AF286=1,'ASIGNACIÓN ASIGNATURAS'!$S286,"")</f>
        <v/>
      </c>
      <c r="E286" s="299" t="str">
        <f>IF('ASIGNACIÓN ASIGNATURAS'!$AF286=1,'ASIGNACIÓN ASIGNATURAS'!$T286,"")</f>
        <v/>
      </c>
      <c r="F286" s="299" t="str">
        <f>IF('ASIGNACIÓN ASIGNATURAS'!$AF286=1,'ASIGNACIÓN ASIGNATURAS'!$U286,"")</f>
        <v/>
      </c>
      <c r="G286" s="300" t="str">
        <f>IF(B286='PLAN DE ESTUDIO'!$XFD$41,"",+E286+F286)</f>
        <v/>
      </c>
    </row>
    <row r="287" spans="1:7" x14ac:dyDescent="0.3">
      <c r="A287" s="299" t="str">
        <f>IF('ASIGNACIÓN ASIGNATURAS'!$AF287=1,'ASIGNACIÓN ASIGNATURAS'!$M287,"")</f>
        <v/>
      </c>
      <c r="B287" s="299" t="str">
        <f>IF('ASIGNACIÓN ASIGNATURAS'!$AF287=1,'ASIGNACIÓN ASIGNATURAS'!$O287,"")</f>
        <v/>
      </c>
      <c r="C287" s="299" t="str">
        <f>IF('ASIGNACIÓN ASIGNATURAS'!$AF287=1,'ASIGNACIÓN ASIGNATURAS'!$P287,"")</f>
        <v/>
      </c>
      <c r="D287" s="299" t="str">
        <f>IF('ASIGNACIÓN ASIGNATURAS'!$AF287=1,'ASIGNACIÓN ASIGNATURAS'!$S287,"")</f>
        <v/>
      </c>
      <c r="E287" s="299" t="str">
        <f>IF('ASIGNACIÓN ASIGNATURAS'!$AF287=1,'ASIGNACIÓN ASIGNATURAS'!$T287,"")</f>
        <v/>
      </c>
      <c r="F287" s="299" t="str">
        <f>IF('ASIGNACIÓN ASIGNATURAS'!$AF287=1,'ASIGNACIÓN ASIGNATURAS'!$U287,"")</f>
        <v/>
      </c>
      <c r="G287" s="300" t="str">
        <f>IF(B287='PLAN DE ESTUDIO'!$XFD$41,"",+E287+F287)</f>
        <v/>
      </c>
    </row>
    <row r="288" spans="1:7" x14ac:dyDescent="0.3">
      <c r="A288" s="299" t="str">
        <f>IF('ASIGNACIÓN ASIGNATURAS'!$AF288=1,'ASIGNACIÓN ASIGNATURAS'!$M288,"")</f>
        <v/>
      </c>
      <c r="B288" s="299" t="str">
        <f>IF('ASIGNACIÓN ASIGNATURAS'!$AF288=1,'ASIGNACIÓN ASIGNATURAS'!$O288,"")</f>
        <v/>
      </c>
      <c r="C288" s="299" t="str">
        <f>IF('ASIGNACIÓN ASIGNATURAS'!$AF288=1,'ASIGNACIÓN ASIGNATURAS'!$P288,"")</f>
        <v/>
      </c>
      <c r="D288" s="299" t="str">
        <f>IF('ASIGNACIÓN ASIGNATURAS'!$AF288=1,'ASIGNACIÓN ASIGNATURAS'!$S288,"")</f>
        <v/>
      </c>
      <c r="E288" s="299" t="str">
        <f>IF('ASIGNACIÓN ASIGNATURAS'!$AF288=1,'ASIGNACIÓN ASIGNATURAS'!$T288,"")</f>
        <v/>
      </c>
      <c r="F288" s="299" t="str">
        <f>IF('ASIGNACIÓN ASIGNATURAS'!$AF288=1,'ASIGNACIÓN ASIGNATURAS'!$U288,"")</f>
        <v/>
      </c>
      <c r="G288" s="300" t="str">
        <f>IF(B288='PLAN DE ESTUDIO'!$XFD$41,"",+E288+F288)</f>
        <v/>
      </c>
    </row>
    <row r="289" spans="1:7" x14ac:dyDescent="0.3">
      <c r="A289" s="299" t="str">
        <f>IF('ASIGNACIÓN ASIGNATURAS'!$AF289=1,'ASIGNACIÓN ASIGNATURAS'!$M289,"")</f>
        <v/>
      </c>
      <c r="B289" s="299" t="str">
        <f>IF('ASIGNACIÓN ASIGNATURAS'!$AF289=1,'ASIGNACIÓN ASIGNATURAS'!$O289,"")</f>
        <v/>
      </c>
      <c r="C289" s="299" t="str">
        <f>IF('ASIGNACIÓN ASIGNATURAS'!$AF289=1,'ASIGNACIÓN ASIGNATURAS'!$P289,"")</f>
        <v/>
      </c>
      <c r="D289" s="299" t="str">
        <f>IF('ASIGNACIÓN ASIGNATURAS'!$AF289=1,'ASIGNACIÓN ASIGNATURAS'!$S289,"")</f>
        <v/>
      </c>
      <c r="E289" s="299" t="str">
        <f>IF('ASIGNACIÓN ASIGNATURAS'!$AF289=1,'ASIGNACIÓN ASIGNATURAS'!$T289,"")</f>
        <v/>
      </c>
      <c r="F289" s="299" t="str">
        <f>IF('ASIGNACIÓN ASIGNATURAS'!$AF289=1,'ASIGNACIÓN ASIGNATURAS'!$U289,"")</f>
        <v/>
      </c>
      <c r="G289" s="300" t="str">
        <f>IF(B289='PLAN DE ESTUDIO'!$XFD$41,"",+E289+F289)</f>
        <v/>
      </c>
    </row>
    <row r="290" spans="1:7" x14ac:dyDescent="0.3">
      <c r="A290" s="299" t="str">
        <f>IF('ASIGNACIÓN ASIGNATURAS'!$AF290=1,'ASIGNACIÓN ASIGNATURAS'!$M290,"")</f>
        <v/>
      </c>
      <c r="B290" s="299" t="str">
        <f>IF('ASIGNACIÓN ASIGNATURAS'!$AF290=1,'ASIGNACIÓN ASIGNATURAS'!$O290,"")</f>
        <v/>
      </c>
      <c r="C290" s="299" t="str">
        <f>IF('ASIGNACIÓN ASIGNATURAS'!$AF290=1,'ASIGNACIÓN ASIGNATURAS'!$P290,"")</f>
        <v/>
      </c>
      <c r="D290" s="299" t="str">
        <f>IF('ASIGNACIÓN ASIGNATURAS'!$AF290=1,'ASIGNACIÓN ASIGNATURAS'!$S290,"")</f>
        <v/>
      </c>
      <c r="E290" s="299" t="str">
        <f>IF('ASIGNACIÓN ASIGNATURAS'!$AF290=1,'ASIGNACIÓN ASIGNATURAS'!$T290,"")</f>
        <v/>
      </c>
      <c r="F290" s="299" t="str">
        <f>IF('ASIGNACIÓN ASIGNATURAS'!$AF290=1,'ASIGNACIÓN ASIGNATURAS'!$U290,"")</f>
        <v/>
      </c>
      <c r="G290" s="300" t="str">
        <f>IF(B290='PLAN DE ESTUDIO'!$XFD$41,"",+E290+F290)</f>
        <v/>
      </c>
    </row>
    <row r="291" spans="1:7" x14ac:dyDescent="0.3">
      <c r="A291" s="299" t="str">
        <f>IF('ASIGNACIÓN ASIGNATURAS'!$AF291=1,'ASIGNACIÓN ASIGNATURAS'!$M291,"")</f>
        <v/>
      </c>
      <c r="B291" s="299" t="str">
        <f>IF('ASIGNACIÓN ASIGNATURAS'!$AF291=1,'ASIGNACIÓN ASIGNATURAS'!$O291,"")</f>
        <v/>
      </c>
      <c r="C291" s="299" t="str">
        <f>IF('ASIGNACIÓN ASIGNATURAS'!$AF291=1,'ASIGNACIÓN ASIGNATURAS'!$P291,"")</f>
        <v/>
      </c>
      <c r="D291" s="299" t="str">
        <f>IF('ASIGNACIÓN ASIGNATURAS'!$AF291=1,'ASIGNACIÓN ASIGNATURAS'!$S291,"")</f>
        <v/>
      </c>
      <c r="E291" s="299" t="str">
        <f>IF('ASIGNACIÓN ASIGNATURAS'!$AF291=1,'ASIGNACIÓN ASIGNATURAS'!$T291,"")</f>
        <v/>
      </c>
      <c r="F291" s="299" t="str">
        <f>IF('ASIGNACIÓN ASIGNATURAS'!$AF291=1,'ASIGNACIÓN ASIGNATURAS'!$U291,"")</f>
        <v/>
      </c>
      <c r="G291" s="300" t="str">
        <f>IF(B291='PLAN DE ESTUDIO'!$XFD$41,"",+E291+F291)</f>
        <v/>
      </c>
    </row>
    <row r="292" spans="1:7" x14ac:dyDescent="0.3">
      <c r="A292" s="299" t="str">
        <f>IF('ASIGNACIÓN ASIGNATURAS'!$AF292=1,'ASIGNACIÓN ASIGNATURAS'!$M292,"")</f>
        <v/>
      </c>
      <c r="B292" s="299" t="str">
        <f>IF('ASIGNACIÓN ASIGNATURAS'!$AF292=1,'ASIGNACIÓN ASIGNATURAS'!$O292,"")</f>
        <v/>
      </c>
      <c r="C292" s="299" t="str">
        <f>IF('ASIGNACIÓN ASIGNATURAS'!$AF292=1,'ASIGNACIÓN ASIGNATURAS'!$P292,"")</f>
        <v/>
      </c>
      <c r="D292" s="299" t="str">
        <f>IF('ASIGNACIÓN ASIGNATURAS'!$AF292=1,'ASIGNACIÓN ASIGNATURAS'!$S292,"")</f>
        <v/>
      </c>
      <c r="E292" s="299" t="str">
        <f>IF('ASIGNACIÓN ASIGNATURAS'!$AF292=1,'ASIGNACIÓN ASIGNATURAS'!$T292,"")</f>
        <v/>
      </c>
      <c r="F292" s="299" t="str">
        <f>IF('ASIGNACIÓN ASIGNATURAS'!$AF292=1,'ASIGNACIÓN ASIGNATURAS'!$U292,"")</f>
        <v/>
      </c>
      <c r="G292" s="300" t="str">
        <f>IF(B292='PLAN DE ESTUDIO'!$XFD$41,"",+E292+F292)</f>
        <v/>
      </c>
    </row>
    <row r="293" spans="1:7" x14ac:dyDescent="0.3">
      <c r="A293" s="299" t="str">
        <f>IF('ASIGNACIÓN ASIGNATURAS'!$AF293=1,'ASIGNACIÓN ASIGNATURAS'!$M293,"")</f>
        <v/>
      </c>
      <c r="B293" s="299" t="str">
        <f>IF('ASIGNACIÓN ASIGNATURAS'!$AF293=1,'ASIGNACIÓN ASIGNATURAS'!$O293,"")</f>
        <v/>
      </c>
      <c r="C293" s="299" t="str">
        <f>IF('ASIGNACIÓN ASIGNATURAS'!$AF293=1,'ASIGNACIÓN ASIGNATURAS'!$P293,"")</f>
        <v/>
      </c>
      <c r="D293" s="299" t="str">
        <f>IF('ASIGNACIÓN ASIGNATURAS'!$AF293=1,'ASIGNACIÓN ASIGNATURAS'!$S293,"")</f>
        <v/>
      </c>
      <c r="E293" s="299" t="str">
        <f>IF('ASIGNACIÓN ASIGNATURAS'!$AF293=1,'ASIGNACIÓN ASIGNATURAS'!$T293,"")</f>
        <v/>
      </c>
      <c r="F293" s="299" t="str">
        <f>IF('ASIGNACIÓN ASIGNATURAS'!$AF293=1,'ASIGNACIÓN ASIGNATURAS'!$U293,"")</f>
        <v/>
      </c>
      <c r="G293" s="300" t="str">
        <f>IF(B293='PLAN DE ESTUDIO'!$XFD$41,"",+E293+F293)</f>
        <v/>
      </c>
    </row>
    <row r="294" spans="1:7" x14ac:dyDescent="0.3">
      <c r="A294" s="299" t="str">
        <f>IF('ASIGNACIÓN ASIGNATURAS'!$AF294=1,'ASIGNACIÓN ASIGNATURAS'!$M294,"")</f>
        <v/>
      </c>
      <c r="B294" s="299" t="str">
        <f>IF('ASIGNACIÓN ASIGNATURAS'!$AF294=1,'ASIGNACIÓN ASIGNATURAS'!$O294,"")</f>
        <v/>
      </c>
      <c r="C294" s="299" t="str">
        <f>IF('ASIGNACIÓN ASIGNATURAS'!$AF294=1,'ASIGNACIÓN ASIGNATURAS'!$P294,"")</f>
        <v/>
      </c>
      <c r="D294" s="299" t="str">
        <f>IF('ASIGNACIÓN ASIGNATURAS'!$AF294=1,'ASIGNACIÓN ASIGNATURAS'!$S294,"")</f>
        <v/>
      </c>
      <c r="E294" s="299" t="str">
        <f>IF('ASIGNACIÓN ASIGNATURAS'!$AF294=1,'ASIGNACIÓN ASIGNATURAS'!$T294,"")</f>
        <v/>
      </c>
      <c r="F294" s="299" t="str">
        <f>IF('ASIGNACIÓN ASIGNATURAS'!$AF294=1,'ASIGNACIÓN ASIGNATURAS'!$U294,"")</f>
        <v/>
      </c>
      <c r="G294" s="300" t="str">
        <f>IF(B294='PLAN DE ESTUDIO'!$XFD$41,"",+E294+F294)</f>
        <v/>
      </c>
    </row>
    <row r="295" spans="1:7" x14ac:dyDescent="0.3">
      <c r="A295" s="299" t="str">
        <f>IF('ASIGNACIÓN ASIGNATURAS'!$AF295=1,'ASIGNACIÓN ASIGNATURAS'!$M295,"")</f>
        <v/>
      </c>
      <c r="B295" s="299" t="str">
        <f>IF('ASIGNACIÓN ASIGNATURAS'!$AF295=1,'ASIGNACIÓN ASIGNATURAS'!$O295,"")</f>
        <v/>
      </c>
      <c r="C295" s="299" t="str">
        <f>IF('ASIGNACIÓN ASIGNATURAS'!$AF295=1,'ASIGNACIÓN ASIGNATURAS'!$P295,"")</f>
        <v/>
      </c>
      <c r="D295" s="299" t="str">
        <f>IF('ASIGNACIÓN ASIGNATURAS'!$AF295=1,'ASIGNACIÓN ASIGNATURAS'!$S295,"")</f>
        <v/>
      </c>
      <c r="E295" s="299" t="str">
        <f>IF('ASIGNACIÓN ASIGNATURAS'!$AF295=1,'ASIGNACIÓN ASIGNATURAS'!$T295,"")</f>
        <v/>
      </c>
      <c r="F295" s="299" t="str">
        <f>IF('ASIGNACIÓN ASIGNATURAS'!$AF295=1,'ASIGNACIÓN ASIGNATURAS'!$U295,"")</f>
        <v/>
      </c>
      <c r="G295" s="300" t="str">
        <f>IF(B295='PLAN DE ESTUDIO'!$XFD$41,"",+E295+F295)</f>
        <v/>
      </c>
    </row>
    <row r="296" spans="1:7" x14ac:dyDescent="0.3">
      <c r="A296" s="299" t="str">
        <f>IF('ASIGNACIÓN ASIGNATURAS'!$AF296=1,'ASIGNACIÓN ASIGNATURAS'!$M296,"")</f>
        <v/>
      </c>
      <c r="B296" s="299" t="str">
        <f>IF('ASIGNACIÓN ASIGNATURAS'!$AF296=1,'ASIGNACIÓN ASIGNATURAS'!$O296,"")</f>
        <v/>
      </c>
      <c r="C296" s="299" t="str">
        <f>IF('ASIGNACIÓN ASIGNATURAS'!$AF296=1,'ASIGNACIÓN ASIGNATURAS'!$P296,"")</f>
        <v/>
      </c>
      <c r="D296" s="299" t="str">
        <f>IF('ASIGNACIÓN ASIGNATURAS'!$AF296=1,'ASIGNACIÓN ASIGNATURAS'!$S296,"")</f>
        <v/>
      </c>
      <c r="E296" s="299" t="str">
        <f>IF('ASIGNACIÓN ASIGNATURAS'!$AF296=1,'ASIGNACIÓN ASIGNATURAS'!$T296,"")</f>
        <v/>
      </c>
      <c r="F296" s="299" t="str">
        <f>IF('ASIGNACIÓN ASIGNATURAS'!$AF296=1,'ASIGNACIÓN ASIGNATURAS'!$U296,"")</f>
        <v/>
      </c>
      <c r="G296" s="300" t="str">
        <f>IF(B296='PLAN DE ESTUDIO'!$XFD$41,"",+E296+F296)</f>
        <v/>
      </c>
    </row>
    <row r="297" spans="1:7" x14ac:dyDescent="0.3">
      <c r="A297" s="299" t="str">
        <f>IF('ASIGNACIÓN ASIGNATURAS'!$AF297=1,'ASIGNACIÓN ASIGNATURAS'!$M297,"")</f>
        <v/>
      </c>
      <c r="B297" s="299" t="str">
        <f>IF('ASIGNACIÓN ASIGNATURAS'!$AF297=1,'ASIGNACIÓN ASIGNATURAS'!$O297,"")</f>
        <v/>
      </c>
      <c r="C297" s="299" t="str">
        <f>IF('ASIGNACIÓN ASIGNATURAS'!$AF297=1,'ASIGNACIÓN ASIGNATURAS'!$P297,"")</f>
        <v/>
      </c>
      <c r="D297" s="299" t="str">
        <f>IF('ASIGNACIÓN ASIGNATURAS'!$AF297=1,'ASIGNACIÓN ASIGNATURAS'!$S297,"")</f>
        <v/>
      </c>
      <c r="E297" s="299" t="str">
        <f>IF('ASIGNACIÓN ASIGNATURAS'!$AF297=1,'ASIGNACIÓN ASIGNATURAS'!$T297,"")</f>
        <v/>
      </c>
      <c r="F297" s="299" t="str">
        <f>IF('ASIGNACIÓN ASIGNATURAS'!$AF297=1,'ASIGNACIÓN ASIGNATURAS'!$U297,"")</f>
        <v/>
      </c>
      <c r="G297" s="300" t="str">
        <f>IF(B297='PLAN DE ESTUDIO'!$XFD$41,"",+E297+F297)</f>
        <v/>
      </c>
    </row>
    <row r="298" spans="1:7" x14ac:dyDescent="0.3">
      <c r="A298" s="299" t="str">
        <f>IF('ASIGNACIÓN ASIGNATURAS'!$AF298=1,'ASIGNACIÓN ASIGNATURAS'!$M298,"")</f>
        <v/>
      </c>
      <c r="B298" s="299" t="str">
        <f>IF('ASIGNACIÓN ASIGNATURAS'!$AF298=1,'ASIGNACIÓN ASIGNATURAS'!$O298,"")</f>
        <v/>
      </c>
      <c r="C298" s="299" t="str">
        <f>IF('ASIGNACIÓN ASIGNATURAS'!$AF298=1,'ASIGNACIÓN ASIGNATURAS'!$P298,"")</f>
        <v/>
      </c>
      <c r="D298" s="299" t="str">
        <f>IF('ASIGNACIÓN ASIGNATURAS'!$AF298=1,'ASIGNACIÓN ASIGNATURAS'!$S298,"")</f>
        <v/>
      </c>
      <c r="E298" s="299" t="str">
        <f>IF('ASIGNACIÓN ASIGNATURAS'!$AF298=1,'ASIGNACIÓN ASIGNATURAS'!$T298,"")</f>
        <v/>
      </c>
      <c r="F298" s="299" t="str">
        <f>IF('ASIGNACIÓN ASIGNATURAS'!$AF298=1,'ASIGNACIÓN ASIGNATURAS'!$U298,"")</f>
        <v/>
      </c>
      <c r="G298" s="300" t="str">
        <f>IF(B298='PLAN DE ESTUDIO'!$XFD$41,"",+E298+F298)</f>
        <v/>
      </c>
    </row>
    <row r="299" spans="1:7" x14ac:dyDescent="0.3">
      <c r="A299" s="299" t="str">
        <f>IF('ASIGNACIÓN ASIGNATURAS'!$AF299=1,'ASIGNACIÓN ASIGNATURAS'!$M299,"")</f>
        <v/>
      </c>
      <c r="B299" s="299" t="str">
        <f>IF('ASIGNACIÓN ASIGNATURAS'!$AF299=1,'ASIGNACIÓN ASIGNATURAS'!$O299,"")</f>
        <v/>
      </c>
      <c r="C299" s="299" t="str">
        <f>IF('ASIGNACIÓN ASIGNATURAS'!$AF299=1,'ASIGNACIÓN ASIGNATURAS'!$P299,"")</f>
        <v/>
      </c>
      <c r="D299" s="299" t="str">
        <f>IF('ASIGNACIÓN ASIGNATURAS'!$AF299=1,'ASIGNACIÓN ASIGNATURAS'!$S299,"")</f>
        <v/>
      </c>
      <c r="E299" s="299" t="str">
        <f>IF('ASIGNACIÓN ASIGNATURAS'!$AF299=1,'ASIGNACIÓN ASIGNATURAS'!$T299,"")</f>
        <v/>
      </c>
      <c r="F299" s="299" t="str">
        <f>IF('ASIGNACIÓN ASIGNATURAS'!$AF299=1,'ASIGNACIÓN ASIGNATURAS'!$U299,"")</f>
        <v/>
      </c>
      <c r="G299" s="300" t="str">
        <f>IF(B299='PLAN DE ESTUDIO'!$XFD$41,"",+E299+F299)</f>
        <v/>
      </c>
    </row>
    <row r="300" spans="1:7" x14ac:dyDescent="0.3">
      <c r="A300" s="299" t="str">
        <f>IF('ASIGNACIÓN ASIGNATURAS'!$AF300=1,'ASIGNACIÓN ASIGNATURAS'!$M300,"")</f>
        <v/>
      </c>
      <c r="B300" s="299" t="str">
        <f>IF('ASIGNACIÓN ASIGNATURAS'!$AF300=1,'ASIGNACIÓN ASIGNATURAS'!$O300,"")</f>
        <v/>
      </c>
      <c r="C300" s="299" t="str">
        <f>IF('ASIGNACIÓN ASIGNATURAS'!$AF300=1,'ASIGNACIÓN ASIGNATURAS'!$P300,"")</f>
        <v/>
      </c>
      <c r="D300" s="299" t="str">
        <f>IF('ASIGNACIÓN ASIGNATURAS'!$AF300=1,'ASIGNACIÓN ASIGNATURAS'!$S300,"")</f>
        <v/>
      </c>
      <c r="E300" s="299" t="str">
        <f>IF('ASIGNACIÓN ASIGNATURAS'!$AF300=1,'ASIGNACIÓN ASIGNATURAS'!$T300,"")</f>
        <v/>
      </c>
      <c r="F300" s="299" t="str">
        <f>IF('ASIGNACIÓN ASIGNATURAS'!$AF300=1,'ASIGNACIÓN ASIGNATURAS'!$U300,"")</f>
        <v/>
      </c>
      <c r="G300" s="300" t="str">
        <f>IF(B300='PLAN DE ESTUDIO'!$XFD$41,"",+E300+F300)</f>
        <v/>
      </c>
    </row>
    <row r="301" spans="1:7" x14ac:dyDescent="0.3">
      <c r="A301" s="299" t="str">
        <f>IF('ASIGNACIÓN ASIGNATURAS'!$AF301=1,'ASIGNACIÓN ASIGNATURAS'!$M301,"")</f>
        <v/>
      </c>
      <c r="B301" s="299" t="str">
        <f>IF('ASIGNACIÓN ASIGNATURAS'!$AF301=1,'ASIGNACIÓN ASIGNATURAS'!$O301,"")</f>
        <v/>
      </c>
      <c r="C301" s="299" t="str">
        <f>IF('ASIGNACIÓN ASIGNATURAS'!$AF301=1,'ASIGNACIÓN ASIGNATURAS'!$P301,"")</f>
        <v/>
      </c>
      <c r="D301" s="299" t="str">
        <f>IF('ASIGNACIÓN ASIGNATURAS'!$AF301=1,'ASIGNACIÓN ASIGNATURAS'!$S301,"")</f>
        <v/>
      </c>
      <c r="E301" s="299" t="str">
        <f>IF('ASIGNACIÓN ASIGNATURAS'!$AF301=1,'ASIGNACIÓN ASIGNATURAS'!$T301,"")</f>
        <v/>
      </c>
      <c r="F301" s="299" t="str">
        <f>IF('ASIGNACIÓN ASIGNATURAS'!$AF301=1,'ASIGNACIÓN ASIGNATURAS'!$U301,"")</f>
        <v/>
      </c>
      <c r="G301" s="300" t="str">
        <f>IF(B301='PLAN DE ESTUDIO'!$XFD$41,"",+E301+F301)</f>
        <v/>
      </c>
    </row>
    <row r="302" spans="1:7" x14ac:dyDescent="0.3">
      <c r="A302" s="299" t="str">
        <f>IF('ASIGNACIÓN ASIGNATURAS'!$AF302=1,'ASIGNACIÓN ASIGNATURAS'!$M302,"")</f>
        <v/>
      </c>
      <c r="B302" s="299" t="str">
        <f>IF('ASIGNACIÓN ASIGNATURAS'!$AF302=1,'ASIGNACIÓN ASIGNATURAS'!$O302,"")</f>
        <v/>
      </c>
      <c r="C302" s="299" t="str">
        <f>IF('ASIGNACIÓN ASIGNATURAS'!$AF302=1,'ASIGNACIÓN ASIGNATURAS'!$P302,"")</f>
        <v/>
      </c>
      <c r="D302" s="299" t="str">
        <f>IF('ASIGNACIÓN ASIGNATURAS'!$AF302=1,'ASIGNACIÓN ASIGNATURAS'!$S302,"")</f>
        <v/>
      </c>
      <c r="E302" s="299" t="str">
        <f>IF('ASIGNACIÓN ASIGNATURAS'!$AF302=1,'ASIGNACIÓN ASIGNATURAS'!$T302,"")</f>
        <v/>
      </c>
      <c r="F302" s="299" t="str">
        <f>IF('ASIGNACIÓN ASIGNATURAS'!$AF302=1,'ASIGNACIÓN ASIGNATURAS'!$U302,"")</f>
        <v/>
      </c>
      <c r="G302" s="300" t="str">
        <f>IF(B302='PLAN DE ESTUDIO'!$XFD$41,"",+E302+F302)</f>
        <v/>
      </c>
    </row>
    <row r="303" spans="1:7" x14ac:dyDescent="0.3">
      <c r="A303" s="299" t="str">
        <f>IF('ASIGNACIÓN ASIGNATURAS'!$AF303=1,'ASIGNACIÓN ASIGNATURAS'!$M303,"")</f>
        <v/>
      </c>
      <c r="B303" s="299" t="str">
        <f>IF('ASIGNACIÓN ASIGNATURAS'!$AF303=1,'ASIGNACIÓN ASIGNATURAS'!$O303,"")</f>
        <v/>
      </c>
      <c r="C303" s="299" t="str">
        <f>IF('ASIGNACIÓN ASIGNATURAS'!$AF303=1,'ASIGNACIÓN ASIGNATURAS'!$P303,"")</f>
        <v/>
      </c>
      <c r="D303" s="299" t="str">
        <f>IF('ASIGNACIÓN ASIGNATURAS'!$AF303=1,'ASIGNACIÓN ASIGNATURAS'!$S303,"")</f>
        <v/>
      </c>
      <c r="E303" s="299" t="str">
        <f>IF('ASIGNACIÓN ASIGNATURAS'!$AF303=1,'ASIGNACIÓN ASIGNATURAS'!$T303,"")</f>
        <v/>
      </c>
      <c r="F303" s="299" t="str">
        <f>IF('ASIGNACIÓN ASIGNATURAS'!$AF303=1,'ASIGNACIÓN ASIGNATURAS'!$U303,"")</f>
        <v/>
      </c>
      <c r="G303" s="300" t="str">
        <f>IF(B303='PLAN DE ESTUDIO'!$XFD$41,"",+E303+F303)</f>
        <v/>
      </c>
    </row>
    <row r="304" spans="1:7" x14ac:dyDescent="0.3">
      <c r="A304" s="299" t="str">
        <f>IF('ASIGNACIÓN ASIGNATURAS'!$AF304=1,'ASIGNACIÓN ASIGNATURAS'!$M304,"")</f>
        <v/>
      </c>
      <c r="B304" s="299" t="str">
        <f>IF('ASIGNACIÓN ASIGNATURAS'!$AF304=1,'ASIGNACIÓN ASIGNATURAS'!$O304,"")</f>
        <v/>
      </c>
      <c r="C304" s="299" t="str">
        <f>IF('ASIGNACIÓN ASIGNATURAS'!$AF304=1,'ASIGNACIÓN ASIGNATURAS'!$P304,"")</f>
        <v/>
      </c>
      <c r="D304" s="299" t="str">
        <f>IF('ASIGNACIÓN ASIGNATURAS'!$AF304=1,'ASIGNACIÓN ASIGNATURAS'!$S304,"")</f>
        <v/>
      </c>
      <c r="E304" s="299" t="str">
        <f>IF('ASIGNACIÓN ASIGNATURAS'!$AF304=1,'ASIGNACIÓN ASIGNATURAS'!$T304,"")</f>
        <v/>
      </c>
      <c r="F304" s="299" t="str">
        <f>IF('ASIGNACIÓN ASIGNATURAS'!$AF304=1,'ASIGNACIÓN ASIGNATURAS'!$U304,"")</f>
        <v/>
      </c>
      <c r="G304" s="300" t="str">
        <f>IF(B304='PLAN DE ESTUDIO'!$XFD$41,"",+E304+F304)</f>
        <v/>
      </c>
    </row>
    <row r="305" spans="1:7" x14ac:dyDescent="0.3">
      <c r="A305" s="299" t="str">
        <f>IF('ASIGNACIÓN ASIGNATURAS'!$AF305=1,'ASIGNACIÓN ASIGNATURAS'!$M305,"")</f>
        <v/>
      </c>
      <c r="B305" s="299" t="str">
        <f>IF('ASIGNACIÓN ASIGNATURAS'!$AF305=1,'ASIGNACIÓN ASIGNATURAS'!$O305,"")</f>
        <v/>
      </c>
      <c r="C305" s="299" t="str">
        <f>IF('ASIGNACIÓN ASIGNATURAS'!$AF305=1,'ASIGNACIÓN ASIGNATURAS'!$P305,"")</f>
        <v/>
      </c>
      <c r="D305" s="299" t="str">
        <f>IF('ASIGNACIÓN ASIGNATURAS'!$AF305=1,'ASIGNACIÓN ASIGNATURAS'!$S305,"")</f>
        <v/>
      </c>
      <c r="E305" s="299" t="str">
        <f>IF('ASIGNACIÓN ASIGNATURAS'!$AF305=1,'ASIGNACIÓN ASIGNATURAS'!$T305,"")</f>
        <v/>
      </c>
      <c r="F305" s="299" t="str">
        <f>IF('ASIGNACIÓN ASIGNATURAS'!$AF305=1,'ASIGNACIÓN ASIGNATURAS'!$U305,"")</f>
        <v/>
      </c>
      <c r="G305" s="300" t="str">
        <f>IF(B305='PLAN DE ESTUDIO'!$XFD$41,"",+E305+F305)</f>
        <v/>
      </c>
    </row>
    <row r="306" spans="1:7" x14ac:dyDescent="0.3">
      <c r="A306" s="299" t="str">
        <f>IF('ASIGNACIÓN ASIGNATURAS'!$AF306=1,'ASIGNACIÓN ASIGNATURAS'!$M306,"")</f>
        <v/>
      </c>
      <c r="B306" s="299" t="str">
        <f>IF('ASIGNACIÓN ASIGNATURAS'!$AF306=1,'ASIGNACIÓN ASIGNATURAS'!$O306,"")</f>
        <v/>
      </c>
      <c r="C306" s="299" t="str">
        <f>IF('ASIGNACIÓN ASIGNATURAS'!$AF306=1,'ASIGNACIÓN ASIGNATURAS'!$P306,"")</f>
        <v/>
      </c>
      <c r="D306" s="299" t="str">
        <f>IF('ASIGNACIÓN ASIGNATURAS'!$AF306=1,'ASIGNACIÓN ASIGNATURAS'!$S306,"")</f>
        <v/>
      </c>
      <c r="E306" s="299" t="str">
        <f>IF('ASIGNACIÓN ASIGNATURAS'!$AF306=1,'ASIGNACIÓN ASIGNATURAS'!$T306,"")</f>
        <v/>
      </c>
      <c r="F306" s="299" t="str">
        <f>IF('ASIGNACIÓN ASIGNATURAS'!$AF306=1,'ASIGNACIÓN ASIGNATURAS'!$U306,"")</f>
        <v/>
      </c>
      <c r="G306" s="300" t="str">
        <f>IF(B306='PLAN DE ESTUDIO'!$XFD$41,"",+E306+F306)</f>
        <v/>
      </c>
    </row>
    <row r="307" spans="1:7" x14ac:dyDescent="0.3">
      <c r="A307" s="299" t="str">
        <f>IF('ASIGNACIÓN ASIGNATURAS'!$AF307=1,'ASIGNACIÓN ASIGNATURAS'!$M307,"")</f>
        <v/>
      </c>
      <c r="B307" s="299" t="str">
        <f>IF('ASIGNACIÓN ASIGNATURAS'!$AF307=1,'ASIGNACIÓN ASIGNATURAS'!$O307,"")</f>
        <v/>
      </c>
      <c r="C307" s="299" t="str">
        <f>IF('ASIGNACIÓN ASIGNATURAS'!$AF307=1,'ASIGNACIÓN ASIGNATURAS'!$P307,"")</f>
        <v/>
      </c>
      <c r="D307" s="299" t="str">
        <f>IF('ASIGNACIÓN ASIGNATURAS'!$AF307=1,'ASIGNACIÓN ASIGNATURAS'!$S307,"")</f>
        <v/>
      </c>
      <c r="E307" s="299" t="str">
        <f>IF('ASIGNACIÓN ASIGNATURAS'!$AF307=1,'ASIGNACIÓN ASIGNATURAS'!$T307,"")</f>
        <v/>
      </c>
      <c r="F307" s="299" t="str">
        <f>IF('ASIGNACIÓN ASIGNATURAS'!$AF307=1,'ASIGNACIÓN ASIGNATURAS'!$U307,"")</f>
        <v/>
      </c>
      <c r="G307" s="300" t="str">
        <f>IF(B307='PLAN DE ESTUDIO'!$XFD$41,"",+E307+F307)</f>
        <v/>
      </c>
    </row>
    <row r="308" spans="1:7" x14ac:dyDescent="0.3">
      <c r="A308" s="299" t="str">
        <f>IF('ASIGNACIÓN ASIGNATURAS'!$AF308=1,'ASIGNACIÓN ASIGNATURAS'!$M308,"")</f>
        <v/>
      </c>
      <c r="B308" s="299" t="str">
        <f>IF('ASIGNACIÓN ASIGNATURAS'!$AF308=1,'ASIGNACIÓN ASIGNATURAS'!$O308,"")</f>
        <v/>
      </c>
      <c r="C308" s="299" t="str">
        <f>IF('ASIGNACIÓN ASIGNATURAS'!$AF308=1,'ASIGNACIÓN ASIGNATURAS'!$P308,"")</f>
        <v/>
      </c>
      <c r="D308" s="299" t="str">
        <f>IF('ASIGNACIÓN ASIGNATURAS'!$AF308=1,'ASIGNACIÓN ASIGNATURAS'!$S308,"")</f>
        <v/>
      </c>
      <c r="E308" s="299" t="str">
        <f>IF('ASIGNACIÓN ASIGNATURAS'!$AF308=1,'ASIGNACIÓN ASIGNATURAS'!$T308,"")</f>
        <v/>
      </c>
      <c r="F308" s="299" t="str">
        <f>IF('ASIGNACIÓN ASIGNATURAS'!$AF308=1,'ASIGNACIÓN ASIGNATURAS'!$U308,"")</f>
        <v/>
      </c>
      <c r="G308" s="300" t="str">
        <f>IF(B308='PLAN DE ESTUDIO'!$XFD$41,"",+E308+F308)</f>
        <v/>
      </c>
    </row>
    <row r="309" spans="1:7" x14ac:dyDescent="0.3">
      <c r="A309" s="299" t="str">
        <f>IF('ASIGNACIÓN ASIGNATURAS'!$AF309=1,'ASIGNACIÓN ASIGNATURAS'!$M309,"")</f>
        <v/>
      </c>
      <c r="B309" s="299" t="str">
        <f>IF('ASIGNACIÓN ASIGNATURAS'!$AF309=1,'ASIGNACIÓN ASIGNATURAS'!$O309,"")</f>
        <v/>
      </c>
      <c r="C309" s="299" t="str">
        <f>IF('ASIGNACIÓN ASIGNATURAS'!$AF309=1,'ASIGNACIÓN ASIGNATURAS'!$P309,"")</f>
        <v/>
      </c>
      <c r="D309" s="299" t="str">
        <f>IF('ASIGNACIÓN ASIGNATURAS'!$AF309=1,'ASIGNACIÓN ASIGNATURAS'!$S309,"")</f>
        <v/>
      </c>
      <c r="E309" s="299" t="str">
        <f>IF('ASIGNACIÓN ASIGNATURAS'!$AF309=1,'ASIGNACIÓN ASIGNATURAS'!$T309,"")</f>
        <v/>
      </c>
      <c r="F309" s="299" t="str">
        <f>IF('ASIGNACIÓN ASIGNATURAS'!$AF309=1,'ASIGNACIÓN ASIGNATURAS'!$U309,"")</f>
        <v/>
      </c>
      <c r="G309" s="300" t="str">
        <f>IF(B309='PLAN DE ESTUDIO'!$XFD$41,"",+E309+F309)</f>
        <v/>
      </c>
    </row>
    <row r="310" spans="1:7" x14ac:dyDescent="0.3">
      <c r="A310" s="299" t="str">
        <f>IF('ASIGNACIÓN ASIGNATURAS'!$AF310=1,'ASIGNACIÓN ASIGNATURAS'!$M310,"")</f>
        <v/>
      </c>
      <c r="B310" s="299" t="str">
        <f>IF('ASIGNACIÓN ASIGNATURAS'!$AF310=1,'ASIGNACIÓN ASIGNATURAS'!$O310,"")</f>
        <v/>
      </c>
      <c r="C310" s="299" t="str">
        <f>IF('ASIGNACIÓN ASIGNATURAS'!$AF310=1,'ASIGNACIÓN ASIGNATURAS'!$P310,"")</f>
        <v/>
      </c>
      <c r="D310" s="299" t="str">
        <f>IF('ASIGNACIÓN ASIGNATURAS'!$AF310=1,'ASIGNACIÓN ASIGNATURAS'!$S310,"")</f>
        <v/>
      </c>
      <c r="E310" s="299" t="str">
        <f>IF('ASIGNACIÓN ASIGNATURAS'!$AF310=1,'ASIGNACIÓN ASIGNATURAS'!$T310,"")</f>
        <v/>
      </c>
      <c r="F310" s="299" t="str">
        <f>IF('ASIGNACIÓN ASIGNATURAS'!$AF310=1,'ASIGNACIÓN ASIGNATURAS'!$U310,"")</f>
        <v/>
      </c>
      <c r="G310" s="300" t="str">
        <f>IF(B310='PLAN DE ESTUDIO'!$XFD$41,"",+E310+F310)</f>
        <v/>
      </c>
    </row>
    <row r="311" spans="1:7" x14ac:dyDescent="0.3">
      <c r="A311" s="299" t="str">
        <f>IF('ASIGNACIÓN ASIGNATURAS'!$AF311=1,'ASIGNACIÓN ASIGNATURAS'!$M311,"")</f>
        <v/>
      </c>
      <c r="B311" s="299" t="str">
        <f>IF('ASIGNACIÓN ASIGNATURAS'!$AF311=1,'ASIGNACIÓN ASIGNATURAS'!$O311,"")</f>
        <v/>
      </c>
      <c r="C311" s="299" t="str">
        <f>IF('ASIGNACIÓN ASIGNATURAS'!$AF311=1,'ASIGNACIÓN ASIGNATURAS'!$P311,"")</f>
        <v/>
      </c>
      <c r="D311" s="299" t="str">
        <f>IF('ASIGNACIÓN ASIGNATURAS'!$AF311=1,'ASIGNACIÓN ASIGNATURAS'!$S311,"")</f>
        <v/>
      </c>
      <c r="E311" s="299" t="str">
        <f>IF('ASIGNACIÓN ASIGNATURAS'!$AF311=1,'ASIGNACIÓN ASIGNATURAS'!$T311,"")</f>
        <v/>
      </c>
      <c r="F311" s="299" t="str">
        <f>IF('ASIGNACIÓN ASIGNATURAS'!$AF311=1,'ASIGNACIÓN ASIGNATURAS'!$U311,"")</f>
        <v/>
      </c>
      <c r="G311" s="300" t="str">
        <f>IF(B311='PLAN DE ESTUDIO'!$XFD$41,"",+E311+F311)</f>
        <v/>
      </c>
    </row>
    <row r="312" spans="1:7" x14ac:dyDescent="0.3">
      <c r="A312" s="299" t="str">
        <f>IF('ASIGNACIÓN ASIGNATURAS'!$AF312=1,'ASIGNACIÓN ASIGNATURAS'!$M312,"")</f>
        <v/>
      </c>
      <c r="B312" s="299" t="str">
        <f>IF('ASIGNACIÓN ASIGNATURAS'!$AF312=1,'ASIGNACIÓN ASIGNATURAS'!$O312,"")</f>
        <v/>
      </c>
      <c r="C312" s="299" t="str">
        <f>IF('ASIGNACIÓN ASIGNATURAS'!$AF312=1,'ASIGNACIÓN ASIGNATURAS'!$P312,"")</f>
        <v/>
      </c>
      <c r="D312" s="299" t="str">
        <f>IF('ASIGNACIÓN ASIGNATURAS'!$AF312=1,'ASIGNACIÓN ASIGNATURAS'!$S312,"")</f>
        <v/>
      </c>
      <c r="E312" s="299" t="str">
        <f>IF('ASIGNACIÓN ASIGNATURAS'!$AF312=1,'ASIGNACIÓN ASIGNATURAS'!$T312,"")</f>
        <v/>
      </c>
      <c r="F312" s="299" t="str">
        <f>IF('ASIGNACIÓN ASIGNATURAS'!$AF312=1,'ASIGNACIÓN ASIGNATURAS'!$U312,"")</f>
        <v/>
      </c>
      <c r="G312" s="300" t="str">
        <f>IF(B312='PLAN DE ESTUDIO'!$XFD$41,"",+E312+F312)</f>
        <v/>
      </c>
    </row>
    <row r="313" spans="1:7" x14ac:dyDescent="0.3">
      <c r="A313" s="299" t="str">
        <f>IF('ASIGNACIÓN ASIGNATURAS'!$AF313=1,'ASIGNACIÓN ASIGNATURAS'!$M313,"")</f>
        <v/>
      </c>
      <c r="B313" s="299" t="str">
        <f>IF('ASIGNACIÓN ASIGNATURAS'!$AF313=1,'ASIGNACIÓN ASIGNATURAS'!$O313,"")</f>
        <v/>
      </c>
      <c r="C313" s="299" t="str">
        <f>IF('ASIGNACIÓN ASIGNATURAS'!$AF313=1,'ASIGNACIÓN ASIGNATURAS'!$P313,"")</f>
        <v/>
      </c>
      <c r="D313" s="299" t="str">
        <f>IF('ASIGNACIÓN ASIGNATURAS'!$AF313=1,'ASIGNACIÓN ASIGNATURAS'!$S313,"")</f>
        <v/>
      </c>
      <c r="E313" s="299" t="str">
        <f>IF('ASIGNACIÓN ASIGNATURAS'!$AF313=1,'ASIGNACIÓN ASIGNATURAS'!$T313,"")</f>
        <v/>
      </c>
      <c r="F313" s="299" t="str">
        <f>IF('ASIGNACIÓN ASIGNATURAS'!$AF313=1,'ASIGNACIÓN ASIGNATURAS'!$U313,"")</f>
        <v/>
      </c>
      <c r="G313" s="300" t="str">
        <f>IF(B313='PLAN DE ESTUDIO'!$XFD$41,"",+E313+F313)</f>
        <v/>
      </c>
    </row>
    <row r="314" spans="1:7" x14ac:dyDescent="0.3">
      <c r="A314" s="299" t="str">
        <f>IF('ASIGNACIÓN ASIGNATURAS'!$AF314=1,'ASIGNACIÓN ASIGNATURAS'!$M314,"")</f>
        <v/>
      </c>
      <c r="B314" s="299" t="str">
        <f>IF('ASIGNACIÓN ASIGNATURAS'!$AF314=1,'ASIGNACIÓN ASIGNATURAS'!$O314,"")</f>
        <v/>
      </c>
      <c r="C314" s="299" t="str">
        <f>IF('ASIGNACIÓN ASIGNATURAS'!$AF314=1,'ASIGNACIÓN ASIGNATURAS'!$P314,"")</f>
        <v/>
      </c>
      <c r="D314" s="299" t="str">
        <f>IF('ASIGNACIÓN ASIGNATURAS'!$AF314=1,'ASIGNACIÓN ASIGNATURAS'!$S314,"")</f>
        <v/>
      </c>
      <c r="E314" s="299" t="str">
        <f>IF('ASIGNACIÓN ASIGNATURAS'!$AF314=1,'ASIGNACIÓN ASIGNATURAS'!$T314,"")</f>
        <v/>
      </c>
      <c r="F314" s="299" t="str">
        <f>IF('ASIGNACIÓN ASIGNATURAS'!$AF314=1,'ASIGNACIÓN ASIGNATURAS'!$U314,"")</f>
        <v/>
      </c>
      <c r="G314" s="300" t="str">
        <f>IF(B314='PLAN DE ESTUDIO'!$XFD$41,"",+E314+F314)</f>
        <v/>
      </c>
    </row>
    <row r="315" spans="1:7" x14ac:dyDescent="0.3">
      <c r="A315" s="299" t="str">
        <f>IF('ASIGNACIÓN ASIGNATURAS'!$AF315=1,'ASIGNACIÓN ASIGNATURAS'!$M315,"")</f>
        <v/>
      </c>
      <c r="B315" s="299" t="str">
        <f>IF('ASIGNACIÓN ASIGNATURAS'!$AF315=1,'ASIGNACIÓN ASIGNATURAS'!$O315,"")</f>
        <v/>
      </c>
      <c r="C315" s="299" t="str">
        <f>IF('ASIGNACIÓN ASIGNATURAS'!$AF315=1,'ASIGNACIÓN ASIGNATURAS'!$P315,"")</f>
        <v/>
      </c>
      <c r="D315" s="299" t="str">
        <f>IF('ASIGNACIÓN ASIGNATURAS'!$AF315=1,'ASIGNACIÓN ASIGNATURAS'!$S315,"")</f>
        <v/>
      </c>
      <c r="E315" s="299" t="str">
        <f>IF('ASIGNACIÓN ASIGNATURAS'!$AF315=1,'ASIGNACIÓN ASIGNATURAS'!$T315,"")</f>
        <v/>
      </c>
      <c r="F315" s="299" t="str">
        <f>IF('ASIGNACIÓN ASIGNATURAS'!$AF315=1,'ASIGNACIÓN ASIGNATURAS'!$U315,"")</f>
        <v/>
      </c>
      <c r="G315" s="300" t="str">
        <f>IF(B315='PLAN DE ESTUDIO'!$XFD$41,"",+E315+F315)</f>
        <v/>
      </c>
    </row>
    <row r="316" spans="1:7" x14ac:dyDescent="0.3">
      <c r="A316" s="299" t="str">
        <f>IF('ASIGNACIÓN ASIGNATURAS'!$AF316=1,'ASIGNACIÓN ASIGNATURAS'!$M316,"")</f>
        <v/>
      </c>
      <c r="B316" s="299" t="str">
        <f>IF('ASIGNACIÓN ASIGNATURAS'!$AF316=1,'ASIGNACIÓN ASIGNATURAS'!$O316,"")</f>
        <v/>
      </c>
      <c r="C316" s="299" t="str">
        <f>IF('ASIGNACIÓN ASIGNATURAS'!$AF316=1,'ASIGNACIÓN ASIGNATURAS'!$P316,"")</f>
        <v/>
      </c>
      <c r="D316" s="299" t="str">
        <f>IF('ASIGNACIÓN ASIGNATURAS'!$AF316=1,'ASIGNACIÓN ASIGNATURAS'!$S316,"")</f>
        <v/>
      </c>
      <c r="E316" s="299" t="str">
        <f>IF('ASIGNACIÓN ASIGNATURAS'!$AF316=1,'ASIGNACIÓN ASIGNATURAS'!$T316,"")</f>
        <v/>
      </c>
      <c r="F316" s="299" t="str">
        <f>IF('ASIGNACIÓN ASIGNATURAS'!$AF316=1,'ASIGNACIÓN ASIGNATURAS'!$U316,"")</f>
        <v/>
      </c>
      <c r="G316" s="300" t="str">
        <f>IF(B316='PLAN DE ESTUDIO'!$XFD$41,"",+E316+F316)</f>
        <v/>
      </c>
    </row>
    <row r="317" spans="1:7" x14ac:dyDescent="0.3">
      <c r="A317" s="299" t="str">
        <f>IF('ASIGNACIÓN ASIGNATURAS'!$AF317=1,'ASIGNACIÓN ASIGNATURAS'!$M317,"")</f>
        <v/>
      </c>
      <c r="B317" s="299" t="str">
        <f>IF('ASIGNACIÓN ASIGNATURAS'!$AF317=1,'ASIGNACIÓN ASIGNATURAS'!$O317,"")</f>
        <v/>
      </c>
      <c r="C317" s="299" t="str">
        <f>IF('ASIGNACIÓN ASIGNATURAS'!$AF317=1,'ASIGNACIÓN ASIGNATURAS'!$P317,"")</f>
        <v/>
      </c>
      <c r="D317" s="299" t="str">
        <f>IF('ASIGNACIÓN ASIGNATURAS'!$AF317=1,'ASIGNACIÓN ASIGNATURAS'!$S317,"")</f>
        <v/>
      </c>
      <c r="E317" s="299" t="str">
        <f>IF('ASIGNACIÓN ASIGNATURAS'!$AF317=1,'ASIGNACIÓN ASIGNATURAS'!$T317,"")</f>
        <v/>
      </c>
      <c r="F317" s="299" t="str">
        <f>IF('ASIGNACIÓN ASIGNATURAS'!$AF317=1,'ASIGNACIÓN ASIGNATURAS'!$U317,"")</f>
        <v/>
      </c>
      <c r="G317" s="300" t="str">
        <f>IF(B317='PLAN DE ESTUDIO'!$XFD$41,"",+E317+F317)</f>
        <v/>
      </c>
    </row>
    <row r="318" spans="1:7" x14ac:dyDescent="0.3">
      <c r="A318" s="299" t="str">
        <f>IF('ASIGNACIÓN ASIGNATURAS'!$AF318=1,'ASIGNACIÓN ASIGNATURAS'!$M318,"")</f>
        <v/>
      </c>
      <c r="B318" s="299" t="str">
        <f>IF('ASIGNACIÓN ASIGNATURAS'!$AF318=1,'ASIGNACIÓN ASIGNATURAS'!$O318,"")</f>
        <v/>
      </c>
      <c r="C318" s="299" t="str">
        <f>IF('ASIGNACIÓN ASIGNATURAS'!$AF318=1,'ASIGNACIÓN ASIGNATURAS'!$P318,"")</f>
        <v/>
      </c>
      <c r="D318" s="299" t="str">
        <f>IF('ASIGNACIÓN ASIGNATURAS'!$AF318=1,'ASIGNACIÓN ASIGNATURAS'!$S318,"")</f>
        <v/>
      </c>
      <c r="E318" s="299" t="str">
        <f>IF('ASIGNACIÓN ASIGNATURAS'!$AF318=1,'ASIGNACIÓN ASIGNATURAS'!$T318,"")</f>
        <v/>
      </c>
      <c r="F318" s="299" t="str">
        <f>IF('ASIGNACIÓN ASIGNATURAS'!$AF318=1,'ASIGNACIÓN ASIGNATURAS'!$U318,"")</f>
        <v/>
      </c>
      <c r="G318" s="300" t="str">
        <f>IF(B318='PLAN DE ESTUDIO'!$XFD$41,"",+E318+F318)</f>
        <v/>
      </c>
    </row>
    <row r="319" spans="1:7" x14ac:dyDescent="0.3">
      <c r="A319" s="299" t="str">
        <f>IF('ASIGNACIÓN ASIGNATURAS'!$AF319=1,'ASIGNACIÓN ASIGNATURAS'!$M319,"")</f>
        <v/>
      </c>
      <c r="B319" s="299" t="str">
        <f>IF('ASIGNACIÓN ASIGNATURAS'!$AF319=1,'ASIGNACIÓN ASIGNATURAS'!$O319,"")</f>
        <v/>
      </c>
      <c r="C319" s="299" t="str">
        <f>IF('ASIGNACIÓN ASIGNATURAS'!$AF319=1,'ASIGNACIÓN ASIGNATURAS'!$P319,"")</f>
        <v/>
      </c>
      <c r="D319" s="299" t="str">
        <f>IF('ASIGNACIÓN ASIGNATURAS'!$AF319=1,'ASIGNACIÓN ASIGNATURAS'!$S319,"")</f>
        <v/>
      </c>
      <c r="E319" s="299" t="str">
        <f>IF('ASIGNACIÓN ASIGNATURAS'!$AF319=1,'ASIGNACIÓN ASIGNATURAS'!$T319,"")</f>
        <v/>
      </c>
      <c r="F319" s="299" t="str">
        <f>IF('ASIGNACIÓN ASIGNATURAS'!$AF319=1,'ASIGNACIÓN ASIGNATURAS'!$U319,"")</f>
        <v/>
      </c>
      <c r="G319" s="300" t="str">
        <f>IF(B319='PLAN DE ESTUDIO'!$XFD$41,"",+E319+F319)</f>
        <v/>
      </c>
    </row>
    <row r="320" spans="1:7" x14ac:dyDescent="0.3">
      <c r="A320" s="299" t="str">
        <f>IF('ASIGNACIÓN ASIGNATURAS'!$AF320=1,'ASIGNACIÓN ASIGNATURAS'!$M320,"")</f>
        <v/>
      </c>
      <c r="B320" s="299" t="str">
        <f>IF('ASIGNACIÓN ASIGNATURAS'!$AF320=1,'ASIGNACIÓN ASIGNATURAS'!$O320,"")</f>
        <v/>
      </c>
      <c r="C320" s="299" t="str">
        <f>IF('ASIGNACIÓN ASIGNATURAS'!$AF320=1,'ASIGNACIÓN ASIGNATURAS'!$P320,"")</f>
        <v/>
      </c>
      <c r="D320" s="299" t="str">
        <f>IF('ASIGNACIÓN ASIGNATURAS'!$AF320=1,'ASIGNACIÓN ASIGNATURAS'!$S320,"")</f>
        <v/>
      </c>
      <c r="E320" s="299" t="str">
        <f>IF('ASIGNACIÓN ASIGNATURAS'!$AF320=1,'ASIGNACIÓN ASIGNATURAS'!$T320,"")</f>
        <v/>
      </c>
      <c r="F320" s="299" t="str">
        <f>IF('ASIGNACIÓN ASIGNATURAS'!$AF320=1,'ASIGNACIÓN ASIGNATURAS'!$U320,"")</f>
        <v/>
      </c>
      <c r="G320" s="300" t="str">
        <f>IF(B320='PLAN DE ESTUDIO'!$XFD$41,"",+E320+F320)</f>
        <v/>
      </c>
    </row>
    <row r="321" spans="1:7" x14ac:dyDescent="0.3">
      <c r="A321" s="299" t="str">
        <f>IF('ASIGNACIÓN ASIGNATURAS'!$AF321=1,'ASIGNACIÓN ASIGNATURAS'!$M321,"")</f>
        <v/>
      </c>
      <c r="B321" s="299" t="str">
        <f>IF('ASIGNACIÓN ASIGNATURAS'!$AF321=1,'ASIGNACIÓN ASIGNATURAS'!$O321,"")</f>
        <v/>
      </c>
      <c r="C321" s="299" t="str">
        <f>IF('ASIGNACIÓN ASIGNATURAS'!$AF321=1,'ASIGNACIÓN ASIGNATURAS'!$P321,"")</f>
        <v/>
      </c>
      <c r="D321" s="299" t="str">
        <f>IF('ASIGNACIÓN ASIGNATURAS'!$AF321=1,'ASIGNACIÓN ASIGNATURAS'!$S321,"")</f>
        <v/>
      </c>
      <c r="E321" s="299" t="str">
        <f>IF('ASIGNACIÓN ASIGNATURAS'!$AF321=1,'ASIGNACIÓN ASIGNATURAS'!$T321,"")</f>
        <v/>
      </c>
      <c r="F321" s="299" t="str">
        <f>IF('ASIGNACIÓN ASIGNATURAS'!$AF321=1,'ASIGNACIÓN ASIGNATURAS'!$U321,"")</f>
        <v/>
      </c>
      <c r="G321" s="300" t="str">
        <f>IF(B321='PLAN DE ESTUDIO'!$XFD$41,"",+E321+F321)</f>
        <v/>
      </c>
    </row>
    <row r="322" spans="1:7" x14ac:dyDescent="0.3">
      <c r="A322" s="299" t="str">
        <f>IF('ASIGNACIÓN ASIGNATURAS'!$AF322=1,'ASIGNACIÓN ASIGNATURAS'!$M322,"")</f>
        <v/>
      </c>
      <c r="B322" s="299" t="str">
        <f>IF('ASIGNACIÓN ASIGNATURAS'!$AF322=1,'ASIGNACIÓN ASIGNATURAS'!$O322,"")</f>
        <v/>
      </c>
      <c r="C322" s="299" t="str">
        <f>IF('ASIGNACIÓN ASIGNATURAS'!$AF322=1,'ASIGNACIÓN ASIGNATURAS'!$P322,"")</f>
        <v/>
      </c>
      <c r="D322" s="299" t="str">
        <f>IF('ASIGNACIÓN ASIGNATURAS'!$AF322=1,'ASIGNACIÓN ASIGNATURAS'!$S322,"")</f>
        <v/>
      </c>
      <c r="E322" s="299" t="str">
        <f>IF('ASIGNACIÓN ASIGNATURAS'!$AF322=1,'ASIGNACIÓN ASIGNATURAS'!$T322,"")</f>
        <v/>
      </c>
      <c r="F322" s="299" t="str">
        <f>IF('ASIGNACIÓN ASIGNATURAS'!$AF322=1,'ASIGNACIÓN ASIGNATURAS'!$U322,"")</f>
        <v/>
      </c>
      <c r="G322" s="300" t="str">
        <f>IF(B322='PLAN DE ESTUDIO'!$XFD$41,"",+E322+F322)</f>
        <v/>
      </c>
    </row>
    <row r="323" spans="1:7" x14ac:dyDescent="0.3">
      <c r="A323" s="299" t="str">
        <f>IF('ASIGNACIÓN ASIGNATURAS'!$AF323=1,'ASIGNACIÓN ASIGNATURAS'!$M323,"")</f>
        <v/>
      </c>
      <c r="B323" s="299" t="str">
        <f>IF('ASIGNACIÓN ASIGNATURAS'!$AF323=1,'ASIGNACIÓN ASIGNATURAS'!$O323,"")</f>
        <v/>
      </c>
      <c r="C323" s="299" t="str">
        <f>IF('ASIGNACIÓN ASIGNATURAS'!$AF323=1,'ASIGNACIÓN ASIGNATURAS'!$P323,"")</f>
        <v/>
      </c>
      <c r="D323" s="299" t="str">
        <f>IF('ASIGNACIÓN ASIGNATURAS'!$AF323=1,'ASIGNACIÓN ASIGNATURAS'!$S323,"")</f>
        <v/>
      </c>
      <c r="E323" s="299" t="str">
        <f>IF('ASIGNACIÓN ASIGNATURAS'!$AF323=1,'ASIGNACIÓN ASIGNATURAS'!$T323,"")</f>
        <v/>
      </c>
      <c r="F323" s="299" t="str">
        <f>IF('ASIGNACIÓN ASIGNATURAS'!$AF323=1,'ASIGNACIÓN ASIGNATURAS'!$U323,"")</f>
        <v/>
      </c>
      <c r="G323" s="300" t="str">
        <f>IF(B323='PLAN DE ESTUDIO'!$XFD$41,"",+E323+F323)</f>
        <v/>
      </c>
    </row>
    <row r="324" spans="1:7" x14ac:dyDescent="0.3">
      <c r="A324" s="299" t="str">
        <f>IF('ASIGNACIÓN ASIGNATURAS'!$AF324=1,'ASIGNACIÓN ASIGNATURAS'!$M324,"")</f>
        <v/>
      </c>
      <c r="B324" s="299" t="str">
        <f>IF('ASIGNACIÓN ASIGNATURAS'!$AF324=1,'ASIGNACIÓN ASIGNATURAS'!$O324,"")</f>
        <v/>
      </c>
      <c r="C324" s="299" t="str">
        <f>IF('ASIGNACIÓN ASIGNATURAS'!$AF324=1,'ASIGNACIÓN ASIGNATURAS'!$P324,"")</f>
        <v/>
      </c>
      <c r="D324" s="299" t="str">
        <f>IF('ASIGNACIÓN ASIGNATURAS'!$AF324=1,'ASIGNACIÓN ASIGNATURAS'!$S324,"")</f>
        <v/>
      </c>
      <c r="E324" s="299" t="str">
        <f>IF('ASIGNACIÓN ASIGNATURAS'!$AF324=1,'ASIGNACIÓN ASIGNATURAS'!$T324,"")</f>
        <v/>
      </c>
      <c r="F324" s="299" t="str">
        <f>IF('ASIGNACIÓN ASIGNATURAS'!$AF324=1,'ASIGNACIÓN ASIGNATURAS'!$U324,"")</f>
        <v/>
      </c>
      <c r="G324" s="300" t="str">
        <f>IF(B324='PLAN DE ESTUDIO'!$XFD$41,"",+E324+F324)</f>
        <v/>
      </c>
    </row>
    <row r="325" spans="1:7" x14ac:dyDescent="0.3">
      <c r="A325" s="299" t="str">
        <f>IF('ASIGNACIÓN ASIGNATURAS'!$AF325=1,'ASIGNACIÓN ASIGNATURAS'!$M325,"")</f>
        <v/>
      </c>
      <c r="B325" s="299" t="str">
        <f>IF('ASIGNACIÓN ASIGNATURAS'!$AF325=1,'ASIGNACIÓN ASIGNATURAS'!$O325,"")</f>
        <v/>
      </c>
      <c r="C325" s="299" t="str">
        <f>IF('ASIGNACIÓN ASIGNATURAS'!$AF325=1,'ASIGNACIÓN ASIGNATURAS'!$P325,"")</f>
        <v/>
      </c>
      <c r="D325" s="299" t="str">
        <f>IF('ASIGNACIÓN ASIGNATURAS'!$AF325=1,'ASIGNACIÓN ASIGNATURAS'!$S325,"")</f>
        <v/>
      </c>
      <c r="E325" s="299" t="str">
        <f>IF('ASIGNACIÓN ASIGNATURAS'!$AF325=1,'ASIGNACIÓN ASIGNATURAS'!$T325,"")</f>
        <v/>
      </c>
      <c r="F325" s="299" t="str">
        <f>IF('ASIGNACIÓN ASIGNATURAS'!$AF325=1,'ASIGNACIÓN ASIGNATURAS'!$U325,"")</f>
        <v/>
      </c>
      <c r="G325" s="300" t="str">
        <f>IF(B325='PLAN DE ESTUDIO'!$XFD$41,"",+E325+F325)</f>
        <v/>
      </c>
    </row>
    <row r="326" spans="1:7" x14ac:dyDescent="0.3">
      <c r="A326" s="299" t="str">
        <f>IF('ASIGNACIÓN ASIGNATURAS'!$AF326=1,'ASIGNACIÓN ASIGNATURAS'!$M326,"")</f>
        <v/>
      </c>
      <c r="B326" s="299" t="str">
        <f>IF('ASIGNACIÓN ASIGNATURAS'!$AF326=1,'ASIGNACIÓN ASIGNATURAS'!$O326,"")</f>
        <v/>
      </c>
      <c r="C326" s="299" t="str">
        <f>IF('ASIGNACIÓN ASIGNATURAS'!$AF326=1,'ASIGNACIÓN ASIGNATURAS'!$P326,"")</f>
        <v/>
      </c>
      <c r="D326" s="299" t="str">
        <f>IF('ASIGNACIÓN ASIGNATURAS'!$AF326=1,'ASIGNACIÓN ASIGNATURAS'!$S326,"")</f>
        <v/>
      </c>
      <c r="E326" s="299" t="str">
        <f>IF('ASIGNACIÓN ASIGNATURAS'!$AF326=1,'ASIGNACIÓN ASIGNATURAS'!$T326,"")</f>
        <v/>
      </c>
      <c r="F326" s="299" t="str">
        <f>IF('ASIGNACIÓN ASIGNATURAS'!$AF326=1,'ASIGNACIÓN ASIGNATURAS'!$U326,"")</f>
        <v/>
      </c>
      <c r="G326" s="300" t="str">
        <f>IF(B326='PLAN DE ESTUDIO'!$XFD$41,"",+E326+F326)</f>
        <v/>
      </c>
    </row>
    <row r="327" spans="1:7" x14ac:dyDescent="0.3">
      <c r="A327" s="299" t="str">
        <f>IF('ASIGNACIÓN ASIGNATURAS'!$AF327=1,'ASIGNACIÓN ASIGNATURAS'!$M327,"")</f>
        <v/>
      </c>
      <c r="B327" s="299" t="str">
        <f>IF('ASIGNACIÓN ASIGNATURAS'!$AF327=1,'ASIGNACIÓN ASIGNATURAS'!$O327,"")</f>
        <v/>
      </c>
      <c r="C327" s="299" t="str">
        <f>IF('ASIGNACIÓN ASIGNATURAS'!$AF327=1,'ASIGNACIÓN ASIGNATURAS'!$P327,"")</f>
        <v/>
      </c>
      <c r="D327" s="299" t="str">
        <f>IF('ASIGNACIÓN ASIGNATURAS'!$AF327=1,'ASIGNACIÓN ASIGNATURAS'!$S327,"")</f>
        <v/>
      </c>
      <c r="E327" s="299" t="str">
        <f>IF('ASIGNACIÓN ASIGNATURAS'!$AF327=1,'ASIGNACIÓN ASIGNATURAS'!$T327,"")</f>
        <v/>
      </c>
      <c r="F327" s="299" t="str">
        <f>IF('ASIGNACIÓN ASIGNATURAS'!$AF327=1,'ASIGNACIÓN ASIGNATURAS'!$U327,"")</f>
        <v/>
      </c>
      <c r="G327" s="300" t="str">
        <f>IF(B327='PLAN DE ESTUDIO'!$XFD$41,"",+E327+F327)</f>
        <v/>
      </c>
    </row>
    <row r="328" spans="1:7" x14ac:dyDescent="0.3">
      <c r="A328" s="299" t="str">
        <f>IF('ASIGNACIÓN ASIGNATURAS'!$AF328=1,'ASIGNACIÓN ASIGNATURAS'!$M328,"")</f>
        <v/>
      </c>
      <c r="B328" s="299" t="str">
        <f>IF('ASIGNACIÓN ASIGNATURAS'!$AF328=1,'ASIGNACIÓN ASIGNATURAS'!$O328,"")</f>
        <v/>
      </c>
      <c r="C328" s="299" t="str">
        <f>IF('ASIGNACIÓN ASIGNATURAS'!$AF328=1,'ASIGNACIÓN ASIGNATURAS'!$P328,"")</f>
        <v/>
      </c>
      <c r="D328" s="299" t="str">
        <f>IF('ASIGNACIÓN ASIGNATURAS'!$AF328=1,'ASIGNACIÓN ASIGNATURAS'!$S328,"")</f>
        <v/>
      </c>
      <c r="E328" s="299" t="str">
        <f>IF('ASIGNACIÓN ASIGNATURAS'!$AF328=1,'ASIGNACIÓN ASIGNATURAS'!$T328,"")</f>
        <v/>
      </c>
      <c r="F328" s="299" t="str">
        <f>IF('ASIGNACIÓN ASIGNATURAS'!$AF328=1,'ASIGNACIÓN ASIGNATURAS'!$U328,"")</f>
        <v/>
      </c>
      <c r="G328" s="300" t="str">
        <f>IF(B328='PLAN DE ESTUDIO'!$XFD$41,"",+E328+F328)</f>
        <v/>
      </c>
    </row>
    <row r="329" spans="1:7" x14ac:dyDescent="0.3">
      <c r="A329" s="299" t="str">
        <f>IF('ASIGNACIÓN ASIGNATURAS'!$AF329=1,'ASIGNACIÓN ASIGNATURAS'!$M329,"")</f>
        <v/>
      </c>
      <c r="B329" s="299" t="str">
        <f>IF('ASIGNACIÓN ASIGNATURAS'!$AF329=1,'ASIGNACIÓN ASIGNATURAS'!$O329,"")</f>
        <v/>
      </c>
      <c r="C329" s="299" t="str">
        <f>IF('ASIGNACIÓN ASIGNATURAS'!$AF329=1,'ASIGNACIÓN ASIGNATURAS'!$P329,"")</f>
        <v/>
      </c>
      <c r="D329" s="299" t="str">
        <f>IF('ASIGNACIÓN ASIGNATURAS'!$AF329=1,'ASIGNACIÓN ASIGNATURAS'!$S329,"")</f>
        <v/>
      </c>
      <c r="E329" s="299" t="str">
        <f>IF('ASIGNACIÓN ASIGNATURAS'!$AF329=1,'ASIGNACIÓN ASIGNATURAS'!$T329,"")</f>
        <v/>
      </c>
      <c r="F329" s="299" t="str">
        <f>IF('ASIGNACIÓN ASIGNATURAS'!$AF329=1,'ASIGNACIÓN ASIGNATURAS'!$U329,"")</f>
        <v/>
      </c>
      <c r="G329" s="300" t="str">
        <f>IF(B329='PLAN DE ESTUDIO'!$XFD$41,"",+E329+F329)</f>
        <v/>
      </c>
    </row>
    <row r="330" spans="1:7" x14ac:dyDescent="0.3">
      <c r="A330" s="299" t="str">
        <f>IF('ASIGNACIÓN ASIGNATURAS'!$AF330=1,'ASIGNACIÓN ASIGNATURAS'!$M330,"")</f>
        <v/>
      </c>
      <c r="B330" s="299" t="str">
        <f>IF('ASIGNACIÓN ASIGNATURAS'!$AF330=1,'ASIGNACIÓN ASIGNATURAS'!$O330,"")</f>
        <v/>
      </c>
      <c r="C330" s="299" t="str">
        <f>IF('ASIGNACIÓN ASIGNATURAS'!$AF330=1,'ASIGNACIÓN ASIGNATURAS'!$P330,"")</f>
        <v/>
      </c>
      <c r="D330" s="299" t="str">
        <f>IF('ASIGNACIÓN ASIGNATURAS'!$AF330=1,'ASIGNACIÓN ASIGNATURAS'!$S330,"")</f>
        <v/>
      </c>
      <c r="E330" s="299" t="str">
        <f>IF('ASIGNACIÓN ASIGNATURAS'!$AF330=1,'ASIGNACIÓN ASIGNATURAS'!$T330,"")</f>
        <v/>
      </c>
      <c r="F330" s="299" t="str">
        <f>IF('ASIGNACIÓN ASIGNATURAS'!$AF330=1,'ASIGNACIÓN ASIGNATURAS'!$U330,"")</f>
        <v/>
      </c>
      <c r="G330" s="300" t="str">
        <f>IF(B330='PLAN DE ESTUDIO'!$XFD$41,"",+E330+F330)</f>
        <v/>
      </c>
    </row>
    <row r="331" spans="1:7" x14ac:dyDescent="0.3">
      <c r="A331" s="299" t="str">
        <f>IF('ASIGNACIÓN ASIGNATURAS'!$AF331=1,'ASIGNACIÓN ASIGNATURAS'!$M331,"")</f>
        <v/>
      </c>
      <c r="B331" s="299" t="str">
        <f>IF('ASIGNACIÓN ASIGNATURAS'!$AF331=1,'ASIGNACIÓN ASIGNATURAS'!$O331,"")</f>
        <v/>
      </c>
      <c r="C331" s="299" t="str">
        <f>IF('ASIGNACIÓN ASIGNATURAS'!$AF331=1,'ASIGNACIÓN ASIGNATURAS'!$P331,"")</f>
        <v/>
      </c>
      <c r="D331" s="299" t="str">
        <f>IF('ASIGNACIÓN ASIGNATURAS'!$AF331=1,'ASIGNACIÓN ASIGNATURAS'!$S331,"")</f>
        <v/>
      </c>
      <c r="E331" s="299" t="str">
        <f>IF('ASIGNACIÓN ASIGNATURAS'!$AF331=1,'ASIGNACIÓN ASIGNATURAS'!$T331,"")</f>
        <v/>
      </c>
      <c r="F331" s="299" t="str">
        <f>IF('ASIGNACIÓN ASIGNATURAS'!$AF331=1,'ASIGNACIÓN ASIGNATURAS'!$U331,"")</f>
        <v/>
      </c>
      <c r="G331" s="300" t="str">
        <f>IF(B331='PLAN DE ESTUDIO'!$XFD$41,"",+E331+F331)</f>
        <v/>
      </c>
    </row>
    <row r="332" spans="1:7" x14ac:dyDescent="0.3">
      <c r="A332" s="299" t="str">
        <f>IF('ASIGNACIÓN ASIGNATURAS'!$AF332=1,'ASIGNACIÓN ASIGNATURAS'!$M332,"")</f>
        <v/>
      </c>
      <c r="B332" s="299" t="str">
        <f>IF('ASIGNACIÓN ASIGNATURAS'!$AF332=1,'ASIGNACIÓN ASIGNATURAS'!$O332,"")</f>
        <v/>
      </c>
      <c r="C332" s="299" t="str">
        <f>IF('ASIGNACIÓN ASIGNATURAS'!$AF332=1,'ASIGNACIÓN ASIGNATURAS'!$P332,"")</f>
        <v/>
      </c>
      <c r="D332" s="299" t="str">
        <f>IF('ASIGNACIÓN ASIGNATURAS'!$AF332=1,'ASIGNACIÓN ASIGNATURAS'!$S332,"")</f>
        <v/>
      </c>
      <c r="E332" s="299" t="str">
        <f>IF('ASIGNACIÓN ASIGNATURAS'!$AF332=1,'ASIGNACIÓN ASIGNATURAS'!$T332,"")</f>
        <v/>
      </c>
      <c r="F332" s="299" t="str">
        <f>IF('ASIGNACIÓN ASIGNATURAS'!$AF332=1,'ASIGNACIÓN ASIGNATURAS'!$U332,"")</f>
        <v/>
      </c>
      <c r="G332" s="300" t="str">
        <f>IF(B332='PLAN DE ESTUDIO'!$XFD$41,"",+E332+F332)</f>
        <v/>
      </c>
    </row>
    <row r="333" spans="1:7" x14ac:dyDescent="0.3">
      <c r="A333" s="299" t="str">
        <f>IF('ASIGNACIÓN ASIGNATURAS'!$AF333=1,'ASIGNACIÓN ASIGNATURAS'!$M333,"")</f>
        <v/>
      </c>
      <c r="B333" s="299" t="str">
        <f>IF('ASIGNACIÓN ASIGNATURAS'!$AF333=1,'ASIGNACIÓN ASIGNATURAS'!$O333,"")</f>
        <v/>
      </c>
      <c r="C333" s="299" t="str">
        <f>IF('ASIGNACIÓN ASIGNATURAS'!$AF333=1,'ASIGNACIÓN ASIGNATURAS'!$P333,"")</f>
        <v/>
      </c>
      <c r="D333" s="299" t="str">
        <f>IF('ASIGNACIÓN ASIGNATURAS'!$AF333=1,'ASIGNACIÓN ASIGNATURAS'!$S333,"")</f>
        <v/>
      </c>
      <c r="E333" s="299" t="str">
        <f>IF('ASIGNACIÓN ASIGNATURAS'!$AF333=1,'ASIGNACIÓN ASIGNATURAS'!$T333,"")</f>
        <v/>
      </c>
      <c r="F333" s="299" t="str">
        <f>IF('ASIGNACIÓN ASIGNATURAS'!$AF333=1,'ASIGNACIÓN ASIGNATURAS'!$U333,"")</f>
        <v/>
      </c>
      <c r="G333" s="300" t="str">
        <f>IF(B333='PLAN DE ESTUDIO'!$XFD$41,"",+E333+F333)</f>
        <v/>
      </c>
    </row>
    <row r="334" spans="1:7" x14ac:dyDescent="0.3">
      <c r="A334" s="299" t="str">
        <f>IF('ASIGNACIÓN ASIGNATURAS'!$AF334=1,'ASIGNACIÓN ASIGNATURAS'!$M334,"")</f>
        <v/>
      </c>
      <c r="B334" s="299" t="str">
        <f>IF('ASIGNACIÓN ASIGNATURAS'!$AF334=1,'ASIGNACIÓN ASIGNATURAS'!$O334,"")</f>
        <v/>
      </c>
      <c r="C334" s="299" t="str">
        <f>IF('ASIGNACIÓN ASIGNATURAS'!$AF334=1,'ASIGNACIÓN ASIGNATURAS'!$P334,"")</f>
        <v/>
      </c>
      <c r="D334" s="299" t="str">
        <f>IF('ASIGNACIÓN ASIGNATURAS'!$AF334=1,'ASIGNACIÓN ASIGNATURAS'!$S334,"")</f>
        <v/>
      </c>
      <c r="E334" s="299" t="str">
        <f>IF('ASIGNACIÓN ASIGNATURAS'!$AF334=1,'ASIGNACIÓN ASIGNATURAS'!$T334,"")</f>
        <v/>
      </c>
      <c r="F334" s="299" t="str">
        <f>IF('ASIGNACIÓN ASIGNATURAS'!$AF334=1,'ASIGNACIÓN ASIGNATURAS'!$U334,"")</f>
        <v/>
      </c>
      <c r="G334" s="300" t="str">
        <f>IF(B334='PLAN DE ESTUDIO'!$XFD$41,"",+E334+F334)</f>
        <v/>
      </c>
    </row>
    <row r="335" spans="1:7" x14ac:dyDescent="0.3">
      <c r="A335" s="299" t="str">
        <f>IF('ASIGNACIÓN ASIGNATURAS'!$AF335=1,'ASIGNACIÓN ASIGNATURAS'!$M335,"")</f>
        <v/>
      </c>
      <c r="B335" s="299" t="str">
        <f>IF('ASIGNACIÓN ASIGNATURAS'!$AF335=1,'ASIGNACIÓN ASIGNATURAS'!$O335,"")</f>
        <v/>
      </c>
      <c r="C335" s="299" t="str">
        <f>IF('ASIGNACIÓN ASIGNATURAS'!$AF335=1,'ASIGNACIÓN ASIGNATURAS'!$P335,"")</f>
        <v/>
      </c>
      <c r="D335" s="299" t="str">
        <f>IF('ASIGNACIÓN ASIGNATURAS'!$AF335=1,'ASIGNACIÓN ASIGNATURAS'!$S335,"")</f>
        <v/>
      </c>
      <c r="E335" s="299" t="str">
        <f>IF('ASIGNACIÓN ASIGNATURAS'!$AF335=1,'ASIGNACIÓN ASIGNATURAS'!$T335,"")</f>
        <v/>
      </c>
      <c r="F335" s="299" t="str">
        <f>IF('ASIGNACIÓN ASIGNATURAS'!$AF335=1,'ASIGNACIÓN ASIGNATURAS'!$U335,"")</f>
        <v/>
      </c>
      <c r="G335" s="300" t="str">
        <f>IF(B335='PLAN DE ESTUDIO'!$XFD$41,"",+E335+F335)</f>
        <v/>
      </c>
    </row>
    <row r="336" spans="1:7" x14ac:dyDescent="0.3">
      <c r="A336" s="299" t="str">
        <f>IF('ASIGNACIÓN ASIGNATURAS'!$AF336=1,'ASIGNACIÓN ASIGNATURAS'!$M336,"")</f>
        <v/>
      </c>
      <c r="B336" s="299" t="str">
        <f>IF('ASIGNACIÓN ASIGNATURAS'!$AF336=1,'ASIGNACIÓN ASIGNATURAS'!$O336,"")</f>
        <v/>
      </c>
      <c r="C336" s="299" t="str">
        <f>IF('ASIGNACIÓN ASIGNATURAS'!$AF336=1,'ASIGNACIÓN ASIGNATURAS'!$P336,"")</f>
        <v/>
      </c>
      <c r="D336" s="299" t="str">
        <f>IF('ASIGNACIÓN ASIGNATURAS'!$AF336=1,'ASIGNACIÓN ASIGNATURAS'!$S336,"")</f>
        <v/>
      </c>
      <c r="E336" s="299" t="str">
        <f>IF('ASIGNACIÓN ASIGNATURAS'!$AF336=1,'ASIGNACIÓN ASIGNATURAS'!$T336,"")</f>
        <v/>
      </c>
      <c r="F336" s="299" t="str">
        <f>IF('ASIGNACIÓN ASIGNATURAS'!$AF336=1,'ASIGNACIÓN ASIGNATURAS'!$U336,"")</f>
        <v/>
      </c>
      <c r="G336" s="300" t="str">
        <f>IF(B336='PLAN DE ESTUDIO'!$XFD$41,"",+E336+F336)</f>
        <v/>
      </c>
    </row>
    <row r="337" spans="1:7" x14ac:dyDescent="0.3">
      <c r="A337" s="299" t="str">
        <f>IF('ASIGNACIÓN ASIGNATURAS'!$AF337=1,'ASIGNACIÓN ASIGNATURAS'!$M337,"")</f>
        <v/>
      </c>
      <c r="B337" s="299" t="str">
        <f>IF('ASIGNACIÓN ASIGNATURAS'!$AF337=1,'ASIGNACIÓN ASIGNATURAS'!$O337,"")</f>
        <v/>
      </c>
      <c r="C337" s="299" t="str">
        <f>IF('ASIGNACIÓN ASIGNATURAS'!$AF337=1,'ASIGNACIÓN ASIGNATURAS'!$P337,"")</f>
        <v/>
      </c>
      <c r="D337" s="299" t="str">
        <f>IF('ASIGNACIÓN ASIGNATURAS'!$AF337=1,'ASIGNACIÓN ASIGNATURAS'!$S337,"")</f>
        <v/>
      </c>
      <c r="E337" s="299" t="str">
        <f>IF('ASIGNACIÓN ASIGNATURAS'!$AF337=1,'ASIGNACIÓN ASIGNATURAS'!$T337,"")</f>
        <v/>
      </c>
      <c r="F337" s="299" t="str">
        <f>IF('ASIGNACIÓN ASIGNATURAS'!$AF337=1,'ASIGNACIÓN ASIGNATURAS'!$U337,"")</f>
        <v/>
      </c>
      <c r="G337" s="300" t="str">
        <f>IF(B337='PLAN DE ESTUDIO'!$XFD$41,"",+E337+F337)</f>
        <v/>
      </c>
    </row>
    <row r="338" spans="1:7" x14ac:dyDescent="0.3">
      <c r="A338" s="299" t="str">
        <f>IF('ASIGNACIÓN ASIGNATURAS'!$AF338=1,'ASIGNACIÓN ASIGNATURAS'!$M338,"")</f>
        <v/>
      </c>
      <c r="B338" s="299" t="str">
        <f>IF('ASIGNACIÓN ASIGNATURAS'!$AF338=1,'ASIGNACIÓN ASIGNATURAS'!$O338,"")</f>
        <v/>
      </c>
      <c r="C338" s="299" t="str">
        <f>IF('ASIGNACIÓN ASIGNATURAS'!$AF338=1,'ASIGNACIÓN ASIGNATURAS'!$P338,"")</f>
        <v/>
      </c>
      <c r="D338" s="299" t="str">
        <f>IF('ASIGNACIÓN ASIGNATURAS'!$AF338=1,'ASIGNACIÓN ASIGNATURAS'!$S338,"")</f>
        <v/>
      </c>
      <c r="E338" s="299" t="str">
        <f>IF('ASIGNACIÓN ASIGNATURAS'!$AF338=1,'ASIGNACIÓN ASIGNATURAS'!$T338,"")</f>
        <v/>
      </c>
      <c r="F338" s="299" t="str">
        <f>IF('ASIGNACIÓN ASIGNATURAS'!$AF338=1,'ASIGNACIÓN ASIGNATURAS'!$U338,"")</f>
        <v/>
      </c>
      <c r="G338" s="300" t="str">
        <f>IF(B338='PLAN DE ESTUDIO'!$XFD$41,"",+E338+F338)</f>
        <v/>
      </c>
    </row>
    <row r="339" spans="1:7" x14ac:dyDescent="0.3">
      <c r="A339" s="299" t="str">
        <f>IF('ASIGNACIÓN ASIGNATURAS'!$AF339=1,'ASIGNACIÓN ASIGNATURAS'!$M339,"")</f>
        <v/>
      </c>
      <c r="B339" s="299" t="str">
        <f>IF('ASIGNACIÓN ASIGNATURAS'!$AF339=1,'ASIGNACIÓN ASIGNATURAS'!$O339,"")</f>
        <v/>
      </c>
      <c r="C339" s="299" t="str">
        <f>IF('ASIGNACIÓN ASIGNATURAS'!$AF339=1,'ASIGNACIÓN ASIGNATURAS'!$P339,"")</f>
        <v/>
      </c>
      <c r="D339" s="299" t="str">
        <f>IF('ASIGNACIÓN ASIGNATURAS'!$AF339=1,'ASIGNACIÓN ASIGNATURAS'!$S339,"")</f>
        <v/>
      </c>
      <c r="E339" s="299" t="str">
        <f>IF('ASIGNACIÓN ASIGNATURAS'!$AF339=1,'ASIGNACIÓN ASIGNATURAS'!$T339,"")</f>
        <v/>
      </c>
      <c r="F339" s="299" t="str">
        <f>IF('ASIGNACIÓN ASIGNATURAS'!$AF339=1,'ASIGNACIÓN ASIGNATURAS'!$U339,"")</f>
        <v/>
      </c>
      <c r="G339" s="300" t="str">
        <f>IF(B339='PLAN DE ESTUDIO'!$XFD$41,"",+E339+F339)</f>
        <v/>
      </c>
    </row>
    <row r="340" spans="1:7" x14ac:dyDescent="0.3">
      <c r="A340" s="299" t="str">
        <f>IF('ASIGNACIÓN ASIGNATURAS'!$AF340=1,'ASIGNACIÓN ASIGNATURAS'!$M340,"")</f>
        <v/>
      </c>
      <c r="B340" s="299" t="str">
        <f>IF('ASIGNACIÓN ASIGNATURAS'!$AF340=1,'ASIGNACIÓN ASIGNATURAS'!$O340,"")</f>
        <v/>
      </c>
      <c r="C340" s="299" t="str">
        <f>IF('ASIGNACIÓN ASIGNATURAS'!$AF340=1,'ASIGNACIÓN ASIGNATURAS'!$P340,"")</f>
        <v/>
      </c>
      <c r="D340" s="299" t="str">
        <f>IF('ASIGNACIÓN ASIGNATURAS'!$AF340=1,'ASIGNACIÓN ASIGNATURAS'!$S340,"")</f>
        <v/>
      </c>
      <c r="E340" s="299" t="str">
        <f>IF('ASIGNACIÓN ASIGNATURAS'!$AF340=1,'ASIGNACIÓN ASIGNATURAS'!$T340,"")</f>
        <v/>
      </c>
      <c r="F340" s="299" t="str">
        <f>IF('ASIGNACIÓN ASIGNATURAS'!$AF340=1,'ASIGNACIÓN ASIGNATURAS'!$U340,"")</f>
        <v/>
      </c>
      <c r="G340" s="300" t="str">
        <f>IF(B340='PLAN DE ESTUDIO'!$XFD$41,"",+E340+F340)</f>
        <v/>
      </c>
    </row>
    <row r="341" spans="1:7" x14ac:dyDescent="0.3">
      <c r="A341" s="299" t="str">
        <f>IF('ASIGNACIÓN ASIGNATURAS'!$AF341=1,'ASIGNACIÓN ASIGNATURAS'!$M341,"")</f>
        <v/>
      </c>
      <c r="B341" s="299" t="str">
        <f>IF('ASIGNACIÓN ASIGNATURAS'!$AF341=1,'ASIGNACIÓN ASIGNATURAS'!$O341,"")</f>
        <v/>
      </c>
      <c r="C341" s="299" t="str">
        <f>IF('ASIGNACIÓN ASIGNATURAS'!$AF341=1,'ASIGNACIÓN ASIGNATURAS'!$P341,"")</f>
        <v/>
      </c>
      <c r="D341" s="299" t="str">
        <f>IF('ASIGNACIÓN ASIGNATURAS'!$AF341=1,'ASIGNACIÓN ASIGNATURAS'!$S341,"")</f>
        <v/>
      </c>
      <c r="E341" s="299" t="str">
        <f>IF('ASIGNACIÓN ASIGNATURAS'!$AF341=1,'ASIGNACIÓN ASIGNATURAS'!$T341,"")</f>
        <v/>
      </c>
      <c r="F341" s="299" t="str">
        <f>IF('ASIGNACIÓN ASIGNATURAS'!$AF341=1,'ASIGNACIÓN ASIGNATURAS'!$U341,"")</f>
        <v/>
      </c>
      <c r="G341" s="300" t="str">
        <f>IF(B341='PLAN DE ESTUDIO'!$XFD$41,"",+E341+F341)</f>
        <v/>
      </c>
    </row>
    <row r="342" spans="1:7" x14ac:dyDescent="0.3">
      <c r="A342" s="299" t="str">
        <f>IF('ASIGNACIÓN ASIGNATURAS'!$AF342=1,'ASIGNACIÓN ASIGNATURAS'!$M342,"")</f>
        <v/>
      </c>
      <c r="B342" s="299" t="str">
        <f>IF('ASIGNACIÓN ASIGNATURAS'!$AF342=1,'ASIGNACIÓN ASIGNATURAS'!$O342,"")</f>
        <v/>
      </c>
      <c r="C342" s="299" t="str">
        <f>IF('ASIGNACIÓN ASIGNATURAS'!$AF342=1,'ASIGNACIÓN ASIGNATURAS'!$P342,"")</f>
        <v/>
      </c>
      <c r="D342" s="299" t="str">
        <f>IF('ASIGNACIÓN ASIGNATURAS'!$AF342=1,'ASIGNACIÓN ASIGNATURAS'!$S342,"")</f>
        <v/>
      </c>
      <c r="E342" s="299" t="str">
        <f>IF('ASIGNACIÓN ASIGNATURAS'!$AF342=1,'ASIGNACIÓN ASIGNATURAS'!$T342,"")</f>
        <v/>
      </c>
      <c r="F342" s="299" t="str">
        <f>IF('ASIGNACIÓN ASIGNATURAS'!$AF342=1,'ASIGNACIÓN ASIGNATURAS'!$U342,"")</f>
        <v/>
      </c>
      <c r="G342" s="300" t="str">
        <f>IF(B342='PLAN DE ESTUDIO'!$XFD$41,"",+E342+F342)</f>
        <v/>
      </c>
    </row>
    <row r="343" spans="1:7" x14ac:dyDescent="0.3">
      <c r="A343" s="299" t="str">
        <f>IF('ASIGNACIÓN ASIGNATURAS'!$AF343=1,'ASIGNACIÓN ASIGNATURAS'!$M343,"")</f>
        <v/>
      </c>
      <c r="B343" s="299" t="str">
        <f>IF('ASIGNACIÓN ASIGNATURAS'!$AF343=1,'ASIGNACIÓN ASIGNATURAS'!$O343,"")</f>
        <v/>
      </c>
      <c r="C343" s="299" t="str">
        <f>IF('ASIGNACIÓN ASIGNATURAS'!$AF343=1,'ASIGNACIÓN ASIGNATURAS'!$P343,"")</f>
        <v/>
      </c>
      <c r="D343" s="299" t="str">
        <f>IF('ASIGNACIÓN ASIGNATURAS'!$AF343=1,'ASIGNACIÓN ASIGNATURAS'!$S343,"")</f>
        <v/>
      </c>
      <c r="E343" s="299" t="str">
        <f>IF('ASIGNACIÓN ASIGNATURAS'!$AF343=1,'ASIGNACIÓN ASIGNATURAS'!$T343,"")</f>
        <v/>
      </c>
      <c r="F343" s="299" t="str">
        <f>IF('ASIGNACIÓN ASIGNATURAS'!$AF343=1,'ASIGNACIÓN ASIGNATURAS'!$U343,"")</f>
        <v/>
      </c>
      <c r="G343" s="300" t="str">
        <f>IF(B343='PLAN DE ESTUDIO'!$XFD$41,"",+E343+F343)</f>
        <v/>
      </c>
    </row>
    <row r="344" spans="1:7" x14ac:dyDescent="0.3">
      <c r="A344" s="299" t="str">
        <f>IF('ASIGNACIÓN ASIGNATURAS'!$AF344=1,'ASIGNACIÓN ASIGNATURAS'!$M344,"")</f>
        <v/>
      </c>
      <c r="B344" s="299" t="str">
        <f>IF('ASIGNACIÓN ASIGNATURAS'!$AF344=1,'ASIGNACIÓN ASIGNATURAS'!$O344,"")</f>
        <v/>
      </c>
      <c r="C344" s="299" t="str">
        <f>IF('ASIGNACIÓN ASIGNATURAS'!$AF344=1,'ASIGNACIÓN ASIGNATURAS'!$P344,"")</f>
        <v/>
      </c>
      <c r="D344" s="299" t="str">
        <f>IF('ASIGNACIÓN ASIGNATURAS'!$AF344=1,'ASIGNACIÓN ASIGNATURAS'!$S344,"")</f>
        <v/>
      </c>
      <c r="E344" s="299" t="str">
        <f>IF('ASIGNACIÓN ASIGNATURAS'!$AF344=1,'ASIGNACIÓN ASIGNATURAS'!$T344,"")</f>
        <v/>
      </c>
      <c r="F344" s="299" t="str">
        <f>IF('ASIGNACIÓN ASIGNATURAS'!$AF344=1,'ASIGNACIÓN ASIGNATURAS'!$U344,"")</f>
        <v/>
      </c>
      <c r="G344" s="300" t="str">
        <f>IF(B344='PLAN DE ESTUDIO'!$XFD$41,"",+E344+F344)</f>
        <v/>
      </c>
    </row>
    <row r="345" spans="1:7" x14ac:dyDescent="0.3">
      <c r="A345" s="299" t="str">
        <f>IF('ASIGNACIÓN ASIGNATURAS'!$AF345=1,'ASIGNACIÓN ASIGNATURAS'!$M345,"")</f>
        <v/>
      </c>
      <c r="B345" s="299" t="str">
        <f>IF('ASIGNACIÓN ASIGNATURAS'!$AF345=1,'ASIGNACIÓN ASIGNATURAS'!$O345,"")</f>
        <v/>
      </c>
      <c r="C345" s="299" t="str">
        <f>IF('ASIGNACIÓN ASIGNATURAS'!$AF345=1,'ASIGNACIÓN ASIGNATURAS'!$P345,"")</f>
        <v/>
      </c>
      <c r="D345" s="299" t="str">
        <f>IF('ASIGNACIÓN ASIGNATURAS'!$AF345=1,'ASIGNACIÓN ASIGNATURAS'!$S345,"")</f>
        <v/>
      </c>
      <c r="E345" s="299" t="str">
        <f>IF('ASIGNACIÓN ASIGNATURAS'!$AF345=1,'ASIGNACIÓN ASIGNATURAS'!$T345,"")</f>
        <v/>
      </c>
      <c r="F345" s="299" t="str">
        <f>IF('ASIGNACIÓN ASIGNATURAS'!$AF345=1,'ASIGNACIÓN ASIGNATURAS'!$U345,"")</f>
        <v/>
      </c>
      <c r="G345" s="300" t="str">
        <f>IF(B345='PLAN DE ESTUDIO'!$XFD$41,"",+E345+F345)</f>
        <v/>
      </c>
    </row>
    <row r="346" spans="1:7" x14ac:dyDescent="0.3">
      <c r="A346" s="299" t="str">
        <f>IF('ASIGNACIÓN ASIGNATURAS'!$AF346=1,'ASIGNACIÓN ASIGNATURAS'!$M346,"")</f>
        <v/>
      </c>
      <c r="B346" s="299" t="str">
        <f>IF('ASIGNACIÓN ASIGNATURAS'!$AF346=1,'ASIGNACIÓN ASIGNATURAS'!$O346,"")</f>
        <v/>
      </c>
      <c r="C346" s="299" t="str">
        <f>IF('ASIGNACIÓN ASIGNATURAS'!$AF346=1,'ASIGNACIÓN ASIGNATURAS'!$P346,"")</f>
        <v/>
      </c>
      <c r="D346" s="299" t="str">
        <f>IF('ASIGNACIÓN ASIGNATURAS'!$AF346=1,'ASIGNACIÓN ASIGNATURAS'!$S346,"")</f>
        <v/>
      </c>
      <c r="E346" s="299" t="str">
        <f>IF('ASIGNACIÓN ASIGNATURAS'!$AF346=1,'ASIGNACIÓN ASIGNATURAS'!$T346,"")</f>
        <v/>
      </c>
      <c r="F346" s="299" t="str">
        <f>IF('ASIGNACIÓN ASIGNATURAS'!$AF346=1,'ASIGNACIÓN ASIGNATURAS'!$U346,"")</f>
        <v/>
      </c>
      <c r="G346" s="300" t="str">
        <f>IF(B346='PLAN DE ESTUDIO'!$XFD$41,"",+E346+F346)</f>
        <v/>
      </c>
    </row>
    <row r="347" spans="1:7" x14ac:dyDescent="0.3">
      <c r="A347" s="299" t="str">
        <f>IF('ASIGNACIÓN ASIGNATURAS'!$AF347=1,'ASIGNACIÓN ASIGNATURAS'!$M347,"")</f>
        <v/>
      </c>
      <c r="B347" s="299" t="str">
        <f>IF('ASIGNACIÓN ASIGNATURAS'!$AF347=1,'ASIGNACIÓN ASIGNATURAS'!$O347,"")</f>
        <v/>
      </c>
      <c r="C347" s="299" t="str">
        <f>IF('ASIGNACIÓN ASIGNATURAS'!$AF347=1,'ASIGNACIÓN ASIGNATURAS'!$P347,"")</f>
        <v/>
      </c>
      <c r="D347" s="299" t="str">
        <f>IF('ASIGNACIÓN ASIGNATURAS'!$AF347=1,'ASIGNACIÓN ASIGNATURAS'!$S347,"")</f>
        <v/>
      </c>
      <c r="E347" s="299" t="str">
        <f>IF('ASIGNACIÓN ASIGNATURAS'!$AF347=1,'ASIGNACIÓN ASIGNATURAS'!$T347,"")</f>
        <v/>
      </c>
      <c r="F347" s="299" t="str">
        <f>IF('ASIGNACIÓN ASIGNATURAS'!$AF347=1,'ASIGNACIÓN ASIGNATURAS'!$U347,"")</f>
        <v/>
      </c>
      <c r="G347" s="300" t="str">
        <f>IF(B347='PLAN DE ESTUDIO'!$XFD$41,"",+E347+F347)</f>
        <v/>
      </c>
    </row>
    <row r="348" spans="1:7" x14ac:dyDescent="0.3">
      <c r="A348" s="299" t="str">
        <f>IF('ASIGNACIÓN ASIGNATURAS'!$AF348=1,'ASIGNACIÓN ASIGNATURAS'!$M348,"")</f>
        <v/>
      </c>
      <c r="B348" s="299" t="str">
        <f>IF('ASIGNACIÓN ASIGNATURAS'!$AF348=1,'ASIGNACIÓN ASIGNATURAS'!$O348,"")</f>
        <v/>
      </c>
      <c r="C348" s="299" t="str">
        <f>IF('ASIGNACIÓN ASIGNATURAS'!$AF348=1,'ASIGNACIÓN ASIGNATURAS'!$P348,"")</f>
        <v/>
      </c>
      <c r="D348" s="299" t="str">
        <f>IF('ASIGNACIÓN ASIGNATURAS'!$AF348=1,'ASIGNACIÓN ASIGNATURAS'!$S348,"")</f>
        <v/>
      </c>
      <c r="E348" s="299" t="str">
        <f>IF('ASIGNACIÓN ASIGNATURAS'!$AF348=1,'ASIGNACIÓN ASIGNATURAS'!$T348,"")</f>
        <v/>
      </c>
      <c r="F348" s="299" t="str">
        <f>IF('ASIGNACIÓN ASIGNATURAS'!$AF348=1,'ASIGNACIÓN ASIGNATURAS'!$U348,"")</f>
        <v/>
      </c>
      <c r="G348" s="300" t="str">
        <f>IF(B348='PLAN DE ESTUDIO'!$XFD$41,"",+E348+F348)</f>
        <v/>
      </c>
    </row>
    <row r="349" spans="1:7" x14ac:dyDescent="0.3">
      <c r="A349" s="299" t="str">
        <f>IF('ASIGNACIÓN ASIGNATURAS'!$AF349=1,'ASIGNACIÓN ASIGNATURAS'!$M349,"")</f>
        <v/>
      </c>
      <c r="B349" s="299" t="str">
        <f>IF('ASIGNACIÓN ASIGNATURAS'!$AF349=1,'ASIGNACIÓN ASIGNATURAS'!$O349,"")</f>
        <v/>
      </c>
      <c r="C349" s="299" t="str">
        <f>IF('ASIGNACIÓN ASIGNATURAS'!$AF349=1,'ASIGNACIÓN ASIGNATURAS'!$P349,"")</f>
        <v/>
      </c>
      <c r="D349" s="299" t="str">
        <f>IF('ASIGNACIÓN ASIGNATURAS'!$AF349=1,'ASIGNACIÓN ASIGNATURAS'!$S349,"")</f>
        <v/>
      </c>
      <c r="E349" s="299" t="str">
        <f>IF('ASIGNACIÓN ASIGNATURAS'!$AF349=1,'ASIGNACIÓN ASIGNATURAS'!$T349,"")</f>
        <v/>
      </c>
      <c r="F349" s="299" t="str">
        <f>IF('ASIGNACIÓN ASIGNATURAS'!$AF349=1,'ASIGNACIÓN ASIGNATURAS'!$U349,"")</f>
        <v/>
      </c>
      <c r="G349" s="300" t="str">
        <f>IF(B349='PLAN DE ESTUDIO'!$XFD$41,"",+E349+F349)</f>
        <v/>
      </c>
    </row>
    <row r="350" spans="1:7" x14ac:dyDescent="0.3">
      <c r="A350" s="299" t="str">
        <f>IF('ASIGNACIÓN ASIGNATURAS'!$AF350=1,'ASIGNACIÓN ASIGNATURAS'!$M350,"")</f>
        <v/>
      </c>
      <c r="B350" s="299" t="str">
        <f>IF('ASIGNACIÓN ASIGNATURAS'!$AF350=1,'ASIGNACIÓN ASIGNATURAS'!$O350,"")</f>
        <v/>
      </c>
      <c r="C350" s="299" t="str">
        <f>IF('ASIGNACIÓN ASIGNATURAS'!$AF350=1,'ASIGNACIÓN ASIGNATURAS'!$P350,"")</f>
        <v/>
      </c>
      <c r="D350" s="299" t="str">
        <f>IF('ASIGNACIÓN ASIGNATURAS'!$AF350=1,'ASIGNACIÓN ASIGNATURAS'!$S350,"")</f>
        <v/>
      </c>
      <c r="E350" s="299" t="str">
        <f>IF('ASIGNACIÓN ASIGNATURAS'!$AF350=1,'ASIGNACIÓN ASIGNATURAS'!$T350,"")</f>
        <v/>
      </c>
      <c r="F350" s="299" t="str">
        <f>IF('ASIGNACIÓN ASIGNATURAS'!$AF350=1,'ASIGNACIÓN ASIGNATURAS'!$U350,"")</f>
        <v/>
      </c>
      <c r="G350" s="300" t="str">
        <f>IF(B350='PLAN DE ESTUDIO'!$XFD$41,"",+E350+F350)</f>
        <v/>
      </c>
    </row>
    <row r="351" spans="1:7" x14ac:dyDescent="0.3">
      <c r="A351" s="299" t="str">
        <f>IF('ASIGNACIÓN ASIGNATURAS'!$AF351=1,'ASIGNACIÓN ASIGNATURAS'!$M351,"")</f>
        <v/>
      </c>
      <c r="B351" s="299" t="str">
        <f>IF('ASIGNACIÓN ASIGNATURAS'!$AF351=1,'ASIGNACIÓN ASIGNATURAS'!$O351,"")</f>
        <v/>
      </c>
      <c r="C351" s="299" t="str">
        <f>IF('ASIGNACIÓN ASIGNATURAS'!$AF351=1,'ASIGNACIÓN ASIGNATURAS'!$P351,"")</f>
        <v/>
      </c>
      <c r="D351" s="299" t="str">
        <f>IF('ASIGNACIÓN ASIGNATURAS'!$AF351=1,'ASIGNACIÓN ASIGNATURAS'!$S351,"")</f>
        <v/>
      </c>
      <c r="E351" s="299" t="str">
        <f>IF('ASIGNACIÓN ASIGNATURAS'!$AF351=1,'ASIGNACIÓN ASIGNATURAS'!$T351,"")</f>
        <v/>
      </c>
      <c r="F351" s="299" t="str">
        <f>IF('ASIGNACIÓN ASIGNATURAS'!$AF351=1,'ASIGNACIÓN ASIGNATURAS'!$U351,"")</f>
        <v/>
      </c>
      <c r="G351" s="300" t="str">
        <f>IF(B351='PLAN DE ESTUDIO'!$XFD$41,"",+E351+F351)</f>
        <v/>
      </c>
    </row>
    <row r="352" spans="1:7" x14ac:dyDescent="0.3">
      <c r="A352" s="299" t="str">
        <f>IF('ASIGNACIÓN ASIGNATURAS'!$AF352=1,'ASIGNACIÓN ASIGNATURAS'!$M352,"")</f>
        <v/>
      </c>
      <c r="B352" s="299" t="str">
        <f>IF('ASIGNACIÓN ASIGNATURAS'!$AF352=1,'ASIGNACIÓN ASIGNATURAS'!$O352,"")</f>
        <v/>
      </c>
      <c r="C352" s="299" t="str">
        <f>IF('ASIGNACIÓN ASIGNATURAS'!$AF352=1,'ASIGNACIÓN ASIGNATURAS'!$P352,"")</f>
        <v/>
      </c>
      <c r="D352" s="299" t="str">
        <f>IF('ASIGNACIÓN ASIGNATURAS'!$AF352=1,'ASIGNACIÓN ASIGNATURAS'!$S352,"")</f>
        <v/>
      </c>
      <c r="E352" s="299" t="str">
        <f>IF('ASIGNACIÓN ASIGNATURAS'!$AF352=1,'ASIGNACIÓN ASIGNATURAS'!$T352,"")</f>
        <v/>
      </c>
      <c r="F352" s="299" t="str">
        <f>IF('ASIGNACIÓN ASIGNATURAS'!$AF352=1,'ASIGNACIÓN ASIGNATURAS'!$U352,"")</f>
        <v/>
      </c>
      <c r="G352" s="300" t="str">
        <f>IF(B352='PLAN DE ESTUDIO'!$XFD$41,"",+E352+F352)</f>
        <v/>
      </c>
    </row>
    <row r="353" spans="1:7" x14ac:dyDescent="0.3">
      <c r="A353" s="299" t="str">
        <f>IF('ASIGNACIÓN ASIGNATURAS'!$AF353=1,'ASIGNACIÓN ASIGNATURAS'!$M353,"")</f>
        <v/>
      </c>
      <c r="B353" s="299" t="str">
        <f>IF('ASIGNACIÓN ASIGNATURAS'!$AF353=1,'ASIGNACIÓN ASIGNATURAS'!$O353,"")</f>
        <v/>
      </c>
      <c r="C353" s="299" t="str">
        <f>IF('ASIGNACIÓN ASIGNATURAS'!$AF353=1,'ASIGNACIÓN ASIGNATURAS'!$P353,"")</f>
        <v/>
      </c>
      <c r="D353" s="299" t="str">
        <f>IF('ASIGNACIÓN ASIGNATURAS'!$AF353=1,'ASIGNACIÓN ASIGNATURAS'!$S353,"")</f>
        <v/>
      </c>
      <c r="E353" s="299" t="str">
        <f>IF('ASIGNACIÓN ASIGNATURAS'!$AF353=1,'ASIGNACIÓN ASIGNATURAS'!$T353,"")</f>
        <v/>
      </c>
      <c r="F353" s="299" t="str">
        <f>IF('ASIGNACIÓN ASIGNATURAS'!$AF353=1,'ASIGNACIÓN ASIGNATURAS'!$U353,"")</f>
        <v/>
      </c>
      <c r="G353" s="300" t="str">
        <f>IF(B353='PLAN DE ESTUDIO'!$XFD$41,"",+E353+F353)</f>
        <v/>
      </c>
    </row>
    <row r="354" spans="1:7" x14ac:dyDescent="0.3">
      <c r="A354" s="299" t="str">
        <f>IF('ASIGNACIÓN ASIGNATURAS'!$AF354=1,'ASIGNACIÓN ASIGNATURAS'!$M354,"")</f>
        <v/>
      </c>
      <c r="B354" s="299" t="str">
        <f>IF('ASIGNACIÓN ASIGNATURAS'!$AF354=1,'ASIGNACIÓN ASIGNATURAS'!$O354,"")</f>
        <v/>
      </c>
      <c r="C354" s="299" t="str">
        <f>IF('ASIGNACIÓN ASIGNATURAS'!$AF354=1,'ASIGNACIÓN ASIGNATURAS'!$P354,"")</f>
        <v/>
      </c>
      <c r="D354" s="299" t="str">
        <f>IF('ASIGNACIÓN ASIGNATURAS'!$AF354=1,'ASIGNACIÓN ASIGNATURAS'!$S354,"")</f>
        <v/>
      </c>
      <c r="E354" s="299" t="str">
        <f>IF('ASIGNACIÓN ASIGNATURAS'!$AF354=1,'ASIGNACIÓN ASIGNATURAS'!$T354,"")</f>
        <v/>
      </c>
      <c r="F354" s="299" t="str">
        <f>IF('ASIGNACIÓN ASIGNATURAS'!$AF354=1,'ASIGNACIÓN ASIGNATURAS'!$U354,"")</f>
        <v/>
      </c>
      <c r="G354" s="300" t="str">
        <f>IF(B354='PLAN DE ESTUDIO'!$XFD$41,"",+E354+F354)</f>
        <v/>
      </c>
    </row>
    <row r="355" spans="1:7" x14ac:dyDescent="0.3">
      <c r="A355" s="299" t="str">
        <f>IF('ASIGNACIÓN ASIGNATURAS'!$AF355=1,'ASIGNACIÓN ASIGNATURAS'!$M355,"")</f>
        <v/>
      </c>
      <c r="B355" s="299" t="str">
        <f>IF('ASIGNACIÓN ASIGNATURAS'!$AF355=1,'ASIGNACIÓN ASIGNATURAS'!$O355,"")</f>
        <v/>
      </c>
      <c r="C355" s="299" t="str">
        <f>IF('ASIGNACIÓN ASIGNATURAS'!$AF355=1,'ASIGNACIÓN ASIGNATURAS'!$P355,"")</f>
        <v/>
      </c>
      <c r="D355" s="299" t="str">
        <f>IF('ASIGNACIÓN ASIGNATURAS'!$AF355=1,'ASIGNACIÓN ASIGNATURAS'!$S355,"")</f>
        <v/>
      </c>
      <c r="E355" s="299" t="str">
        <f>IF('ASIGNACIÓN ASIGNATURAS'!$AF355=1,'ASIGNACIÓN ASIGNATURAS'!$T355,"")</f>
        <v/>
      </c>
      <c r="F355" s="299" t="str">
        <f>IF('ASIGNACIÓN ASIGNATURAS'!$AF355=1,'ASIGNACIÓN ASIGNATURAS'!$U355,"")</f>
        <v/>
      </c>
      <c r="G355" s="300" t="str">
        <f>IF(B355='PLAN DE ESTUDIO'!$XFD$41,"",+E355+F355)</f>
        <v/>
      </c>
    </row>
    <row r="356" spans="1:7" x14ac:dyDescent="0.3">
      <c r="A356" s="299" t="str">
        <f>IF('ASIGNACIÓN ASIGNATURAS'!$AF356=1,'ASIGNACIÓN ASIGNATURAS'!$M356,"")</f>
        <v/>
      </c>
      <c r="B356" s="299" t="str">
        <f>IF('ASIGNACIÓN ASIGNATURAS'!$AF356=1,'ASIGNACIÓN ASIGNATURAS'!$O356,"")</f>
        <v/>
      </c>
      <c r="C356" s="299" t="str">
        <f>IF('ASIGNACIÓN ASIGNATURAS'!$AF356=1,'ASIGNACIÓN ASIGNATURAS'!$P356,"")</f>
        <v/>
      </c>
      <c r="D356" s="299" t="str">
        <f>IF('ASIGNACIÓN ASIGNATURAS'!$AF356=1,'ASIGNACIÓN ASIGNATURAS'!$S356,"")</f>
        <v/>
      </c>
      <c r="E356" s="299" t="str">
        <f>IF('ASIGNACIÓN ASIGNATURAS'!$AF356=1,'ASIGNACIÓN ASIGNATURAS'!$T356,"")</f>
        <v/>
      </c>
      <c r="F356" s="299" t="str">
        <f>IF('ASIGNACIÓN ASIGNATURAS'!$AF356=1,'ASIGNACIÓN ASIGNATURAS'!$U356,"")</f>
        <v/>
      </c>
      <c r="G356" s="300" t="str">
        <f>IF(B356='PLAN DE ESTUDIO'!$XFD$41,"",+E356+F356)</f>
        <v/>
      </c>
    </row>
    <row r="357" spans="1:7" x14ac:dyDescent="0.3">
      <c r="A357" s="299" t="str">
        <f>IF('ASIGNACIÓN ASIGNATURAS'!$AF357=1,'ASIGNACIÓN ASIGNATURAS'!$M357,"")</f>
        <v/>
      </c>
      <c r="B357" s="299" t="str">
        <f>IF('ASIGNACIÓN ASIGNATURAS'!$AF357=1,'ASIGNACIÓN ASIGNATURAS'!$O357,"")</f>
        <v/>
      </c>
      <c r="C357" s="299" t="str">
        <f>IF('ASIGNACIÓN ASIGNATURAS'!$AF357=1,'ASIGNACIÓN ASIGNATURAS'!$P357,"")</f>
        <v/>
      </c>
      <c r="D357" s="299" t="str">
        <f>IF('ASIGNACIÓN ASIGNATURAS'!$AF357=1,'ASIGNACIÓN ASIGNATURAS'!$S357,"")</f>
        <v/>
      </c>
      <c r="E357" s="299" t="str">
        <f>IF('ASIGNACIÓN ASIGNATURAS'!$AF357=1,'ASIGNACIÓN ASIGNATURAS'!$T357,"")</f>
        <v/>
      </c>
      <c r="F357" s="299" t="str">
        <f>IF('ASIGNACIÓN ASIGNATURAS'!$AF357=1,'ASIGNACIÓN ASIGNATURAS'!$U357,"")</f>
        <v/>
      </c>
      <c r="G357" s="300" t="str">
        <f>IF(B357='PLAN DE ESTUDIO'!$XFD$41,"",+E357+F357)</f>
        <v/>
      </c>
    </row>
    <row r="358" spans="1:7" x14ac:dyDescent="0.3">
      <c r="A358" s="299" t="str">
        <f>IF('ASIGNACIÓN ASIGNATURAS'!$AF358=1,'ASIGNACIÓN ASIGNATURAS'!$M358,"")</f>
        <v/>
      </c>
      <c r="B358" s="299" t="str">
        <f>IF('ASIGNACIÓN ASIGNATURAS'!$AF358=1,'ASIGNACIÓN ASIGNATURAS'!$O358,"")</f>
        <v/>
      </c>
      <c r="C358" s="299" t="str">
        <f>IF('ASIGNACIÓN ASIGNATURAS'!$AF358=1,'ASIGNACIÓN ASIGNATURAS'!$P358,"")</f>
        <v/>
      </c>
      <c r="D358" s="299" t="str">
        <f>IF('ASIGNACIÓN ASIGNATURAS'!$AF358=1,'ASIGNACIÓN ASIGNATURAS'!$S358,"")</f>
        <v/>
      </c>
      <c r="E358" s="299" t="str">
        <f>IF('ASIGNACIÓN ASIGNATURAS'!$AF358=1,'ASIGNACIÓN ASIGNATURAS'!$T358,"")</f>
        <v/>
      </c>
      <c r="F358" s="299" t="str">
        <f>IF('ASIGNACIÓN ASIGNATURAS'!$AF358=1,'ASIGNACIÓN ASIGNATURAS'!$U358,"")</f>
        <v/>
      </c>
      <c r="G358" s="300" t="str">
        <f>IF(B358='PLAN DE ESTUDIO'!$XFD$41,"",+E358+F358)</f>
        <v/>
      </c>
    </row>
    <row r="359" spans="1:7" x14ac:dyDescent="0.3">
      <c r="A359" s="299" t="str">
        <f>IF('ASIGNACIÓN ASIGNATURAS'!$AF359=1,'ASIGNACIÓN ASIGNATURAS'!$M359,"")</f>
        <v/>
      </c>
      <c r="B359" s="299" t="str">
        <f>IF('ASIGNACIÓN ASIGNATURAS'!$AF359=1,'ASIGNACIÓN ASIGNATURAS'!$O359,"")</f>
        <v/>
      </c>
      <c r="C359" s="299" t="str">
        <f>IF('ASIGNACIÓN ASIGNATURAS'!$AF359=1,'ASIGNACIÓN ASIGNATURAS'!$P359,"")</f>
        <v/>
      </c>
      <c r="D359" s="299" t="str">
        <f>IF('ASIGNACIÓN ASIGNATURAS'!$AF359=1,'ASIGNACIÓN ASIGNATURAS'!$S359,"")</f>
        <v/>
      </c>
      <c r="E359" s="299" t="str">
        <f>IF('ASIGNACIÓN ASIGNATURAS'!$AF359=1,'ASIGNACIÓN ASIGNATURAS'!$T359,"")</f>
        <v/>
      </c>
      <c r="F359" s="299" t="str">
        <f>IF('ASIGNACIÓN ASIGNATURAS'!$AF359=1,'ASIGNACIÓN ASIGNATURAS'!$U359,"")</f>
        <v/>
      </c>
      <c r="G359" s="300" t="str">
        <f>IF(B359='PLAN DE ESTUDIO'!$XFD$41,"",+E359+F359)</f>
        <v/>
      </c>
    </row>
    <row r="360" spans="1:7" x14ac:dyDescent="0.3">
      <c r="A360" s="299" t="str">
        <f>IF('ASIGNACIÓN ASIGNATURAS'!$AF360=1,'ASIGNACIÓN ASIGNATURAS'!$M360,"")</f>
        <v/>
      </c>
      <c r="B360" s="299" t="str">
        <f>IF('ASIGNACIÓN ASIGNATURAS'!$AF360=1,'ASIGNACIÓN ASIGNATURAS'!$O360,"")</f>
        <v/>
      </c>
      <c r="C360" s="299" t="str">
        <f>IF('ASIGNACIÓN ASIGNATURAS'!$AF360=1,'ASIGNACIÓN ASIGNATURAS'!$P360,"")</f>
        <v/>
      </c>
      <c r="D360" s="299" t="str">
        <f>IF('ASIGNACIÓN ASIGNATURAS'!$AF360=1,'ASIGNACIÓN ASIGNATURAS'!$S360,"")</f>
        <v/>
      </c>
      <c r="E360" s="299" t="str">
        <f>IF('ASIGNACIÓN ASIGNATURAS'!$AF360=1,'ASIGNACIÓN ASIGNATURAS'!$T360,"")</f>
        <v/>
      </c>
      <c r="F360" s="299" t="str">
        <f>IF('ASIGNACIÓN ASIGNATURAS'!$AF360=1,'ASIGNACIÓN ASIGNATURAS'!$U360,"")</f>
        <v/>
      </c>
      <c r="G360" s="300" t="str">
        <f>IF(B360='PLAN DE ESTUDIO'!$XFD$41,"",+E360+F360)</f>
        <v/>
      </c>
    </row>
    <row r="361" spans="1:7" x14ac:dyDescent="0.3">
      <c r="A361" s="299" t="str">
        <f>IF('ASIGNACIÓN ASIGNATURAS'!$AF361=1,'ASIGNACIÓN ASIGNATURAS'!$M361,"")</f>
        <v/>
      </c>
      <c r="B361" s="299" t="str">
        <f>IF('ASIGNACIÓN ASIGNATURAS'!$AF361=1,'ASIGNACIÓN ASIGNATURAS'!$O361,"")</f>
        <v/>
      </c>
      <c r="C361" s="299" t="str">
        <f>IF('ASIGNACIÓN ASIGNATURAS'!$AF361=1,'ASIGNACIÓN ASIGNATURAS'!$P361,"")</f>
        <v/>
      </c>
      <c r="D361" s="299" t="str">
        <f>IF('ASIGNACIÓN ASIGNATURAS'!$AF361=1,'ASIGNACIÓN ASIGNATURAS'!$S361,"")</f>
        <v/>
      </c>
      <c r="E361" s="299" t="str">
        <f>IF('ASIGNACIÓN ASIGNATURAS'!$AF361=1,'ASIGNACIÓN ASIGNATURAS'!$T361,"")</f>
        <v/>
      </c>
      <c r="F361" s="299" t="str">
        <f>IF('ASIGNACIÓN ASIGNATURAS'!$AF361=1,'ASIGNACIÓN ASIGNATURAS'!$U361,"")</f>
        <v/>
      </c>
      <c r="G361" s="300" t="str">
        <f>IF(B361='PLAN DE ESTUDIO'!$XFD$41,"",+E361+F361)</f>
        <v/>
      </c>
    </row>
    <row r="362" spans="1:7" x14ac:dyDescent="0.3">
      <c r="A362" s="299" t="str">
        <f>IF('ASIGNACIÓN ASIGNATURAS'!$AF362=1,'ASIGNACIÓN ASIGNATURAS'!$M362,"")</f>
        <v/>
      </c>
      <c r="B362" s="299" t="str">
        <f>IF('ASIGNACIÓN ASIGNATURAS'!$AF362=1,'ASIGNACIÓN ASIGNATURAS'!$O362,"")</f>
        <v/>
      </c>
      <c r="C362" s="299" t="str">
        <f>IF('ASIGNACIÓN ASIGNATURAS'!$AF362=1,'ASIGNACIÓN ASIGNATURAS'!$P362,"")</f>
        <v/>
      </c>
      <c r="D362" s="299" t="str">
        <f>IF('ASIGNACIÓN ASIGNATURAS'!$AF362=1,'ASIGNACIÓN ASIGNATURAS'!$S362,"")</f>
        <v/>
      </c>
      <c r="E362" s="299" t="str">
        <f>IF('ASIGNACIÓN ASIGNATURAS'!$AF362=1,'ASIGNACIÓN ASIGNATURAS'!$T362,"")</f>
        <v/>
      </c>
      <c r="F362" s="299" t="str">
        <f>IF('ASIGNACIÓN ASIGNATURAS'!$AF362=1,'ASIGNACIÓN ASIGNATURAS'!$U362,"")</f>
        <v/>
      </c>
      <c r="G362" s="300" t="str">
        <f>IF(B362='PLAN DE ESTUDIO'!$XFD$41,"",+E362+F362)</f>
        <v/>
      </c>
    </row>
    <row r="363" spans="1:7" x14ac:dyDescent="0.3">
      <c r="A363" s="299" t="str">
        <f>IF('ASIGNACIÓN ASIGNATURAS'!$AF363=1,'ASIGNACIÓN ASIGNATURAS'!$M363,"")</f>
        <v/>
      </c>
      <c r="B363" s="299" t="str">
        <f>IF('ASIGNACIÓN ASIGNATURAS'!$AF363=1,'ASIGNACIÓN ASIGNATURAS'!$O363,"")</f>
        <v/>
      </c>
      <c r="C363" s="299" t="str">
        <f>IF('ASIGNACIÓN ASIGNATURAS'!$AF363=1,'ASIGNACIÓN ASIGNATURAS'!$P363,"")</f>
        <v/>
      </c>
      <c r="D363" s="299" t="str">
        <f>IF('ASIGNACIÓN ASIGNATURAS'!$AF363=1,'ASIGNACIÓN ASIGNATURAS'!$S363,"")</f>
        <v/>
      </c>
      <c r="E363" s="299" t="str">
        <f>IF('ASIGNACIÓN ASIGNATURAS'!$AF363=1,'ASIGNACIÓN ASIGNATURAS'!$T363,"")</f>
        <v/>
      </c>
      <c r="F363" s="299" t="str">
        <f>IF('ASIGNACIÓN ASIGNATURAS'!$AF363=1,'ASIGNACIÓN ASIGNATURAS'!$U363,"")</f>
        <v/>
      </c>
      <c r="G363" s="300" t="str">
        <f>IF(B363='PLAN DE ESTUDIO'!$XFD$41,"",+E363+F363)</f>
        <v/>
      </c>
    </row>
    <row r="364" spans="1:7" x14ac:dyDescent="0.3">
      <c r="A364" s="299" t="str">
        <f>IF('ASIGNACIÓN ASIGNATURAS'!$AF364=1,'ASIGNACIÓN ASIGNATURAS'!$M364,"")</f>
        <v/>
      </c>
      <c r="B364" s="299" t="str">
        <f>IF('ASIGNACIÓN ASIGNATURAS'!$AF364=1,'ASIGNACIÓN ASIGNATURAS'!$O364,"")</f>
        <v/>
      </c>
      <c r="C364" s="299" t="str">
        <f>IF('ASIGNACIÓN ASIGNATURAS'!$AF364=1,'ASIGNACIÓN ASIGNATURAS'!$P364,"")</f>
        <v/>
      </c>
      <c r="D364" s="299" t="str">
        <f>IF('ASIGNACIÓN ASIGNATURAS'!$AF364=1,'ASIGNACIÓN ASIGNATURAS'!$S364,"")</f>
        <v/>
      </c>
      <c r="E364" s="299" t="str">
        <f>IF('ASIGNACIÓN ASIGNATURAS'!$AF364=1,'ASIGNACIÓN ASIGNATURAS'!$T364,"")</f>
        <v/>
      </c>
      <c r="F364" s="299" t="str">
        <f>IF('ASIGNACIÓN ASIGNATURAS'!$AF364=1,'ASIGNACIÓN ASIGNATURAS'!$U364,"")</f>
        <v/>
      </c>
      <c r="G364" s="300" t="str">
        <f>IF(B364='PLAN DE ESTUDIO'!$XFD$41,"",+E364+F364)</f>
        <v/>
      </c>
    </row>
    <row r="365" spans="1:7" x14ac:dyDescent="0.3">
      <c r="A365" s="299" t="str">
        <f>IF('ASIGNACIÓN ASIGNATURAS'!$AF365=1,'ASIGNACIÓN ASIGNATURAS'!$M365,"")</f>
        <v/>
      </c>
      <c r="B365" s="299" t="str">
        <f>IF('ASIGNACIÓN ASIGNATURAS'!$AF365=1,'ASIGNACIÓN ASIGNATURAS'!$O365,"")</f>
        <v/>
      </c>
      <c r="C365" s="299" t="str">
        <f>IF('ASIGNACIÓN ASIGNATURAS'!$AF365=1,'ASIGNACIÓN ASIGNATURAS'!$P365,"")</f>
        <v/>
      </c>
      <c r="D365" s="299" t="str">
        <f>IF('ASIGNACIÓN ASIGNATURAS'!$AF365=1,'ASIGNACIÓN ASIGNATURAS'!$S365,"")</f>
        <v/>
      </c>
      <c r="E365" s="299" t="str">
        <f>IF('ASIGNACIÓN ASIGNATURAS'!$AF365=1,'ASIGNACIÓN ASIGNATURAS'!$T365,"")</f>
        <v/>
      </c>
      <c r="F365" s="299" t="str">
        <f>IF('ASIGNACIÓN ASIGNATURAS'!$AF365=1,'ASIGNACIÓN ASIGNATURAS'!$U365,"")</f>
        <v/>
      </c>
      <c r="G365" s="300" t="str">
        <f>IF(B365='PLAN DE ESTUDIO'!$XFD$41,"",+E365+F365)</f>
        <v/>
      </c>
    </row>
    <row r="366" spans="1:7" x14ac:dyDescent="0.3">
      <c r="A366" s="299" t="str">
        <f>IF('ASIGNACIÓN ASIGNATURAS'!$AF366=1,'ASIGNACIÓN ASIGNATURAS'!$M366,"")</f>
        <v/>
      </c>
      <c r="B366" s="299" t="str">
        <f>IF('ASIGNACIÓN ASIGNATURAS'!$AF366=1,'ASIGNACIÓN ASIGNATURAS'!$O366,"")</f>
        <v/>
      </c>
      <c r="C366" s="299" t="str">
        <f>IF('ASIGNACIÓN ASIGNATURAS'!$AF366=1,'ASIGNACIÓN ASIGNATURAS'!$P366,"")</f>
        <v/>
      </c>
      <c r="D366" s="299" t="str">
        <f>IF('ASIGNACIÓN ASIGNATURAS'!$AF366=1,'ASIGNACIÓN ASIGNATURAS'!$S366,"")</f>
        <v/>
      </c>
      <c r="E366" s="299" t="str">
        <f>IF('ASIGNACIÓN ASIGNATURAS'!$AF366=1,'ASIGNACIÓN ASIGNATURAS'!$T366,"")</f>
        <v/>
      </c>
      <c r="F366" s="299" t="str">
        <f>IF('ASIGNACIÓN ASIGNATURAS'!$AF366=1,'ASIGNACIÓN ASIGNATURAS'!$U366,"")</f>
        <v/>
      </c>
      <c r="G366" s="300" t="str">
        <f>IF(B366='PLAN DE ESTUDIO'!$XFD$41,"",+E366+F366)</f>
        <v/>
      </c>
    </row>
    <row r="367" spans="1:7" x14ac:dyDescent="0.3">
      <c r="A367" s="299" t="str">
        <f>IF('ASIGNACIÓN ASIGNATURAS'!$AF367=1,'ASIGNACIÓN ASIGNATURAS'!$M367,"")</f>
        <v/>
      </c>
      <c r="B367" s="299" t="str">
        <f>IF('ASIGNACIÓN ASIGNATURAS'!$AF367=1,'ASIGNACIÓN ASIGNATURAS'!$O367,"")</f>
        <v/>
      </c>
      <c r="C367" s="299" t="str">
        <f>IF('ASIGNACIÓN ASIGNATURAS'!$AF367=1,'ASIGNACIÓN ASIGNATURAS'!$P367,"")</f>
        <v/>
      </c>
      <c r="D367" s="299" t="str">
        <f>IF('ASIGNACIÓN ASIGNATURAS'!$AF367=1,'ASIGNACIÓN ASIGNATURAS'!$S367,"")</f>
        <v/>
      </c>
      <c r="E367" s="299" t="str">
        <f>IF('ASIGNACIÓN ASIGNATURAS'!$AF367=1,'ASIGNACIÓN ASIGNATURAS'!$T367,"")</f>
        <v/>
      </c>
      <c r="F367" s="299" t="str">
        <f>IF('ASIGNACIÓN ASIGNATURAS'!$AF367=1,'ASIGNACIÓN ASIGNATURAS'!$U367,"")</f>
        <v/>
      </c>
      <c r="G367" s="300" t="str">
        <f>IF(B367='PLAN DE ESTUDIO'!$XFD$41,"",+E367+F367)</f>
        <v/>
      </c>
    </row>
    <row r="368" spans="1:7" x14ac:dyDescent="0.3">
      <c r="A368" s="299" t="str">
        <f>IF('ASIGNACIÓN ASIGNATURAS'!$AF368=1,'ASIGNACIÓN ASIGNATURAS'!$M368,"")</f>
        <v/>
      </c>
      <c r="B368" s="299" t="str">
        <f>IF('ASIGNACIÓN ASIGNATURAS'!$AF368=1,'ASIGNACIÓN ASIGNATURAS'!$O368,"")</f>
        <v/>
      </c>
      <c r="C368" s="299" t="str">
        <f>IF('ASIGNACIÓN ASIGNATURAS'!$AF368=1,'ASIGNACIÓN ASIGNATURAS'!$P368,"")</f>
        <v/>
      </c>
      <c r="D368" s="299" t="str">
        <f>IF('ASIGNACIÓN ASIGNATURAS'!$AF368=1,'ASIGNACIÓN ASIGNATURAS'!$S368,"")</f>
        <v/>
      </c>
      <c r="E368" s="299" t="str">
        <f>IF('ASIGNACIÓN ASIGNATURAS'!$AF368=1,'ASIGNACIÓN ASIGNATURAS'!$T368,"")</f>
        <v/>
      </c>
      <c r="F368" s="299" t="str">
        <f>IF('ASIGNACIÓN ASIGNATURAS'!$AF368=1,'ASIGNACIÓN ASIGNATURAS'!$U368,"")</f>
        <v/>
      </c>
      <c r="G368" s="300" t="str">
        <f>IF(B368='PLAN DE ESTUDIO'!$XFD$41,"",+E368+F368)</f>
        <v/>
      </c>
    </row>
    <row r="369" spans="1:7" x14ac:dyDescent="0.3">
      <c r="A369" s="299" t="str">
        <f>IF('ASIGNACIÓN ASIGNATURAS'!$AF369=1,'ASIGNACIÓN ASIGNATURAS'!$M369,"")</f>
        <v/>
      </c>
      <c r="B369" s="299" t="str">
        <f>IF('ASIGNACIÓN ASIGNATURAS'!$AF369=1,'ASIGNACIÓN ASIGNATURAS'!$O369,"")</f>
        <v/>
      </c>
      <c r="C369" s="299" t="str">
        <f>IF('ASIGNACIÓN ASIGNATURAS'!$AF369=1,'ASIGNACIÓN ASIGNATURAS'!$P369,"")</f>
        <v/>
      </c>
      <c r="D369" s="299" t="str">
        <f>IF('ASIGNACIÓN ASIGNATURAS'!$AF369=1,'ASIGNACIÓN ASIGNATURAS'!$S369,"")</f>
        <v/>
      </c>
      <c r="E369" s="299" t="str">
        <f>IF('ASIGNACIÓN ASIGNATURAS'!$AF369=1,'ASIGNACIÓN ASIGNATURAS'!$T369,"")</f>
        <v/>
      </c>
      <c r="F369" s="299" t="str">
        <f>IF('ASIGNACIÓN ASIGNATURAS'!$AF369=1,'ASIGNACIÓN ASIGNATURAS'!$U369,"")</f>
        <v/>
      </c>
      <c r="G369" s="300" t="str">
        <f>IF(B369='PLAN DE ESTUDIO'!$XFD$41,"",+E369+F369)</f>
        <v/>
      </c>
    </row>
    <row r="370" spans="1:7" x14ac:dyDescent="0.3">
      <c r="A370" s="299" t="str">
        <f>IF('ASIGNACIÓN ASIGNATURAS'!$AF370=1,'ASIGNACIÓN ASIGNATURAS'!$M370,"")</f>
        <v/>
      </c>
      <c r="B370" s="299" t="str">
        <f>IF('ASIGNACIÓN ASIGNATURAS'!$AF370=1,'ASIGNACIÓN ASIGNATURAS'!$O370,"")</f>
        <v/>
      </c>
      <c r="C370" s="299" t="str">
        <f>IF('ASIGNACIÓN ASIGNATURAS'!$AF370=1,'ASIGNACIÓN ASIGNATURAS'!$P370,"")</f>
        <v/>
      </c>
      <c r="D370" s="299" t="str">
        <f>IF('ASIGNACIÓN ASIGNATURAS'!$AF370=1,'ASIGNACIÓN ASIGNATURAS'!$S370,"")</f>
        <v/>
      </c>
      <c r="E370" s="299" t="str">
        <f>IF('ASIGNACIÓN ASIGNATURAS'!$AF370=1,'ASIGNACIÓN ASIGNATURAS'!$T370,"")</f>
        <v/>
      </c>
      <c r="F370" s="299" t="str">
        <f>IF('ASIGNACIÓN ASIGNATURAS'!$AF370=1,'ASIGNACIÓN ASIGNATURAS'!$U370,"")</f>
        <v/>
      </c>
      <c r="G370" s="300" t="str">
        <f>IF(B370='PLAN DE ESTUDIO'!$XFD$41,"",+E370+F370)</f>
        <v/>
      </c>
    </row>
    <row r="371" spans="1:7" x14ac:dyDescent="0.3">
      <c r="A371" s="299" t="str">
        <f>IF('ASIGNACIÓN ASIGNATURAS'!$AF371=1,'ASIGNACIÓN ASIGNATURAS'!$M371,"")</f>
        <v/>
      </c>
      <c r="B371" s="299" t="str">
        <f>IF('ASIGNACIÓN ASIGNATURAS'!$AF371=1,'ASIGNACIÓN ASIGNATURAS'!$O371,"")</f>
        <v/>
      </c>
      <c r="C371" s="299" t="str">
        <f>IF('ASIGNACIÓN ASIGNATURAS'!$AF371=1,'ASIGNACIÓN ASIGNATURAS'!$P371,"")</f>
        <v/>
      </c>
      <c r="D371" s="299" t="str">
        <f>IF('ASIGNACIÓN ASIGNATURAS'!$AF371=1,'ASIGNACIÓN ASIGNATURAS'!$S371,"")</f>
        <v/>
      </c>
      <c r="E371" s="299" t="str">
        <f>IF('ASIGNACIÓN ASIGNATURAS'!$AF371=1,'ASIGNACIÓN ASIGNATURAS'!$T371,"")</f>
        <v/>
      </c>
      <c r="F371" s="299" t="str">
        <f>IF('ASIGNACIÓN ASIGNATURAS'!$AF371=1,'ASIGNACIÓN ASIGNATURAS'!$U371,"")</f>
        <v/>
      </c>
      <c r="G371" s="300" t="str">
        <f>IF(B371='PLAN DE ESTUDIO'!$XFD$41,"",+E371+F371)</f>
        <v/>
      </c>
    </row>
    <row r="372" spans="1:7" x14ac:dyDescent="0.3">
      <c r="A372" s="299" t="str">
        <f>IF('ASIGNACIÓN ASIGNATURAS'!$AF372=1,'ASIGNACIÓN ASIGNATURAS'!$M372,"")</f>
        <v/>
      </c>
      <c r="B372" s="299" t="str">
        <f>IF('ASIGNACIÓN ASIGNATURAS'!$AF372=1,'ASIGNACIÓN ASIGNATURAS'!$O372,"")</f>
        <v/>
      </c>
      <c r="C372" s="299" t="str">
        <f>IF('ASIGNACIÓN ASIGNATURAS'!$AF372=1,'ASIGNACIÓN ASIGNATURAS'!$P372,"")</f>
        <v/>
      </c>
      <c r="D372" s="299" t="str">
        <f>IF('ASIGNACIÓN ASIGNATURAS'!$AF372=1,'ASIGNACIÓN ASIGNATURAS'!$S372,"")</f>
        <v/>
      </c>
      <c r="E372" s="299" t="str">
        <f>IF('ASIGNACIÓN ASIGNATURAS'!$AF372=1,'ASIGNACIÓN ASIGNATURAS'!$T372,"")</f>
        <v/>
      </c>
      <c r="F372" s="299" t="str">
        <f>IF('ASIGNACIÓN ASIGNATURAS'!$AF372=1,'ASIGNACIÓN ASIGNATURAS'!$U372,"")</f>
        <v/>
      </c>
      <c r="G372" s="300" t="str">
        <f>IF(B372='PLAN DE ESTUDIO'!$XFD$41,"",+E372+F372)</f>
        <v/>
      </c>
    </row>
    <row r="373" spans="1:7" x14ac:dyDescent="0.3">
      <c r="A373" s="299" t="str">
        <f>IF('ASIGNACIÓN ASIGNATURAS'!$AF373=1,'ASIGNACIÓN ASIGNATURAS'!$M373,"")</f>
        <v/>
      </c>
      <c r="B373" s="299" t="str">
        <f>IF('ASIGNACIÓN ASIGNATURAS'!$AF373=1,'ASIGNACIÓN ASIGNATURAS'!$O373,"")</f>
        <v/>
      </c>
      <c r="C373" s="299" t="str">
        <f>IF('ASIGNACIÓN ASIGNATURAS'!$AF373=1,'ASIGNACIÓN ASIGNATURAS'!$P373,"")</f>
        <v/>
      </c>
      <c r="D373" s="299" t="str">
        <f>IF('ASIGNACIÓN ASIGNATURAS'!$AF373=1,'ASIGNACIÓN ASIGNATURAS'!$S373,"")</f>
        <v/>
      </c>
      <c r="E373" s="299" t="str">
        <f>IF('ASIGNACIÓN ASIGNATURAS'!$AF373=1,'ASIGNACIÓN ASIGNATURAS'!$T373,"")</f>
        <v/>
      </c>
      <c r="F373" s="299" t="str">
        <f>IF('ASIGNACIÓN ASIGNATURAS'!$AF373=1,'ASIGNACIÓN ASIGNATURAS'!$U373,"")</f>
        <v/>
      </c>
      <c r="G373" s="300" t="str">
        <f>IF(B373='PLAN DE ESTUDIO'!$XFD$41,"",+E373+F373)</f>
        <v/>
      </c>
    </row>
    <row r="374" spans="1:7" x14ac:dyDescent="0.3">
      <c r="A374" s="299" t="str">
        <f>IF('ASIGNACIÓN ASIGNATURAS'!$AF374=1,'ASIGNACIÓN ASIGNATURAS'!$M374,"")</f>
        <v/>
      </c>
      <c r="B374" s="299" t="str">
        <f>IF('ASIGNACIÓN ASIGNATURAS'!$AF374=1,'ASIGNACIÓN ASIGNATURAS'!$O374,"")</f>
        <v/>
      </c>
      <c r="C374" s="299" t="str">
        <f>IF('ASIGNACIÓN ASIGNATURAS'!$AF374=1,'ASIGNACIÓN ASIGNATURAS'!$P374,"")</f>
        <v/>
      </c>
      <c r="D374" s="299" t="str">
        <f>IF('ASIGNACIÓN ASIGNATURAS'!$AF374=1,'ASIGNACIÓN ASIGNATURAS'!$S374,"")</f>
        <v/>
      </c>
      <c r="E374" s="299" t="str">
        <f>IF('ASIGNACIÓN ASIGNATURAS'!$AF374=1,'ASIGNACIÓN ASIGNATURAS'!$T374,"")</f>
        <v/>
      </c>
      <c r="F374" s="299" t="str">
        <f>IF('ASIGNACIÓN ASIGNATURAS'!$AF374=1,'ASIGNACIÓN ASIGNATURAS'!$U374,"")</f>
        <v/>
      </c>
      <c r="G374" s="300" t="str">
        <f>IF(B374='PLAN DE ESTUDIO'!$XFD$41,"",+E374+F374)</f>
        <v/>
      </c>
    </row>
    <row r="375" spans="1:7" x14ac:dyDescent="0.3">
      <c r="A375" s="299" t="str">
        <f>IF('ASIGNACIÓN ASIGNATURAS'!$AF375=1,'ASIGNACIÓN ASIGNATURAS'!$M375,"")</f>
        <v/>
      </c>
      <c r="B375" s="299" t="str">
        <f>IF('ASIGNACIÓN ASIGNATURAS'!$AF375=1,'ASIGNACIÓN ASIGNATURAS'!$O375,"")</f>
        <v/>
      </c>
      <c r="C375" s="299" t="str">
        <f>IF('ASIGNACIÓN ASIGNATURAS'!$AF375=1,'ASIGNACIÓN ASIGNATURAS'!$P375,"")</f>
        <v/>
      </c>
      <c r="D375" s="299" t="str">
        <f>IF('ASIGNACIÓN ASIGNATURAS'!$AF375=1,'ASIGNACIÓN ASIGNATURAS'!$S375,"")</f>
        <v/>
      </c>
      <c r="E375" s="299" t="str">
        <f>IF('ASIGNACIÓN ASIGNATURAS'!$AF375=1,'ASIGNACIÓN ASIGNATURAS'!$T375,"")</f>
        <v/>
      </c>
      <c r="F375" s="299" t="str">
        <f>IF('ASIGNACIÓN ASIGNATURAS'!$AF375=1,'ASIGNACIÓN ASIGNATURAS'!$U375,"")</f>
        <v/>
      </c>
      <c r="G375" s="300" t="str">
        <f>IF(B375='PLAN DE ESTUDIO'!$XFD$41,"",+E375+F375)</f>
        <v/>
      </c>
    </row>
    <row r="376" spans="1:7" x14ac:dyDescent="0.3">
      <c r="A376" s="299" t="str">
        <f>IF('ASIGNACIÓN ASIGNATURAS'!$AF376=1,'ASIGNACIÓN ASIGNATURAS'!$M376,"")</f>
        <v/>
      </c>
      <c r="B376" s="299" t="str">
        <f>IF('ASIGNACIÓN ASIGNATURAS'!$AF376=1,'ASIGNACIÓN ASIGNATURAS'!$O376,"")</f>
        <v/>
      </c>
      <c r="C376" s="299" t="str">
        <f>IF('ASIGNACIÓN ASIGNATURAS'!$AF376=1,'ASIGNACIÓN ASIGNATURAS'!$P376,"")</f>
        <v/>
      </c>
      <c r="D376" s="299" t="str">
        <f>IF('ASIGNACIÓN ASIGNATURAS'!$AF376=1,'ASIGNACIÓN ASIGNATURAS'!$S376,"")</f>
        <v/>
      </c>
      <c r="E376" s="299" t="str">
        <f>IF('ASIGNACIÓN ASIGNATURAS'!$AF376=1,'ASIGNACIÓN ASIGNATURAS'!$T376,"")</f>
        <v/>
      </c>
      <c r="F376" s="299" t="str">
        <f>IF('ASIGNACIÓN ASIGNATURAS'!$AF376=1,'ASIGNACIÓN ASIGNATURAS'!$U376,"")</f>
        <v/>
      </c>
      <c r="G376" s="300" t="str">
        <f>IF(B376='PLAN DE ESTUDIO'!$XFD$41,"",+E376+F376)</f>
        <v/>
      </c>
    </row>
    <row r="377" spans="1:7" x14ac:dyDescent="0.3">
      <c r="A377" s="299" t="str">
        <f>IF('ASIGNACIÓN ASIGNATURAS'!$AF377=1,'ASIGNACIÓN ASIGNATURAS'!$M377,"")</f>
        <v/>
      </c>
      <c r="B377" s="299" t="str">
        <f>IF('ASIGNACIÓN ASIGNATURAS'!$AF377=1,'ASIGNACIÓN ASIGNATURAS'!$O377,"")</f>
        <v/>
      </c>
      <c r="C377" s="299" t="str">
        <f>IF('ASIGNACIÓN ASIGNATURAS'!$AF377=1,'ASIGNACIÓN ASIGNATURAS'!$P377,"")</f>
        <v/>
      </c>
      <c r="D377" s="299" t="str">
        <f>IF('ASIGNACIÓN ASIGNATURAS'!$AF377=1,'ASIGNACIÓN ASIGNATURAS'!$S377,"")</f>
        <v/>
      </c>
      <c r="E377" s="299" t="str">
        <f>IF('ASIGNACIÓN ASIGNATURAS'!$AF377=1,'ASIGNACIÓN ASIGNATURAS'!$T377,"")</f>
        <v/>
      </c>
      <c r="F377" s="299" t="str">
        <f>IF('ASIGNACIÓN ASIGNATURAS'!$AF377=1,'ASIGNACIÓN ASIGNATURAS'!$U377,"")</f>
        <v/>
      </c>
      <c r="G377" s="300" t="str">
        <f>IF(B377='PLAN DE ESTUDIO'!$XFD$41,"",+E377+F377)</f>
        <v/>
      </c>
    </row>
    <row r="378" spans="1:7" x14ac:dyDescent="0.3">
      <c r="A378" s="299" t="str">
        <f>IF('ASIGNACIÓN ASIGNATURAS'!$AF378=1,'ASIGNACIÓN ASIGNATURAS'!$M378,"")</f>
        <v/>
      </c>
      <c r="B378" s="299" t="str">
        <f>IF('ASIGNACIÓN ASIGNATURAS'!$AF378=1,'ASIGNACIÓN ASIGNATURAS'!$O378,"")</f>
        <v/>
      </c>
      <c r="C378" s="299" t="str">
        <f>IF('ASIGNACIÓN ASIGNATURAS'!$AF378=1,'ASIGNACIÓN ASIGNATURAS'!$P378,"")</f>
        <v/>
      </c>
      <c r="D378" s="299" t="str">
        <f>IF('ASIGNACIÓN ASIGNATURAS'!$AF378=1,'ASIGNACIÓN ASIGNATURAS'!$S378,"")</f>
        <v/>
      </c>
      <c r="E378" s="299" t="str">
        <f>IF('ASIGNACIÓN ASIGNATURAS'!$AF378=1,'ASIGNACIÓN ASIGNATURAS'!$T378,"")</f>
        <v/>
      </c>
      <c r="F378" s="299" t="str">
        <f>IF('ASIGNACIÓN ASIGNATURAS'!$AF378=1,'ASIGNACIÓN ASIGNATURAS'!$U378,"")</f>
        <v/>
      </c>
      <c r="G378" s="300" t="str">
        <f>IF(B378='PLAN DE ESTUDIO'!$XFD$41,"",+E378+F378)</f>
        <v/>
      </c>
    </row>
    <row r="379" spans="1:7" x14ac:dyDescent="0.3">
      <c r="A379" s="299" t="str">
        <f>IF('ASIGNACIÓN ASIGNATURAS'!$AF379=1,'ASIGNACIÓN ASIGNATURAS'!$M379,"")</f>
        <v/>
      </c>
      <c r="B379" s="299" t="str">
        <f>IF('ASIGNACIÓN ASIGNATURAS'!$AF379=1,'ASIGNACIÓN ASIGNATURAS'!$O379,"")</f>
        <v/>
      </c>
      <c r="C379" s="299" t="str">
        <f>IF('ASIGNACIÓN ASIGNATURAS'!$AF379=1,'ASIGNACIÓN ASIGNATURAS'!$P379,"")</f>
        <v/>
      </c>
      <c r="D379" s="299" t="str">
        <f>IF('ASIGNACIÓN ASIGNATURAS'!$AF379=1,'ASIGNACIÓN ASIGNATURAS'!$S379,"")</f>
        <v/>
      </c>
      <c r="E379" s="299" t="str">
        <f>IF('ASIGNACIÓN ASIGNATURAS'!$AF379=1,'ASIGNACIÓN ASIGNATURAS'!$T379,"")</f>
        <v/>
      </c>
      <c r="F379" s="299" t="str">
        <f>IF('ASIGNACIÓN ASIGNATURAS'!$AF379=1,'ASIGNACIÓN ASIGNATURAS'!$U379,"")</f>
        <v/>
      </c>
      <c r="G379" s="300" t="str">
        <f>IF(B379='PLAN DE ESTUDIO'!$XFD$41,"",+E379+F379)</f>
        <v/>
      </c>
    </row>
    <row r="380" spans="1:7" x14ac:dyDescent="0.3">
      <c r="A380" s="299" t="str">
        <f>IF('ASIGNACIÓN ASIGNATURAS'!$AF380=1,'ASIGNACIÓN ASIGNATURAS'!$M380,"")</f>
        <v/>
      </c>
      <c r="B380" s="299" t="str">
        <f>IF('ASIGNACIÓN ASIGNATURAS'!$AF380=1,'ASIGNACIÓN ASIGNATURAS'!$O380,"")</f>
        <v/>
      </c>
      <c r="C380" s="299" t="str">
        <f>IF('ASIGNACIÓN ASIGNATURAS'!$AF380=1,'ASIGNACIÓN ASIGNATURAS'!$P380,"")</f>
        <v/>
      </c>
      <c r="D380" s="299" t="str">
        <f>IF('ASIGNACIÓN ASIGNATURAS'!$AF380=1,'ASIGNACIÓN ASIGNATURAS'!$S380,"")</f>
        <v/>
      </c>
      <c r="E380" s="299" t="str">
        <f>IF('ASIGNACIÓN ASIGNATURAS'!$AF380=1,'ASIGNACIÓN ASIGNATURAS'!$T380,"")</f>
        <v/>
      </c>
      <c r="F380" s="299" t="str">
        <f>IF('ASIGNACIÓN ASIGNATURAS'!$AF380=1,'ASIGNACIÓN ASIGNATURAS'!$U380,"")</f>
        <v/>
      </c>
      <c r="G380" s="300" t="str">
        <f>IF(B380='PLAN DE ESTUDIO'!$XFD$41,"",+E380+F380)</f>
        <v/>
      </c>
    </row>
    <row r="381" spans="1:7" x14ac:dyDescent="0.3">
      <c r="A381" s="299" t="str">
        <f>IF('ASIGNACIÓN ASIGNATURAS'!$AF381=1,'ASIGNACIÓN ASIGNATURAS'!$M381,"")</f>
        <v/>
      </c>
      <c r="B381" s="299" t="str">
        <f>IF('ASIGNACIÓN ASIGNATURAS'!$AF381=1,'ASIGNACIÓN ASIGNATURAS'!$O381,"")</f>
        <v/>
      </c>
      <c r="C381" s="299" t="str">
        <f>IF('ASIGNACIÓN ASIGNATURAS'!$AF381=1,'ASIGNACIÓN ASIGNATURAS'!$P381,"")</f>
        <v/>
      </c>
      <c r="D381" s="299" t="str">
        <f>IF('ASIGNACIÓN ASIGNATURAS'!$AF381=1,'ASIGNACIÓN ASIGNATURAS'!$S381,"")</f>
        <v/>
      </c>
      <c r="E381" s="299" t="str">
        <f>IF('ASIGNACIÓN ASIGNATURAS'!$AF381=1,'ASIGNACIÓN ASIGNATURAS'!$T381,"")</f>
        <v/>
      </c>
      <c r="F381" s="299" t="str">
        <f>IF('ASIGNACIÓN ASIGNATURAS'!$AF381=1,'ASIGNACIÓN ASIGNATURAS'!$U381,"")</f>
        <v/>
      </c>
      <c r="G381" s="300" t="str">
        <f>IF(B381='PLAN DE ESTUDIO'!$XFD$41,"",+E381+F381)</f>
        <v/>
      </c>
    </row>
    <row r="382" spans="1:7" x14ac:dyDescent="0.3">
      <c r="A382" s="299" t="str">
        <f>IF('ASIGNACIÓN ASIGNATURAS'!$AF382=1,'ASIGNACIÓN ASIGNATURAS'!$M382,"")</f>
        <v/>
      </c>
      <c r="B382" s="299" t="str">
        <f>IF('ASIGNACIÓN ASIGNATURAS'!$AF382=1,'ASIGNACIÓN ASIGNATURAS'!$O382,"")</f>
        <v/>
      </c>
      <c r="C382" s="299" t="str">
        <f>IF('ASIGNACIÓN ASIGNATURAS'!$AF382=1,'ASIGNACIÓN ASIGNATURAS'!$P382,"")</f>
        <v/>
      </c>
      <c r="D382" s="299" t="str">
        <f>IF('ASIGNACIÓN ASIGNATURAS'!$AF382=1,'ASIGNACIÓN ASIGNATURAS'!$S382,"")</f>
        <v/>
      </c>
      <c r="E382" s="299" t="str">
        <f>IF('ASIGNACIÓN ASIGNATURAS'!$AF382=1,'ASIGNACIÓN ASIGNATURAS'!$T382,"")</f>
        <v/>
      </c>
      <c r="F382" s="299" t="str">
        <f>IF('ASIGNACIÓN ASIGNATURAS'!$AF382=1,'ASIGNACIÓN ASIGNATURAS'!$U382,"")</f>
        <v/>
      </c>
      <c r="G382" s="300" t="str">
        <f>IF(B382='PLAN DE ESTUDIO'!$XFD$41,"",+E382+F382)</f>
        <v/>
      </c>
    </row>
    <row r="383" spans="1:7" x14ac:dyDescent="0.3">
      <c r="A383" s="299" t="str">
        <f>IF('ASIGNACIÓN ASIGNATURAS'!$AF383=1,'ASIGNACIÓN ASIGNATURAS'!$M383,"")</f>
        <v/>
      </c>
      <c r="B383" s="299" t="str">
        <f>IF('ASIGNACIÓN ASIGNATURAS'!$AF383=1,'ASIGNACIÓN ASIGNATURAS'!$O383,"")</f>
        <v/>
      </c>
      <c r="C383" s="299" t="str">
        <f>IF('ASIGNACIÓN ASIGNATURAS'!$AF383=1,'ASIGNACIÓN ASIGNATURAS'!$P383,"")</f>
        <v/>
      </c>
      <c r="D383" s="299" t="str">
        <f>IF('ASIGNACIÓN ASIGNATURAS'!$AF383=1,'ASIGNACIÓN ASIGNATURAS'!$S383,"")</f>
        <v/>
      </c>
      <c r="E383" s="299" t="str">
        <f>IF('ASIGNACIÓN ASIGNATURAS'!$AF383=1,'ASIGNACIÓN ASIGNATURAS'!$T383,"")</f>
        <v/>
      </c>
      <c r="F383" s="299" t="str">
        <f>IF('ASIGNACIÓN ASIGNATURAS'!$AF383=1,'ASIGNACIÓN ASIGNATURAS'!$U383,"")</f>
        <v/>
      </c>
      <c r="G383" s="300" t="str">
        <f>IF(B383='PLAN DE ESTUDIO'!$XFD$41,"",+E383+F383)</f>
        <v/>
      </c>
    </row>
    <row r="384" spans="1:7" x14ac:dyDescent="0.3">
      <c r="A384" s="299" t="str">
        <f>IF('ASIGNACIÓN ASIGNATURAS'!$AF384=1,'ASIGNACIÓN ASIGNATURAS'!$M384,"")</f>
        <v/>
      </c>
      <c r="B384" s="299" t="str">
        <f>IF('ASIGNACIÓN ASIGNATURAS'!$AF384=1,'ASIGNACIÓN ASIGNATURAS'!$O384,"")</f>
        <v/>
      </c>
      <c r="C384" s="299" t="str">
        <f>IF('ASIGNACIÓN ASIGNATURAS'!$AF384=1,'ASIGNACIÓN ASIGNATURAS'!$P384,"")</f>
        <v/>
      </c>
      <c r="D384" s="299" t="str">
        <f>IF('ASIGNACIÓN ASIGNATURAS'!$AF384=1,'ASIGNACIÓN ASIGNATURAS'!$S384,"")</f>
        <v/>
      </c>
      <c r="E384" s="299" t="str">
        <f>IF('ASIGNACIÓN ASIGNATURAS'!$AF384=1,'ASIGNACIÓN ASIGNATURAS'!$T384,"")</f>
        <v/>
      </c>
      <c r="F384" s="299" t="str">
        <f>IF('ASIGNACIÓN ASIGNATURAS'!$AF384=1,'ASIGNACIÓN ASIGNATURAS'!$U384,"")</f>
        <v/>
      </c>
      <c r="G384" s="300" t="str">
        <f>IF(B384='PLAN DE ESTUDIO'!$XFD$41,"",+E384+F384)</f>
        <v/>
      </c>
    </row>
    <row r="385" spans="1:7" x14ac:dyDescent="0.3">
      <c r="A385" s="299" t="str">
        <f>IF('ASIGNACIÓN ASIGNATURAS'!$AF385=1,'ASIGNACIÓN ASIGNATURAS'!$M385,"")</f>
        <v/>
      </c>
      <c r="B385" s="299" t="str">
        <f>IF('ASIGNACIÓN ASIGNATURAS'!$AF385=1,'ASIGNACIÓN ASIGNATURAS'!$O385,"")</f>
        <v/>
      </c>
      <c r="C385" s="299" t="str">
        <f>IF('ASIGNACIÓN ASIGNATURAS'!$AF385=1,'ASIGNACIÓN ASIGNATURAS'!$P385,"")</f>
        <v/>
      </c>
      <c r="D385" s="299" t="str">
        <f>IF('ASIGNACIÓN ASIGNATURAS'!$AF385=1,'ASIGNACIÓN ASIGNATURAS'!$S385,"")</f>
        <v/>
      </c>
      <c r="E385" s="299" t="str">
        <f>IF('ASIGNACIÓN ASIGNATURAS'!$AF385=1,'ASIGNACIÓN ASIGNATURAS'!$T385,"")</f>
        <v/>
      </c>
      <c r="F385" s="299" t="str">
        <f>IF('ASIGNACIÓN ASIGNATURAS'!$AF385=1,'ASIGNACIÓN ASIGNATURAS'!$U385,"")</f>
        <v/>
      </c>
      <c r="G385" s="300" t="str">
        <f>IF(B385='PLAN DE ESTUDIO'!$XFD$41,"",+E385+F385)</f>
        <v/>
      </c>
    </row>
    <row r="386" spans="1:7" x14ac:dyDescent="0.3">
      <c r="A386" s="299" t="str">
        <f>IF('ASIGNACIÓN ASIGNATURAS'!$AF386=1,'ASIGNACIÓN ASIGNATURAS'!$M386,"")</f>
        <v/>
      </c>
      <c r="B386" s="299" t="str">
        <f>IF('ASIGNACIÓN ASIGNATURAS'!$AF386=1,'ASIGNACIÓN ASIGNATURAS'!$O386,"")</f>
        <v/>
      </c>
      <c r="C386" s="299" t="str">
        <f>IF('ASIGNACIÓN ASIGNATURAS'!$AF386=1,'ASIGNACIÓN ASIGNATURAS'!$P386,"")</f>
        <v/>
      </c>
      <c r="D386" s="299" t="str">
        <f>IF('ASIGNACIÓN ASIGNATURAS'!$AF386=1,'ASIGNACIÓN ASIGNATURAS'!$S386,"")</f>
        <v/>
      </c>
      <c r="E386" s="299" t="str">
        <f>IF('ASIGNACIÓN ASIGNATURAS'!$AF386=1,'ASIGNACIÓN ASIGNATURAS'!$T386,"")</f>
        <v/>
      </c>
      <c r="F386" s="299" t="str">
        <f>IF('ASIGNACIÓN ASIGNATURAS'!$AF386=1,'ASIGNACIÓN ASIGNATURAS'!$U386,"")</f>
        <v/>
      </c>
      <c r="G386" s="300" t="str">
        <f>IF(B386='PLAN DE ESTUDIO'!$XFD$41,"",+E386+F386)</f>
        <v/>
      </c>
    </row>
    <row r="387" spans="1:7" x14ac:dyDescent="0.3">
      <c r="A387" s="299" t="str">
        <f>IF('ASIGNACIÓN ASIGNATURAS'!$AF387=1,'ASIGNACIÓN ASIGNATURAS'!$M387,"")</f>
        <v/>
      </c>
      <c r="B387" s="299" t="str">
        <f>IF('ASIGNACIÓN ASIGNATURAS'!$AF387=1,'ASIGNACIÓN ASIGNATURAS'!$O387,"")</f>
        <v/>
      </c>
      <c r="C387" s="299" t="str">
        <f>IF('ASIGNACIÓN ASIGNATURAS'!$AF387=1,'ASIGNACIÓN ASIGNATURAS'!$P387,"")</f>
        <v/>
      </c>
      <c r="D387" s="299" t="str">
        <f>IF('ASIGNACIÓN ASIGNATURAS'!$AF387=1,'ASIGNACIÓN ASIGNATURAS'!$S387,"")</f>
        <v/>
      </c>
      <c r="E387" s="299" t="str">
        <f>IF('ASIGNACIÓN ASIGNATURAS'!$AF387=1,'ASIGNACIÓN ASIGNATURAS'!$T387,"")</f>
        <v/>
      </c>
      <c r="F387" s="299" t="str">
        <f>IF('ASIGNACIÓN ASIGNATURAS'!$AF387=1,'ASIGNACIÓN ASIGNATURAS'!$U387,"")</f>
        <v/>
      </c>
      <c r="G387" s="300" t="str">
        <f>IF(B387='PLAN DE ESTUDIO'!$XFD$41,"",+E387+F387)</f>
        <v/>
      </c>
    </row>
    <row r="388" spans="1:7" x14ac:dyDescent="0.3">
      <c r="A388" s="299" t="str">
        <f>IF('ASIGNACIÓN ASIGNATURAS'!$AF388=1,'ASIGNACIÓN ASIGNATURAS'!$M388,"")</f>
        <v/>
      </c>
      <c r="B388" s="299" t="str">
        <f>IF('ASIGNACIÓN ASIGNATURAS'!$AF388=1,'ASIGNACIÓN ASIGNATURAS'!$O388,"")</f>
        <v/>
      </c>
      <c r="C388" s="299" t="str">
        <f>IF('ASIGNACIÓN ASIGNATURAS'!$AF388=1,'ASIGNACIÓN ASIGNATURAS'!$P388,"")</f>
        <v/>
      </c>
      <c r="D388" s="299" t="str">
        <f>IF('ASIGNACIÓN ASIGNATURAS'!$AF388=1,'ASIGNACIÓN ASIGNATURAS'!$S388,"")</f>
        <v/>
      </c>
      <c r="E388" s="299" t="str">
        <f>IF('ASIGNACIÓN ASIGNATURAS'!$AF388=1,'ASIGNACIÓN ASIGNATURAS'!$T388,"")</f>
        <v/>
      </c>
      <c r="F388" s="299" t="str">
        <f>IF('ASIGNACIÓN ASIGNATURAS'!$AF388=1,'ASIGNACIÓN ASIGNATURAS'!$U388,"")</f>
        <v/>
      </c>
      <c r="G388" s="300" t="str">
        <f>IF(B388='PLAN DE ESTUDIO'!$XFD$41,"",+E388+F388)</f>
        <v/>
      </c>
    </row>
    <row r="389" spans="1:7" x14ac:dyDescent="0.3">
      <c r="A389" s="299" t="str">
        <f>IF('ASIGNACIÓN ASIGNATURAS'!$AF389=1,'ASIGNACIÓN ASIGNATURAS'!$M389,"")</f>
        <v/>
      </c>
      <c r="B389" s="299" t="str">
        <f>IF('ASIGNACIÓN ASIGNATURAS'!$AF389=1,'ASIGNACIÓN ASIGNATURAS'!$O389,"")</f>
        <v/>
      </c>
      <c r="C389" s="299" t="str">
        <f>IF('ASIGNACIÓN ASIGNATURAS'!$AF389=1,'ASIGNACIÓN ASIGNATURAS'!$P389,"")</f>
        <v/>
      </c>
      <c r="D389" s="299" t="str">
        <f>IF('ASIGNACIÓN ASIGNATURAS'!$AF389=1,'ASIGNACIÓN ASIGNATURAS'!$S389,"")</f>
        <v/>
      </c>
      <c r="E389" s="299" t="str">
        <f>IF('ASIGNACIÓN ASIGNATURAS'!$AF389=1,'ASIGNACIÓN ASIGNATURAS'!$T389,"")</f>
        <v/>
      </c>
      <c r="F389" s="299" t="str">
        <f>IF('ASIGNACIÓN ASIGNATURAS'!$AF389=1,'ASIGNACIÓN ASIGNATURAS'!$U389,"")</f>
        <v/>
      </c>
      <c r="G389" s="300" t="str">
        <f>IF(B389='PLAN DE ESTUDIO'!$XFD$41,"",+E389+F389)</f>
        <v/>
      </c>
    </row>
    <row r="390" spans="1:7" x14ac:dyDescent="0.3">
      <c r="A390" s="299" t="str">
        <f>IF('ASIGNACIÓN ASIGNATURAS'!$AF390=1,'ASIGNACIÓN ASIGNATURAS'!$M390,"")</f>
        <v/>
      </c>
      <c r="B390" s="299" t="str">
        <f>IF('ASIGNACIÓN ASIGNATURAS'!$AF390=1,'ASIGNACIÓN ASIGNATURAS'!$O390,"")</f>
        <v/>
      </c>
      <c r="C390" s="299" t="str">
        <f>IF('ASIGNACIÓN ASIGNATURAS'!$AF390=1,'ASIGNACIÓN ASIGNATURAS'!$P390,"")</f>
        <v/>
      </c>
      <c r="D390" s="299" t="str">
        <f>IF('ASIGNACIÓN ASIGNATURAS'!$AF390=1,'ASIGNACIÓN ASIGNATURAS'!$S390,"")</f>
        <v/>
      </c>
      <c r="E390" s="299" t="str">
        <f>IF('ASIGNACIÓN ASIGNATURAS'!$AF390=1,'ASIGNACIÓN ASIGNATURAS'!$T390,"")</f>
        <v/>
      </c>
      <c r="F390" s="299" t="str">
        <f>IF('ASIGNACIÓN ASIGNATURAS'!$AF390=1,'ASIGNACIÓN ASIGNATURAS'!$U390,"")</f>
        <v/>
      </c>
      <c r="G390" s="300" t="str">
        <f>IF(B390='PLAN DE ESTUDIO'!$XFD$41,"",+E390+F390)</f>
        <v/>
      </c>
    </row>
    <row r="391" spans="1:7" x14ac:dyDescent="0.3">
      <c r="A391" s="299" t="str">
        <f>IF('ASIGNACIÓN ASIGNATURAS'!$AF391=1,'ASIGNACIÓN ASIGNATURAS'!$M391,"")</f>
        <v/>
      </c>
      <c r="B391" s="299" t="str">
        <f>IF('ASIGNACIÓN ASIGNATURAS'!$AF391=1,'ASIGNACIÓN ASIGNATURAS'!$O391,"")</f>
        <v/>
      </c>
      <c r="C391" s="299" t="str">
        <f>IF('ASIGNACIÓN ASIGNATURAS'!$AF391=1,'ASIGNACIÓN ASIGNATURAS'!$P391,"")</f>
        <v/>
      </c>
      <c r="D391" s="299" t="str">
        <f>IF('ASIGNACIÓN ASIGNATURAS'!$AF391=1,'ASIGNACIÓN ASIGNATURAS'!$S391,"")</f>
        <v/>
      </c>
      <c r="E391" s="299" t="str">
        <f>IF('ASIGNACIÓN ASIGNATURAS'!$AF391=1,'ASIGNACIÓN ASIGNATURAS'!$T391,"")</f>
        <v/>
      </c>
      <c r="F391" s="299" t="str">
        <f>IF('ASIGNACIÓN ASIGNATURAS'!$AF391=1,'ASIGNACIÓN ASIGNATURAS'!$U391,"")</f>
        <v/>
      </c>
      <c r="G391" s="300" t="str">
        <f>IF(B391='PLAN DE ESTUDIO'!$XFD$41,"",+E391+F391)</f>
        <v/>
      </c>
    </row>
    <row r="392" spans="1:7" x14ac:dyDescent="0.3">
      <c r="A392" s="299" t="str">
        <f>IF('ASIGNACIÓN ASIGNATURAS'!$AF392=1,'ASIGNACIÓN ASIGNATURAS'!$M392,"")</f>
        <v/>
      </c>
      <c r="B392" s="299" t="str">
        <f>IF('ASIGNACIÓN ASIGNATURAS'!$AF392=1,'ASIGNACIÓN ASIGNATURAS'!$O392,"")</f>
        <v/>
      </c>
      <c r="C392" s="299" t="str">
        <f>IF('ASIGNACIÓN ASIGNATURAS'!$AF392=1,'ASIGNACIÓN ASIGNATURAS'!$P392,"")</f>
        <v/>
      </c>
      <c r="D392" s="299" t="str">
        <f>IF('ASIGNACIÓN ASIGNATURAS'!$AF392=1,'ASIGNACIÓN ASIGNATURAS'!$S392,"")</f>
        <v/>
      </c>
      <c r="E392" s="299" t="str">
        <f>IF('ASIGNACIÓN ASIGNATURAS'!$AF392=1,'ASIGNACIÓN ASIGNATURAS'!$T392,"")</f>
        <v/>
      </c>
      <c r="F392" s="299" t="str">
        <f>IF('ASIGNACIÓN ASIGNATURAS'!$AF392=1,'ASIGNACIÓN ASIGNATURAS'!$U392,"")</f>
        <v/>
      </c>
      <c r="G392" s="300" t="str">
        <f>IF(B392='PLAN DE ESTUDIO'!$XFD$41,"",+E392+F392)</f>
        <v/>
      </c>
    </row>
    <row r="393" spans="1:7" x14ac:dyDescent="0.3">
      <c r="A393" s="299" t="str">
        <f>IF('ASIGNACIÓN ASIGNATURAS'!$AF393=1,'ASIGNACIÓN ASIGNATURAS'!$M393,"")</f>
        <v/>
      </c>
      <c r="B393" s="299" t="str">
        <f>IF('ASIGNACIÓN ASIGNATURAS'!$AF393=1,'ASIGNACIÓN ASIGNATURAS'!$O393,"")</f>
        <v/>
      </c>
      <c r="C393" s="299" t="str">
        <f>IF('ASIGNACIÓN ASIGNATURAS'!$AF393=1,'ASIGNACIÓN ASIGNATURAS'!$P393,"")</f>
        <v/>
      </c>
      <c r="D393" s="299" t="str">
        <f>IF('ASIGNACIÓN ASIGNATURAS'!$AF393=1,'ASIGNACIÓN ASIGNATURAS'!$S393,"")</f>
        <v/>
      </c>
      <c r="E393" s="299" t="str">
        <f>IF('ASIGNACIÓN ASIGNATURAS'!$AF393=1,'ASIGNACIÓN ASIGNATURAS'!$T393,"")</f>
        <v/>
      </c>
      <c r="F393" s="299" t="str">
        <f>IF('ASIGNACIÓN ASIGNATURAS'!$AF393=1,'ASIGNACIÓN ASIGNATURAS'!$U393,"")</f>
        <v/>
      </c>
      <c r="G393" s="300" t="str">
        <f>IF(B393='PLAN DE ESTUDIO'!$XFD$41,"",+E393+F393)</f>
        <v/>
      </c>
    </row>
    <row r="394" spans="1:7" x14ac:dyDescent="0.3">
      <c r="A394" s="299" t="str">
        <f>IF('ASIGNACIÓN ASIGNATURAS'!$AF394=1,'ASIGNACIÓN ASIGNATURAS'!$M394,"")</f>
        <v/>
      </c>
      <c r="B394" s="299" t="str">
        <f>IF('ASIGNACIÓN ASIGNATURAS'!$AF394=1,'ASIGNACIÓN ASIGNATURAS'!$O394,"")</f>
        <v/>
      </c>
      <c r="C394" s="299" t="str">
        <f>IF('ASIGNACIÓN ASIGNATURAS'!$AF394=1,'ASIGNACIÓN ASIGNATURAS'!$P394,"")</f>
        <v/>
      </c>
      <c r="D394" s="299" t="str">
        <f>IF('ASIGNACIÓN ASIGNATURAS'!$AF394=1,'ASIGNACIÓN ASIGNATURAS'!$S394,"")</f>
        <v/>
      </c>
      <c r="E394" s="299" t="str">
        <f>IF('ASIGNACIÓN ASIGNATURAS'!$AF394=1,'ASIGNACIÓN ASIGNATURAS'!$T394,"")</f>
        <v/>
      </c>
      <c r="F394" s="299" t="str">
        <f>IF('ASIGNACIÓN ASIGNATURAS'!$AF394=1,'ASIGNACIÓN ASIGNATURAS'!$U394,"")</f>
        <v/>
      </c>
      <c r="G394" s="300" t="str">
        <f>IF(B394='PLAN DE ESTUDIO'!$XFD$41,"",+E394+F394)</f>
        <v/>
      </c>
    </row>
    <row r="395" spans="1:7" x14ac:dyDescent="0.3">
      <c r="A395" s="299" t="str">
        <f>IF('ASIGNACIÓN ASIGNATURAS'!$AF395=1,'ASIGNACIÓN ASIGNATURAS'!$M395,"")</f>
        <v/>
      </c>
      <c r="B395" s="299" t="str">
        <f>IF('ASIGNACIÓN ASIGNATURAS'!$AF395=1,'ASIGNACIÓN ASIGNATURAS'!$O395,"")</f>
        <v/>
      </c>
      <c r="C395" s="299" t="str">
        <f>IF('ASIGNACIÓN ASIGNATURAS'!$AF395=1,'ASIGNACIÓN ASIGNATURAS'!$P395,"")</f>
        <v/>
      </c>
      <c r="D395" s="299" t="str">
        <f>IF('ASIGNACIÓN ASIGNATURAS'!$AF395=1,'ASIGNACIÓN ASIGNATURAS'!$S395,"")</f>
        <v/>
      </c>
      <c r="E395" s="299" t="str">
        <f>IF('ASIGNACIÓN ASIGNATURAS'!$AF395=1,'ASIGNACIÓN ASIGNATURAS'!$T395,"")</f>
        <v/>
      </c>
      <c r="F395" s="299" t="str">
        <f>IF('ASIGNACIÓN ASIGNATURAS'!$AF395=1,'ASIGNACIÓN ASIGNATURAS'!$U395,"")</f>
        <v/>
      </c>
      <c r="G395" s="300" t="str">
        <f>IF(B395='PLAN DE ESTUDIO'!$XFD$41,"",+E395+F395)</f>
        <v/>
      </c>
    </row>
    <row r="396" spans="1:7" x14ac:dyDescent="0.3">
      <c r="A396" s="299" t="str">
        <f>IF('ASIGNACIÓN ASIGNATURAS'!$AF396=1,'ASIGNACIÓN ASIGNATURAS'!$M396,"")</f>
        <v/>
      </c>
      <c r="B396" s="299" t="str">
        <f>IF('ASIGNACIÓN ASIGNATURAS'!$AF396=1,'ASIGNACIÓN ASIGNATURAS'!$O396,"")</f>
        <v/>
      </c>
      <c r="C396" s="299" t="str">
        <f>IF('ASIGNACIÓN ASIGNATURAS'!$AF396=1,'ASIGNACIÓN ASIGNATURAS'!$P396,"")</f>
        <v/>
      </c>
      <c r="D396" s="299" t="str">
        <f>IF('ASIGNACIÓN ASIGNATURAS'!$AF396=1,'ASIGNACIÓN ASIGNATURAS'!$S396,"")</f>
        <v/>
      </c>
      <c r="E396" s="299" t="str">
        <f>IF('ASIGNACIÓN ASIGNATURAS'!$AF396=1,'ASIGNACIÓN ASIGNATURAS'!$T396,"")</f>
        <v/>
      </c>
      <c r="F396" s="299" t="str">
        <f>IF('ASIGNACIÓN ASIGNATURAS'!$AF396=1,'ASIGNACIÓN ASIGNATURAS'!$U396,"")</f>
        <v/>
      </c>
      <c r="G396" s="300" t="str">
        <f>IF(B396='PLAN DE ESTUDIO'!$XFD$41,"",+E396+F396)</f>
        <v/>
      </c>
    </row>
    <row r="397" spans="1:7" x14ac:dyDescent="0.3">
      <c r="A397" s="299" t="str">
        <f>IF('ASIGNACIÓN ASIGNATURAS'!$AF397=1,'ASIGNACIÓN ASIGNATURAS'!$M397,"")</f>
        <v/>
      </c>
      <c r="B397" s="299" t="str">
        <f>IF('ASIGNACIÓN ASIGNATURAS'!$AF397=1,'ASIGNACIÓN ASIGNATURAS'!$O397,"")</f>
        <v/>
      </c>
      <c r="C397" s="299" t="str">
        <f>IF('ASIGNACIÓN ASIGNATURAS'!$AF397=1,'ASIGNACIÓN ASIGNATURAS'!$P397,"")</f>
        <v/>
      </c>
      <c r="D397" s="299" t="str">
        <f>IF('ASIGNACIÓN ASIGNATURAS'!$AF397=1,'ASIGNACIÓN ASIGNATURAS'!$S397,"")</f>
        <v/>
      </c>
      <c r="E397" s="299" t="str">
        <f>IF('ASIGNACIÓN ASIGNATURAS'!$AF397=1,'ASIGNACIÓN ASIGNATURAS'!$T397,"")</f>
        <v/>
      </c>
      <c r="F397" s="299" t="str">
        <f>IF('ASIGNACIÓN ASIGNATURAS'!$AF397=1,'ASIGNACIÓN ASIGNATURAS'!$U397,"")</f>
        <v/>
      </c>
      <c r="G397" s="300" t="str">
        <f>IF(B397='PLAN DE ESTUDIO'!$XFD$41,"",+E397+F397)</f>
        <v/>
      </c>
    </row>
    <row r="398" spans="1:7" x14ac:dyDescent="0.3">
      <c r="A398" s="299" t="str">
        <f>IF('ASIGNACIÓN ASIGNATURAS'!$AF398=1,'ASIGNACIÓN ASIGNATURAS'!$M398,"")</f>
        <v/>
      </c>
      <c r="B398" s="299" t="str">
        <f>IF('ASIGNACIÓN ASIGNATURAS'!$AF398=1,'ASIGNACIÓN ASIGNATURAS'!$O398,"")</f>
        <v/>
      </c>
      <c r="C398" s="299" t="str">
        <f>IF('ASIGNACIÓN ASIGNATURAS'!$AF398=1,'ASIGNACIÓN ASIGNATURAS'!$P398,"")</f>
        <v/>
      </c>
      <c r="D398" s="299" t="str">
        <f>IF('ASIGNACIÓN ASIGNATURAS'!$AF398=1,'ASIGNACIÓN ASIGNATURAS'!$S398,"")</f>
        <v/>
      </c>
      <c r="E398" s="299" t="str">
        <f>IF('ASIGNACIÓN ASIGNATURAS'!$AF398=1,'ASIGNACIÓN ASIGNATURAS'!$T398,"")</f>
        <v/>
      </c>
      <c r="F398" s="299" t="str">
        <f>IF('ASIGNACIÓN ASIGNATURAS'!$AF398=1,'ASIGNACIÓN ASIGNATURAS'!$U398,"")</f>
        <v/>
      </c>
      <c r="G398" s="300" t="str">
        <f>IF(B398='PLAN DE ESTUDIO'!$XFD$41,"",+E398+F398)</f>
        <v/>
      </c>
    </row>
    <row r="399" spans="1:7" x14ac:dyDescent="0.3">
      <c r="A399" s="299" t="str">
        <f>IF('ASIGNACIÓN ASIGNATURAS'!$AF399=1,'ASIGNACIÓN ASIGNATURAS'!$M399,"")</f>
        <v/>
      </c>
      <c r="B399" s="299" t="str">
        <f>IF('ASIGNACIÓN ASIGNATURAS'!$AF399=1,'ASIGNACIÓN ASIGNATURAS'!$O399,"")</f>
        <v/>
      </c>
      <c r="C399" s="299" t="str">
        <f>IF('ASIGNACIÓN ASIGNATURAS'!$AF399=1,'ASIGNACIÓN ASIGNATURAS'!$P399,"")</f>
        <v/>
      </c>
      <c r="D399" s="299" t="str">
        <f>IF('ASIGNACIÓN ASIGNATURAS'!$AF399=1,'ASIGNACIÓN ASIGNATURAS'!$S399,"")</f>
        <v/>
      </c>
      <c r="E399" s="299" t="str">
        <f>IF('ASIGNACIÓN ASIGNATURAS'!$AF399=1,'ASIGNACIÓN ASIGNATURAS'!$T399,"")</f>
        <v/>
      </c>
      <c r="F399" s="299" t="str">
        <f>IF('ASIGNACIÓN ASIGNATURAS'!$AF399=1,'ASIGNACIÓN ASIGNATURAS'!$U399,"")</f>
        <v/>
      </c>
      <c r="G399" s="300" t="str">
        <f>IF(B399='PLAN DE ESTUDIO'!$XFD$41,"",+E399+F399)</f>
        <v/>
      </c>
    </row>
    <row r="400" spans="1:7" x14ac:dyDescent="0.3">
      <c r="A400" s="299" t="str">
        <f>IF('ASIGNACIÓN ASIGNATURAS'!$AF400=1,'ASIGNACIÓN ASIGNATURAS'!$M400,"")</f>
        <v/>
      </c>
      <c r="B400" s="299" t="str">
        <f>IF('ASIGNACIÓN ASIGNATURAS'!$AF400=1,'ASIGNACIÓN ASIGNATURAS'!$O400,"")</f>
        <v/>
      </c>
      <c r="C400" s="299" t="str">
        <f>IF('ASIGNACIÓN ASIGNATURAS'!$AF400=1,'ASIGNACIÓN ASIGNATURAS'!$P400,"")</f>
        <v/>
      </c>
      <c r="D400" s="299" t="str">
        <f>IF('ASIGNACIÓN ASIGNATURAS'!$AF400=1,'ASIGNACIÓN ASIGNATURAS'!$S400,"")</f>
        <v/>
      </c>
      <c r="E400" s="299" t="str">
        <f>IF('ASIGNACIÓN ASIGNATURAS'!$AF400=1,'ASIGNACIÓN ASIGNATURAS'!$T400,"")</f>
        <v/>
      </c>
      <c r="F400" s="299" t="str">
        <f>IF('ASIGNACIÓN ASIGNATURAS'!$AF400=1,'ASIGNACIÓN ASIGNATURAS'!$U400,"")</f>
        <v/>
      </c>
      <c r="G400" s="300" t="str">
        <f>IF(B400='PLAN DE ESTUDIO'!$XFD$41,"",+E400+F400)</f>
        <v/>
      </c>
    </row>
    <row r="401" spans="1:7" x14ac:dyDescent="0.3">
      <c r="A401" s="299" t="str">
        <f>IF('ASIGNACIÓN ASIGNATURAS'!$AF401=1,'ASIGNACIÓN ASIGNATURAS'!$M401,"")</f>
        <v/>
      </c>
      <c r="B401" s="299" t="str">
        <f>IF('ASIGNACIÓN ASIGNATURAS'!$AF401=1,'ASIGNACIÓN ASIGNATURAS'!$O401,"")</f>
        <v/>
      </c>
      <c r="C401" s="299" t="str">
        <f>IF('ASIGNACIÓN ASIGNATURAS'!$AF401=1,'ASIGNACIÓN ASIGNATURAS'!$P401,"")</f>
        <v/>
      </c>
      <c r="D401" s="299" t="str">
        <f>IF('ASIGNACIÓN ASIGNATURAS'!$AF401=1,'ASIGNACIÓN ASIGNATURAS'!$S401,"")</f>
        <v/>
      </c>
      <c r="E401" s="299" t="str">
        <f>IF('ASIGNACIÓN ASIGNATURAS'!$AF401=1,'ASIGNACIÓN ASIGNATURAS'!$T401,"")</f>
        <v/>
      </c>
      <c r="F401" s="299" t="str">
        <f>IF('ASIGNACIÓN ASIGNATURAS'!$AF401=1,'ASIGNACIÓN ASIGNATURAS'!$U401,"")</f>
        <v/>
      </c>
      <c r="G401" s="300" t="str">
        <f>IF(B401='PLAN DE ESTUDIO'!$XFD$41,"",+E401+F401)</f>
        <v/>
      </c>
    </row>
    <row r="402" spans="1:7" x14ac:dyDescent="0.3">
      <c r="A402" s="299" t="str">
        <f>IF('ASIGNACIÓN ASIGNATURAS'!$AF402=1,'ASIGNACIÓN ASIGNATURAS'!$M402,"")</f>
        <v/>
      </c>
      <c r="B402" s="299" t="str">
        <f>IF('ASIGNACIÓN ASIGNATURAS'!$AF402=1,'ASIGNACIÓN ASIGNATURAS'!$O402,"")</f>
        <v/>
      </c>
      <c r="C402" s="299" t="str">
        <f>IF('ASIGNACIÓN ASIGNATURAS'!$AF402=1,'ASIGNACIÓN ASIGNATURAS'!$P402,"")</f>
        <v/>
      </c>
      <c r="D402" s="299" t="str">
        <f>IF('ASIGNACIÓN ASIGNATURAS'!$AF402=1,'ASIGNACIÓN ASIGNATURAS'!$S402,"")</f>
        <v/>
      </c>
      <c r="E402" s="299" t="str">
        <f>IF('ASIGNACIÓN ASIGNATURAS'!$AF402=1,'ASIGNACIÓN ASIGNATURAS'!$T402,"")</f>
        <v/>
      </c>
      <c r="F402" s="299" t="str">
        <f>IF('ASIGNACIÓN ASIGNATURAS'!$AF402=1,'ASIGNACIÓN ASIGNATURAS'!$U402,"")</f>
        <v/>
      </c>
      <c r="G402" s="300" t="str">
        <f>IF(B402='PLAN DE ESTUDIO'!$XFD$41,"",+E402+F402)</f>
        <v/>
      </c>
    </row>
    <row r="403" spans="1:7" x14ac:dyDescent="0.3">
      <c r="A403" s="299" t="str">
        <f>IF('ASIGNACIÓN ASIGNATURAS'!$AF403=1,'ASIGNACIÓN ASIGNATURAS'!$M403,"")</f>
        <v/>
      </c>
      <c r="B403" s="299" t="str">
        <f>IF('ASIGNACIÓN ASIGNATURAS'!$AF403=1,'ASIGNACIÓN ASIGNATURAS'!$O403,"")</f>
        <v/>
      </c>
      <c r="C403" s="299" t="str">
        <f>IF('ASIGNACIÓN ASIGNATURAS'!$AF403=1,'ASIGNACIÓN ASIGNATURAS'!$P403,"")</f>
        <v/>
      </c>
      <c r="D403" s="299" t="str">
        <f>IF('ASIGNACIÓN ASIGNATURAS'!$AF403=1,'ASIGNACIÓN ASIGNATURAS'!$S403,"")</f>
        <v/>
      </c>
      <c r="E403" s="299" t="str">
        <f>IF('ASIGNACIÓN ASIGNATURAS'!$AF403=1,'ASIGNACIÓN ASIGNATURAS'!$T403,"")</f>
        <v/>
      </c>
      <c r="F403" s="299" t="str">
        <f>IF('ASIGNACIÓN ASIGNATURAS'!$AF403=1,'ASIGNACIÓN ASIGNATURAS'!$U403,"")</f>
        <v/>
      </c>
      <c r="G403" s="300" t="str">
        <f>IF(B403='PLAN DE ESTUDIO'!$XFD$41,"",+E403+F403)</f>
        <v/>
      </c>
    </row>
    <row r="404" spans="1:7" x14ac:dyDescent="0.3">
      <c r="A404" s="299" t="str">
        <f>IF('ASIGNACIÓN ASIGNATURAS'!$AF404=1,'ASIGNACIÓN ASIGNATURAS'!$M404,"")</f>
        <v/>
      </c>
      <c r="B404" s="299" t="str">
        <f>IF('ASIGNACIÓN ASIGNATURAS'!$AF404=1,'ASIGNACIÓN ASIGNATURAS'!$O404,"")</f>
        <v/>
      </c>
      <c r="C404" s="299" t="str">
        <f>IF('ASIGNACIÓN ASIGNATURAS'!$AF404=1,'ASIGNACIÓN ASIGNATURAS'!$P404,"")</f>
        <v/>
      </c>
      <c r="D404" s="299" t="str">
        <f>IF('ASIGNACIÓN ASIGNATURAS'!$AF404=1,'ASIGNACIÓN ASIGNATURAS'!$S404,"")</f>
        <v/>
      </c>
      <c r="E404" s="299" t="str">
        <f>IF('ASIGNACIÓN ASIGNATURAS'!$AF404=1,'ASIGNACIÓN ASIGNATURAS'!$T404,"")</f>
        <v/>
      </c>
      <c r="F404" s="299" t="str">
        <f>IF('ASIGNACIÓN ASIGNATURAS'!$AF404=1,'ASIGNACIÓN ASIGNATURAS'!$U404,"")</f>
        <v/>
      </c>
      <c r="G404" s="300" t="str">
        <f>IF(B404='PLAN DE ESTUDIO'!$XFD$41,"",+E404+F404)</f>
        <v/>
      </c>
    </row>
    <row r="405" spans="1:7" x14ac:dyDescent="0.3">
      <c r="A405" s="299" t="str">
        <f>IF('ASIGNACIÓN ASIGNATURAS'!$AF405=1,'ASIGNACIÓN ASIGNATURAS'!$M405,"")</f>
        <v/>
      </c>
      <c r="B405" s="299" t="str">
        <f>IF('ASIGNACIÓN ASIGNATURAS'!$AF405=1,'ASIGNACIÓN ASIGNATURAS'!$O405,"")</f>
        <v/>
      </c>
      <c r="C405" s="299" t="str">
        <f>IF('ASIGNACIÓN ASIGNATURAS'!$AF405=1,'ASIGNACIÓN ASIGNATURAS'!$P405,"")</f>
        <v/>
      </c>
      <c r="D405" s="299" t="str">
        <f>IF('ASIGNACIÓN ASIGNATURAS'!$AF405=1,'ASIGNACIÓN ASIGNATURAS'!$S405,"")</f>
        <v/>
      </c>
      <c r="E405" s="299" t="str">
        <f>IF('ASIGNACIÓN ASIGNATURAS'!$AF405=1,'ASIGNACIÓN ASIGNATURAS'!$T405,"")</f>
        <v/>
      </c>
      <c r="F405" s="299" t="str">
        <f>IF('ASIGNACIÓN ASIGNATURAS'!$AF405=1,'ASIGNACIÓN ASIGNATURAS'!$U405,"")</f>
        <v/>
      </c>
      <c r="G405" s="300" t="str">
        <f>IF(B405='PLAN DE ESTUDIO'!$XFD$41,"",+E405+F405)</f>
        <v/>
      </c>
    </row>
    <row r="406" spans="1:7" x14ac:dyDescent="0.3">
      <c r="A406" s="299" t="str">
        <f>IF('ASIGNACIÓN ASIGNATURAS'!$AF406=1,'ASIGNACIÓN ASIGNATURAS'!$M406,"")</f>
        <v/>
      </c>
      <c r="B406" s="299" t="str">
        <f>IF('ASIGNACIÓN ASIGNATURAS'!$AF406=1,'ASIGNACIÓN ASIGNATURAS'!$O406,"")</f>
        <v/>
      </c>
      <c r="C406" s="299" t="str">
        <f>IF('ASIGNACIÓN ASIGNATURAS'!$AF406=1,'ASIGNACIÓN ASIGNATURAS'!$P406,"")</f>
        <v/>
      </c>
      <c r="D406" s="299" t="str">
        <f>IF('ASIGNACIÓN ASIGNATURAS'!$AF406=1,'ASIGNACIÓN ASIGNATURAS'!$S406,"")</f>
        <v/>
      </c>
      <c r="E406" s="299" t="str">
        <f>IF('ASIGNACIÓN ASIGNATURAS'!$AF406=1,'ASIGNACIÓN ASIGNATURAS'!$T406,"")</f>
        <v/>
      </c>
      <c r="F406" s="299" t="str">
        <f>IF('ASIGNACIÓN ASIGNATURAS'!$AF406=1,'ASIGNACIÓN ASIGNATURAS'!$U406,"")</f>
        <v/>
      </c>
      <c r="G406" s="300" t="str">
        <f>IF(B406='PLAN DE ESTUDIO'!$XFD$41,"",+E406+F406)</f>
        <v/>
      </c>
    </row>
    <row r="407" spans="1:7" x14ac:dyDescent="0.3">
      <c r="A407" s="299" t="str">
        <f>IF('ASIGNACIÓN ASIGNATURAS'!$AF407=1,'ASIGNACIÓN ASIGNATURAS'!$M407,"")</f>
        <v/>
      </c>
      <c r="B407" s="299" t="str">
        <f>IF('ASIGNACIÓN ASIGNATURAS'!$AF407=1,'ASIGNACIÓN ASIGNATURAS'!$O407,"")</f>
        <v/>
      </c>
      <c r="C407" s="299" t="str">
        <f>IF('ASIGNACIÓN ASIGNATURAS'!$AF407=1,'ASIGNACIÓN ASIGNATURAS'!$P407,"")</f>
        <v/>
      </c>
      <c r="D407" s="299" t="str">
        <f>IF('ASIGNACIÓN ASIGNATURAS'!$AF407=1,'ASIGNACIÓN ASIGNATURAS'!$S407,"")</f>
        <v/>
      </c>
      <c r="E407" s="299" t="str">
        <f>IF('ASIGNACIÓN ASIGNATURAS'!$AF407=1,'ASIGNACIÓN ASIGNATURAS'!$T407,"")</f>
        <v/>
      </c>
      <c r="F407" s="299" t="str">
        <f>IF('ASIGNACIÓN ASIGNATURAS'!$AF407=1,'ASIGNACIÓN ASIGNATURAS'!$U407,"")</f>
        <v/>
      </c>
      <c r="G407" s="300" t="str">
        <f>IF(B407='PLAN DE ESTUDIO'!$XFD$41,"",+E407+F407)</f>
        <v/>
      </c>
    </row>
    <row r="408" spans="1:7" x14ac:dyDescent="0.3">
      <c r="A408" s="299" t="str">
        <f>IF('ASIGNACIÓN ASIGNATURAS'!$AF408=1,'ASIGNACIÓN ASIGNATURAS'!$M408,"")</f>
        <v/>
      </c>
      <c r="B408" s="299" t="str">
        <f>IF('ASIGNACIÓN ASIGNATURAS'!$AF408=1,'ASIGNACIÓN ASIGNATURAS'!$O408,"")</f>
        <v/>
      </c>
      <c r="C408" s="299" t="str">
        <f>IF('ASIGNACIÓN ASIGNATURAS'!$AF408=1,'ASIGNACIÓN ASIGNATURAS'!$P408,"")</f>
        <v/>
      </c>
      <c r="D408" s="299" t="str">
        <f>IF('ASIGNACIÓN ASIGNATURAS'!$AF408=1,'ASIGNACIÓN ASIGNATURAS'!$S408,"")</f>
        <v/>
      </c>
      <c r="E408" s="299" t="str">
        <f>IF('ASIGNACIÓN ASIGNATURAS'!$AF408=1,'ASIGNACIÓN ASIGNATURAS'!$T408,"")</f>
        <v/>
      </c>
      <c r="F408" s="299" t="str">
        <f>IF('ASIGNACIÓN ASIGNATURAS'!$AF408=1,'ASIGNACIÓN ASIGNATURAS'!$U408,"")</f>
        <v/>
      </c>
      <c r="G408" s="300" t="str">
        <f>IF(B408='PLAN DE ESTUDIO'!$XFD$41,"",+E408+F408)</f>
        <v/>
      </c>
    </row>
    <row r="409" spans="1:7" x14ac:dyDescent="0.3">
      <c r="A409" s="299" t="str">
        <f>IF('ASIGNACIÓN ASIGNATURAS'!$AF409=1,'ASIGNACIÓN ASIGNATURAS'!$M409,"")</f>
        <v/>
      </c>
      <c r="B409" s="299" t="str">
        <f>IF('ASIGNACIÓN ASIGNATURAS'!$AF409=1,'ASIGNACIÓN ASIGNATURAS'!$O409,"")</f>
        <v/>
      </c>
      <c r="C409" s="299" t="str">
        <f>IF('ASIGNACIÓN ASIGNATURAS'!$AF409=1,'ASIGNACIÓN ASIGNATURAS'!$P409,"")</f>
        <v/>
      </c>
      <c r="D409" s="299" t="str">
        <f>IF('ASIGNACIÓN ASIGNATURAS'!$AF409=1,'ASIGNACIÓN ASIGNATURAS'!$S409,"")</f>
        <v/>
      </c>
      <c r="E409" s="299" t="str">
        <f>IF('ASIGNACIÓN ASIGNATURAS'!$AF409=1,'ASIGNACIÓN ASIGNATURAS'!$T409,"")</f>
        <v/>
      </c>
      <c r="F409" s="299" t="str">
        <f>IF('ASIGNACIÓN ASIGNATURAS'!$AF409=1,'ASIGNACIÓN ASIGNATURAS'!$U409,"")</f>
        <v/>
      </c>
      <c r="G409" s="300" t="str">
        <f>IF(B409='PLAN DE ESTUDIO'!$XFD$41,"",+E409+F409)</f>
        <v/>
      </c>
    </row>
    <row r="410" spans="1:7" x14ac:dyDescent="0.3">
      <c r="A410" s="299" t="str">
        <f>IF('ASIGNACIÓN ASIGNATURAS'!$AF410=1,'ASIGNACIÓN ASIGNATURAS'!$M410,"")</f>
        <v/>
      </c>
      <c r="B410" s="299" t="str">
        <f>IF('ASIGNACIÓN ASIGNATURAS'!$AF410=1,'ASIGNACIÓN ASIGNATURAS'!$O410,"")</f>
        <v/>
      </c>
      <c r="C410" s="299" t="str">
        <f>IF('ASIGNACIÓN ASIGNATURAS'!$AF410=1,'ASIGNACIÓN ASIGNATURAS'!$P410,"")</f>
        <v/>
      </c>
      <c r="D410" s="299" t="str">
        <f>IF('ASIGNACIÓN ASIGNATURAS'!$AF410=1,'ASIGNACIÓN ASIGNATURAS'!$S410,"")</f>
        <v/>
      </c>
      <c r="E410" s="299" t="str">
        <f>IF('ASIGNACIÓN ASIGNATURAS'!$AF410=1,'ASIGNACIÓN ASIGNATURAS'!$T410,"")</f>
        <v/>
      </c>
      <c r="F410" s="299" t="str">
        <f>IF('ASIGNACIÓN ASIGNATURAS'!$AF410=1,'ASIGNACIÓN ASIGNATURAS'!$U410,"")</f>
        <v/>
      </c>
      <c r="G410" s="300" t="str">
        <f>IF(B410='PLAN DE ESTUDIO'!$XFD$41,"",+E410+F410)</f>
        <v/>
      </c>
    </row>
    <row r="411" spans="1:7" x14ac:dyDescent="0.3">
      <c r="A411" s="299" t="str">
        <f>IF('ASIGNACIÓN ASIGNATURAS'!$AF411=1,'ASIGNACIÓN ASIGNATURAS'!$M411,"")</f>
        <v/>
      </c>
      <c r="B411" s="299" t="str">
        <f>IF('ASIGNACIÓN ASIGNATURAS'!$AF411=1,'ASIGNACIÓN ASIGNATURAS'!$O411,"")</f>
        <v/>
      </c>
      <c r="C411" s="299" t="str">
        <f>IF('ASIGNACIÓN ASIGNATURAS'!$AF411=1,'ASIGNACIÓN ASIGNATURAS'!$P411,"")</f>
        <v/>
      </c>
      <c r="D411" s="299" t="str">
        <f>IF('ASIGNACIÓN ASIGNATURAS'!$AF411=1,'ASIGNACIÓN ASIGNATURAS'!$S411,"")</f>
        <v/>
      </c>
      <c r="E411" s="299" t="str">
        <f>IF('ASIGNACIÓN ASIGNATURAS'!$AF411=1,'ASIGNACIÓN ASIGNATURAS'!$T411,"")</f>
        <v/>
      </c>
      <c r="F411" s="299" t="str">
        <f>IF('ASIGNACIÓN ASIGNATURAS'!$AF411=1,'ASIGNACIÓN ASIGNATURAS'!$U411,"")</f>
        <v/>
      </c>
      <c r="G411" s="300" t="str">
        <f>IF(B411='PLAN DE ESTUDIO'!$XFD$41,"",+E411+F411)</f>
        <v/>
      </c>
    </row>
    <row r="412" spans="1:7" x14ac:dyDescent="0.3">
      <c r="A412" s="299" t="str">
        <f>IF('ASIGNACIÓN ASIGNATURAS'!$AF412=1,'ASIGNACIÓN ASIGNATURAS'!$M412,"")</f>
        <v/>
      </c>
      <c r="B412" s="299" t="str">
        <f>IF('ASIGNACIÓN ASIGNATURAS'!$AF412=1,'ASIGNACIÓN ASIGNATURAS'!$O412,"")</f>
        <v/>
      </c>
      <c r="C412" s="299" t="str">
        <f>IF('ASIGNACIÓN ASIGNATURAS'!$AF412=1,'ASIGNACIÓN ASIGNATURAS'!$P412,"")</f>
        <v/>
      </c>
      <c r="D412" s="299" t="str">
        <f>IF('ASIGNACIÓN ASIGNATURAS'!$AF412=1,'ASIGNACIÓN ASIGNATURAS'!$S412,"")</f>
        <v/>
      </c>
      <c r="E412" s="299" t="str">
        <f>IF('ASIGNACIÓN ASIGNATURAS'!$AF412=1,'ASIGNACIÓN ASIGNATURAS'!$T412,"")</f>
        <v/>
      </c>
      <c r="F412" s="299" t="str">
        <f>IF('ASIGNACIÓN ASIGNATURAS'!$AF412=1,'ASIGNACIÓN ASIGNATURAS'!$U412,"")</f>
        <v/>
      </c>
      <c r="G412" s="300" t="str">
        <f>IF(B412='PLAN DE ESTUDIO'!$XFD$41,"",+E412+F412)</f>
        <v/>
      </c>
    </row>
    <row r="413" spans="1:7" x14ac:dyDescent="0.3">
      <c r="A413" s="299" t="str">
        <f>IF('ASIGNACIÓN ASIGNATURAS'!$AF413=1,'ASIGNACIÓN ASIGNATURAS'!$M413,"")</f>
        <v/>
      </c>
      <c r="B413" s="299" t="str">
        <f>IF('ASIGNACIÓN ASIGNATURAS'!$AF413=1,'ASIGNACIÓN ASIGNATURAS'!$O413,"")</f>
        <v/>
      </c>
      <c r="C413" s="299" t="str">
        <f>IF('ASIGNACIÓN ASIGNATURAS'!$AF413=1,'ASIGNACIÓN ASIGNATURAS'!$P413,"")</f>
        <v/>
      </c>
      <c r="D413" s="299" t="str">
        <f>IF('ASIGNACIÓN ASIGNATURAS'!$AF413=1,'ASIGNACIÓN ASIGNATURAS'!$S413,"")</f>
        <v/>
      </c>
      <c r="E413" s="299" t="str">
        <f>IF('ASIGNACIÓN ASIGNATURAS'!$AF413=1,'ASIGNACIÓN ASIGNATURAS'!$T413,"")</f>
        <v/>
      </c>
      <c r="F413" s="299" t="str">
        <f>IF('ASIGNACIÓN ASIGNATURAS'!$AF413=1,'ASIGNACIÓN ASIGNATURAS'!$U413,"")</f>
        <v/>
      </c>
      <c r="G413" s="300" t="str">
        <f>IF(B413='PLAN DE ESTUDIO'!$XFD$41,"",+E413+F413)</f>
        <v/>
      </c>
    </row>
    <row r="414" spans="1:7" x14ac:dyDescent="0.3">
      <c r="A414" s="299" t="str">
        <f>IF('ASIGNACIÓN ASIGNATURAS'!$AF414=1,'ASIGNACIÓN ASIGNATURAS'!$M414,"")</f>
        <v/>
      </c>
      <c r="B414" s="299" t="str">
        <f>IF('ASIGNACIÓN ASIGNATURAS'!$AF414=1,'ASIGNACIÓN ASIGNATURAS'!$O414,"")</f>
        <v/>
      </c>
      <c r="C414" s="299" t="str">
        <f>IF('ASIGNACIÓN ASIGNATURAS'!$AF414=1,'ASIGNACIÓN ASIGNATURAS'!$P414,"")</f>
        <v/>
      </c>
      <c r="D414" s="299" t="str">
        <f>IF('ASIGNACIÓN ASIGNATURAS'!$AF414=1,'ASIGNACIÓN ASIGNATURAS'!$S414,"")</f>
        <v/>
      </c>
      <c r="E414" s="299" t="str">
        <f>IF('ASIGNACIÓN ASIGNATURAS'!$AF414=1,'ASIGNACIÓN ASIGNATURAS'!$T414,"")</f>
        <v/>
      </c>
      <c r="F414" s="299" t="str">
        <f>IF('ASIGNACIÓN ASIGNATURAS'!$AF414=1,'ASIGNACIÓN ASIGNATURAS'!$U414,"")</f>
        <v/>
      </c>
      <c r="G414" s="300" t="str">
        <f>IF(B414='PLAN DE ESTUDIO'!$XFD$41,"",+E414+F414)</f>
        <v/>
      </c>
    </row>
    <row r="415" spans="1:7" x14ac:dyDescent="0.3">
      <c r="A415" s="299" t="str">
        <f>IF('ASIGNACIÓN ASIGNATURAS'!$AF415=1,'ASIGNACIÓN ASIGNATURAS'!$M415,"")</f>
        <v/>
      </c>
      <c r="B415" s="299" t="str">
        <f>IF('ASIGNACIÓN ASIGNATURAS'!$AF415=1,'ASIGNACIÓN ASIGNATURAS'!$O415,"")</f>
        <v/>
      </c>
      <c r="C415" s="299" t="str">
        <f>IF('ASIGNACIÓN ASIGNATURAS'!$AF415=1,'ASIGNACIÓN ASIGNATURAS'!$P415,"")</f>
        <v/>
      </c>
      <c r="D415" s="299" t="str">
        <f>IF('ASIGNACIÓN ASIGNATURAS'!$AF415=1,'ASIGNACIÓN ASIGNATURAS'!$S415,"")</f>
        <v/>
      </c>
      <c r="E415" s="299" t="str">
        <f>IF('ASIGNACIÓN ASIGNATURAS'!$AF415=1,'ASIGNACIÓN ASIGNATURAS'!$T415,"")</f>
        <v/>
      </c>
      <c r="F415" s="299" t="str">
        <f>IF('ASIGNACIÓN ASIGNATURAS'!$AF415=1,'ASIGNACIÓN ASIGNATURAS'!$U415,"")</f>
        <v/>
      </c>
      <c r="G415" s="300" t="str">
        <f>IF(B415='PLAN DE ESTUDIO'!$XFD$41,"",+E415+F415)</f>
        <v/>
      </c>
    </row>
    <row r="416" spans="1:7" x14ac:dyDescent="0.3">
      <c r="A416" s="299" t="str">
        <f>IF('ASIGNACIÓN ASIGNATURAS'!$AF416=1,'ASIGNACIÓN ASIGNATURAS'!$M416,"")</f>
        <v/>
      </c>
      <c r="B416" s="299" t="str">
        <f>IF('ASIGNACIÓN ASIGNATURAS'!$AF416=1,'ASIGNACIÓN ASIGNATURAS'!$O416,"")</f>
        <v/>
      </c>
      <c r="C416" s="299" t="str">
        <f>IF('ASIGNACIÓN ASIGNATURAS'!$AF416=1,'ASIGNACIÓN ASIGNATURAS'!$P416,"")</f>
        <v/>
      </c>
      <c r="D416" s="299" t="str">
        <f>IF('ASIGNACIÓN ASIGNATURAS'!$AF416=1,'ASIGNACIÓN ASIGNATURAS'!$S416,"")</f>
        <v/>
      </c>
      <c r="E416" s="299" t="str">
        <f>IF('ASIGNACIÓN ASIGNATURAS'!$AF416=1,'ASIGNACIÓN ASIGNATURAS'!$T416,"")</f>
        <v/>
      </c>
      <c r="F416" s="299" t="str">
        <f>IF('ASIGNACIÓN ASIGNATURAS'!$AF416=1,'ASIGNACIÓN ASIGNATURAS'!$U416,"")</f>
        <v/>
      </c>
      <c r="G416" s="300" t="str">
        <f>IF(B416='PLAN DE ESTUDIO'!$XFD$41,"",+E416+F416)</f>
        <v/>
      </c>
    </row>
    <row r="417" spans="1:7" x14ac:dyDescent="0.3">
      <c r="A417" s="299" t="str">
        <f>IF('ASIGNACIÓN ASIGNATURAS'!$AF417=1,'ASIGNACIÓN ASIGNATURAS'!$M417,"")</f>
        <v/>
      </c>
      <c r="B417" s="299" t="str">
        <f>IF('ASIGNACIÓN ASIGNATURAS'!$AF417=1,'ASIGNACIÓN ASIGNATURAS'!$O417,"")</f>
        <v/>
      </c>
      <c r="C417" s="299" t="str">
        <f>IF('ASIGNACIÓN ASIGNATURAS'!$AF417=1,'ASIGNACIÓN ASIGNATURAS'!$P417,"")</f>
        <v/>
      </c>
      <c r="D417" s="299" t="str">
        <f>IF('ASIGNACIÓN ASIGNATURAS'!$AF417=1,'ASIGNACIÓN ASIGNATURAS'!$S417,"")</f>
        <v/>
      </c>
      <c r="E417" s="299" t="str">
        <f>IF('ASIGNACIÓN ASIGNATURAS'!$AF417=1,'ASIGNACIÓN ASIGNATURAS'!$T417,"")</f>
        <v/>
      </c>
      <c r="F417" s="299" t="str">
        <f>IF('ASIGNACIÓN ASIGNATURAS'!$AF417=1,'ASIGNACIÓN ASIGNATURAS'!$U417,"")</f>
        <v/>
      </c>
      <c r="G417" s="300" t="str">
        <f>IF(B417='PLAN DE ESTUDIO'!$XFD$41,"",+E417+F417)</f>
        <v/>
      </c>
    </row>
    <row r="418" spans="1:7" x14ac:dyDescent="0.3">
      <c r="A418" s="299" t="str">
        <f>IF('ASIGNACIÓN ASIGNATURAS'!$AF418=1,'ASIGNACIÓN ASIGNATURAS'!$M418,"")</f>
        <v/>
      </c>
      <c r="B418" s="299" t="str">
        <f>IF('ASIGNACIÓN ASIGNATURAS'!$AF418=1,'ASIGNACIÓN ASIGNATURAS'!$O418,"")</f>
        <v/>
      </c>
      <c r="C418" s="299" t="str">
        <f>IF('ASIGNACIÓN ASIGNATURAS'!$AF418=1,'ASIGNACIÓN ASIGNATURAS'!$P418,"")</f>
        <v/>
      </c>
      <c r="D418" s="299" t="str">
        <f>IF('ASIGNACIÓN ASIGNATURAS'!$AF418=1,'ASIGNACIÓN ASIGNATURAS'!$S418,"")</f>
        <v/>
      </c>
      <c r="E418" s="299" t="str">
        <f>IF('ASIGNACIÓN ASIGNATURAS'!$AF418=1,'ASIGNACIÓN ASIGNATURAS'!$T418,"")</f>
        <v/>
      </c>
      <c r="F418" s="299" t="str">
        <f>IF('ASIGNACIÓN ASIGNATURAS'!$AF418=1,'ASIGNACIÓN ASIGNATURAS'!$U418,"")</f>
        <v/>
      </c>
      <c r="G418" s="300" t="str">
        <f>IF(B418='PLAN DE ESTUDIO'!$XFD$41,"",+E418+F418)</f>
        <v/>
      </c>
    </row>
    <row r="419" spans="1:7" x14ac:dyDescent="0.3">
      <c r="A419" s="299" t="str">
        <f>IF('ASIGNACIÓN ASIGNATURAS'!$AF419=1,'ASIGNACIÓN ASIGNATURAS'!$M419,"")</f>
        <v/>
      </c>
      <c r="B419" s="299" t="str">
        <f>IF('ASIGNACIÓN ASIGNATURAS'!$AF419=1,'ASIGNACIÓN ASIGNATURAS'!$O419,"")</f>
        <v/>
      </c>
      <c r="C419" s="299" t="str">
        <f>IF('ASIGNACIÓN ASIGNATURAS'!$AF419=1,'ASIGNACIÓN ASIGNATURAS'!$P419,"")</f>
        <v/>
      </c>
      <c r="D419" s="299" t="str">
        <f>IF('ASIGNACIÓN ASIGNATURAS'!$AF419=1,'ASIGNACIÓN ASIGNATURAS'!$S419,"")</f>
        <v/>
      </c>
      <c r="E419" s="299" t="str">
        <f>IF('ASIGNACIÓN ASIGNATURAS'!$AF419=1,'ASIGNACIÓN ASIGNATURAS'!$T419,"")</f>
        <v/>
      </c>
      <c r="F419" s="299" t="str">
        <f>IF('ASIGNACIÓN ASIGNATURAS'!$AF419=1,'ASIGNACIÓN ASIGNATURAS'!$U419,"")</f>
        <v/>
      </c>
      <c r="G419" s="300" t="str">
        <f>IF(B419='PLAN DE ESTUDIO'!$XFD$41,"",+E419+F419)</f>
        <v/>
      </c>
    </row>
    <row r="420" spans="1:7" x14ac:dyDescent="0.3">
      <c r="A420" s="299" t="str">
        <f>IF('ASIGNACIÓN ASIGNATURAS'!$AF420=1,'ASIGNACIÓN ASIGNATURAS'!$M420,"")</f>
        <v/>
      </c>
      <c r="B420" s="299" t="str">
        <f>IF('ASIGNACIÓN ASIGNATURAS'!$AF420=1,'ASIGNACIÓN ASIGNATURAS'!$O420,"")</f>
        <v/>
      </c>
      <c r="C420" s="299" t="str">
        <f>IF('ASIGNACIÓN ASIGNATURAS'!$AF420=1,'ASIGNACIÓN ASIGNATURAS'!$P420,"")</f>
        <v/>
      </c>
      <c r="D420" s="299" t="str">
        <f>IF('ASIGNACIÓN ASIGNATURAS'!$AF420=1,'ASIGNACIÓN ASIGNATURAS'!$S420,"")</f>
        <v/>
      </c>
      <c r="E420" s="299" t="str">
        <f>IF('ASIGNACIÓN ASIGNATURAS'!$AF420=1,'ASIGNACIÓN ASIGNATURAS'!$T420,"")</f>
        <v/>
      </c>
      <c r="F420" s="299" t="str">
        <f>IF('ASIGNACIÓN ASIGNATURAS'!$AF420=1,'ASIGNACIÓN ASIGNATURAS'!$U420,"")</f>
        <v/>
      </c>
      <c r="G420" s="300" t="str">
        <f>IF(B420='PLAN DE ESTUDIO'!$XFD$41,"",+E420+F420)</f>
        <v/>
      </c>
    </row>
    <row r="421" spans="1:7" x14ac:dyDescent="0.3">
      <c r="A421" s="299" t="str">
        <f>IF('ASIGNACIÓN ASIGNATURAS'!$AF421=1,'ASIGNACIÓN ASIGNATURAS'!$M421,"")</f>
        <v/>
      </c>
      <c r="B421" s="299" t="str">
        <f>IF('ASIGNACIÓN ASIGNATURAS'!$AF421=1,'ASIGNACIÓN ASIGNATURAS'!$O421,"")</f>
        <v/>
      </c>
      <c r="C421" s="299" t="str">
        <f>IF('ASIGNACIÓN ASIGNATURAS'!$AF421=1,'ASIGNACIÓN ASIGNATURAS'!$P421,"")</f>
        <v/>
      </c>
      <c r="D421" s="299" t="str">
        <f>IF('ASIGNACIÓN ASIGNATURAS'!$AF421=1,'ASIGNACIÓN ASIGNATURAS'!$S421,"")</f>
        <v/>
      </c>
      <c r="E421" s="299" t="str">
        <f>IF('ASIGNACIÓN ASIGNATURAS'!$AF421=1,'ASIGNACIÓN ASIGNATURAS'!$T421,"")</f>
        <v/>
      </c>
      <c r="F421" s="299" t="str">
        <f>IF('ASIGNACIÓN ASIGNATURAS'!$AF421=1,'ASIGNACIÓN ASIGNATURAS'!$U421,"")</f>
        <v/>
      </c>
      <c r="G421" s="300" t="str">
        <f>IF(B421='PLAN DE ESTUDIO'!$XFD$41,"",+E421+F421)</f>
        <v/>
      </c>
    </row>
    <row r="422" spans="1:7" x14ac:dyDescent="0.3">
      <c r="A422" s="299" t="str">
        <f>IF('ASIGNACIÓN ASIGNATURAS'!$AF422=1,'ASIGNACIÓN ASIGNATURAS'!$M422,"")</f>
        <v/>
      </c>
      <c r="B422" s="299" t="str">
        <f>IF('ASIGNACIÓN ASIGNATURAS'!$AF422=1,'ASIGNACIÓN ASIGNATURAS'!$O422,"")</f>
        <v/>
      </c>
      <c r="C422" s="299" t="str">
        <f>IF('ASIGNACIÓN ASIGNATURAS'!$AF422=1,'ASIGNACIÓN ASIGNATURAS'!$P422,"")</f>
        <v/>
      </c>
      <c r="D422" s="299" t="str">
        <f>IF('ASIGNACIÓN ASIGNATURAS'!$AF422=1,'ASIGNACIÓN ASIGNATURAS'!$S422,"")</f>
        <v/>
      </c>
      <c r="E422" s="299" t="str">
        <f>IF('ASIGNACIÓN ASIGNATURAS'!$AF422=1,'ASIGNACIÓN ASIGNATURAS'!$T422,"")</f>
        <v/>
      </c>
      <c r="F422" s="299" t="str">
        <f>IF('ASIGNACIÓN ASIGNATURAS'!$AF422=1,'ASIGNACIÓN ASIGNATURAS'!$U422,"")</f>
        <v/>
      </c>
      <c r="G422" s="300" t="str">
        <f>IF(B422='PLAN DE ESTUDIO'!$XFD$41,"",+E422+F422)</f>
        <v/>
      </c>
    </row>
    <row r="423" spans="1:7" x14ac:dyDescent="0.3">
      <c r="A423" s="299" t="str">
        <f>IF('ASIGNACIÓN ASIGNATURAS'!$AF423=1,'ASIGNACIÓN ASIGNATURAS'!$M423,"")</f>
        <v/>
      </c>
      <c r="B423" s="299" t="str">
        <f>IF('ASIGNACIÓN ASIGNATURAS'!$AF423=1,'ASIGNACIÓN ASIGNATURAS'!$O423,"")</f>
        <v/>
      </c>
      <c r="C423" s="299" t="str">
        <f>IF('ASIGNACIÓN ASIGNATURAS'!$AF423=1,'ASIGNACIÓN ASIGNATURAS'!$P423,"")</f>
        <v/>
      </c>
      <c r="D423" s="299" t="str">
        <f>IF('ASIGNACIÓN ASIGNATURAS'!$AF423=1,'ASIGNACIÓN ASIGNATURAS'!$S423,"")</f>
        <v/>
      </c>
      <c r="E423" s="299" t="str">
        <f>IF('ASIGNACIÓN ASIGNATURAS'!$AF423=1,'ASIGNACIÓN ASIGNATURAS'!$T423,"")</f>
        <v/>
      </c>
      <c r="F423" s="299" t="str">
        <f>IF('ASIGNACIÓN ASIGNATURAS'!$AF423=1,'ASIGNACIÓN ASIGNATURAS'!$U423,"")</f>
        <v/>
      </c>
      <c r="G423" s="300" t="str">
        <f>IF(B423='PLAN DE ESTUDIO'!$XFD$41,"",+E423+F423)</f>
        <v/>
      </c>
    </row>
    <row r="424" spans="1:7" x14ac:dyDescent="0.3">
      <c r="A424" s="299" t="str">
        <f>IF('ASIGNACIÓN ASIGNATURAS'!$AF424=1,'ASIGNACIÓN ASIGNATURAS'!$M424,"")</f>
        <v/>
      </c>
      <c r="B424" s="299" t="str">
        <f>IF('ASIGNACIÓN ASIGNATURAS'!$AF424=1,'ASIGNACIÓN ASIGNATURAS'!$O424,"")</f>
        <v/>
      </c>
      <c r="C424" s="299" t="str">
        <f>IF('ASIGNACIÓN ASIGNATURAS'!$AF424=1,'ASIGNACIÓN ASIGNATURAS'!$P424,"")</f>
        <v/>
      </c>
      <c r="D424" s="299" t="str">
        <f>IF('ASIGNACIÓN ASIGNATURAS'!$AF424=1,'ASIGNACIÓN ASIGNATURAS'!$S424,"")</f>
        <v/>
      </c>
      <c r="E424" s="299" t="str">
        <f>IF('ASIGNACIÓN ASIGNATURAS'!$AF424=1,'ASIGNACIÓN ASIGNATURAS'!$T424,"")</f>
        <v/>
      </c>
      <c r="F424" s="299" t="str">
        <f>IF('ASIGNACIÓN ASIGNATURAS'!$AF424=1,'ASIGNACIÓN ASIGNATURAS'!$U424,"")</f>
        <v/>
      </c>
      <c r="G424" s="300" t="str">
        <f>IF(B424='PLAN DE ESTUDIO'!$XFD$41,"",+E424+F424)</f>
        <v/>
      </c>
    </row>
    <row r="425" spans="1:7" x14ac:dyDescent="0.3">
      <c r="A425" s="299" t="str">
        <f>IF('ASIGNACIÓN ASIGNATURAS'!$AF425=1,'ASIGNACIÓN ASIGNATURAS'!$M425,"")</f>
        <v/>
      </c>
      <c r="B425" s="299" t="str">
        <f>IF('ASIGNACIÓN ASIGNATURAS'!$AF425=1,'ASIGNACIÓN ASIGNATURAS'!$O425,"")</f>
        <v/>
      </c>
      <c r="C425" s="299" t="str">
        <f>IF('ASIGNACIÓN ASIGNATURAS'!$AF425=1,'ASIGNACIÓN ASIGNATURAS'!$P425,"")</f>
        <v/>
      </c>
      <c r="D425" s="299" t="str">
        <f>IF('ASIGNACIÓN ASIGNATURAS'!$AF425=1,'ASIGNACIÓN ASIGNATURAS'!$S425,"")</f>
        <v/>
      </c>
      <c r="E425" s="299" t="str">
        <f>IF('ASIGNACIÓN ASIGNATURAS'!$AF425=1,'ASIGNACIÓN ASIGNATURAS'!$T425,"")</f>
        <v/>
      </c>
      <c r="F425" s="299" t="str">
        <f>IF('ASIGNACIÓN ASIGNATURAS'!$AF425=1,'ASIGNACIÓN ASIGNATURAS'!$U425,"")</f>
        <v/>
      </c>
      <c r="G425" s="300" t="str">
        <f>IF(B425='PLAN DE ESTUDIO'!$XFD$41,"",+E425+F425)</f>
        <v/>
      </c>
    </row>
    <row r="426" spans="1:7" x14ac:dyDescent="0.3">
      <c r="A426" s="299" t="str">
        <f>IF('ASIGNACIÓN ASIGNATURAS'!$AF426=1,'ASIGNACIÓN ASIGNATURAS'!$M426,"")</f>
        <v/>
      </c>
      <c r="B426" s="299" t="str">
        <f>IF('ASIGNACIÓN ASIGNATURAS'!$AF426=1,'ASIGNACIÓN ASIGNATURAS'!$O426,"")</f>
        <v/>
      </c>
      <c r="C426" s="299" t="str">
        <f>IF('ASIGNACIÓN ASIGNATURAS'!$AF426=1,'ASIGNACIÓN ASIGNATURAS'!$P426,"")</f>
        <v/>
      </c>
      <c r="D426" s="299" t="str">
        <f>IF('ASIGNACIÓN ASIGNATURAS'!$AF426=1,'ASIGNACIÓN ASIGNATURAS'!$S426,"")</f>
        <v/>
      </c>
      <c r="E426" s="299" t="str">
        <f>IF('ASIGNACIÓN ASIGNATURAS'!$AF426=1,'ASIGNACIÓN ASIGNATURAS'!$T426,"")</f>
        <v/>
      </c>
      <c r="F426" s="299" t="str">
        <f>IF('ASIGNACIÓN ASIGNATURAS'!$AF426=1,'ASIGNACIÓN ASIGNATURAS'!$U426,"")</f>
        <v/>
      </c>
      <c r="G426" s="300" t="str">
        <f>IF(B426='PLAN DE ESTUDIO'!$XFD$41,"",+E426+F426)</f>
        <v/>
      </c>
    </row>
    <row r="427" spans="1:7" x14ac:dyDescent="0.3">
      <c r="A427" s="299" t="str">
        <f>IF('ASIGNACIÓN ASIGNATURAS'!$AF427=1,'ASIGNACIÓN ASIGNATURAS'!$M427,"")</f>
        <v/>
      </c>
      <c r="B427" s="299" t="str">
        <f>IF('ASIGNACIÓN ASIGNATURAS'!$AF427=1,'ASIGNACIÓN ASIGNATURAS'!$O427,"")</f>
        <v/>
      </c>
      <c r="C427" s="299" t="str">
        <f>IF('ASIGNACIÓN ASIGNATURAS'!$AF427=1,'ASIGNACIÓN ASIGNATURAS'!$P427,"")</f>
        <v/>
      </c>
      <c r="D427" s="299" t="str">
        <f>IF('ASIGNACIÓN ASIGNATURAS'!$AF427=1,'ASIGNACIÓN ASIGNATURAS'!$S427,"")</f>
        <v/>
      </c>
      <c r="E427" s="299" t="str">
        <f>IF('ASIGNACIÓN ASIGNATURAS'!$AF427=1,'ASIGNACIÓN ASIGNATURAS'!$T427,"")</f>
        <v/>
      </c>
      <c r="F427" s="299" t="str">
        <f>IF('ASIGNACIÓN ASIGNATURAS'!$AF427=1,'ASIGNACIÓN ASIGNATURAS'!$U427,"")</f>
        <v/>
      </c>
      <c r="G427" s="300" t="str">
        <f>IF(B427='PLAN DE ESTUDIO'!$XFD$41,"",+E427+F427)</f>
        <v/>
      </c>
    </row>
    <row r="428" spans="1:7" x14ac:dyDescent="0.3">
      <c r="A428" s="299" t="str">
        <f>IF('ASIGNACIÓN ASIGNATURAS'!$AF428=1,'ASIGNACIÓN ASIGNATURAS'!$M428,"")</f>
        <v/>
      </c>
      <c r="B428" s="299" t="str">
        <f>IF('ASIGNACIÓN ASIGNATURAS'!$AF428=1,'ASIGNACIÓN ASIGNATURAS'!$O428,"")</f>
        <v/>
      </c>
      <c r="C428" s="299" t="str">
        <f>IF('ASIGNACIÓN ASIGNATURAS'!$AF428=1,'ASIGNACIÓN ASIGNATURAS'!$P428,"")</f>
        <v/>
      </c>
      <c r="D428" s="299" t="str">
        <f>IF('ASIGNACIÓN ASIGNATURAS'!$AF428=1,'ASIGNACIÓN ASIGNATURAS'!$S428,"")</f>
        <v/>
      </c>
      <c r="E428" s="299" t="str">
        <f>IF('ASIGNACIÓN ASIGNATURAS'!$AF428=1,'ASIGNACIÓN ASIGNATURAS'!$T428,"")</f>
        <v/>
      </c>
      <c r="F428" s="299" t="str">
        <f>IF('ASIGNACIÓN ASIGNATURAS'!$AF428=1,'ASIGNACIÓN ASIGNATURAS'!$U428,"")</f>
        <v/>
      </c>
      <c r="G428" s="300" t="str">
        <f>IF(B428='PLAN DE ESTUDIO'!$XFD$41,"",+E428+F428)</f>
        <v/>
      </c>
    </row>
    <row r="429" spans="1:7" x14ac:dyDescent="0.3">
      <c r="A429" s="299" t="str">
        <f>IF('ASIGNACIÓN ASIGNATURAS'!$AF429=1,'ASIGNACIÓN ASIGNATURAS'!$M429,"")</f>
        <v/>
      </c>
      <c r="B429" s="299" t="str">
        <f>IF('ASIGNACIÓN ASIGNATURAS'!$AF429=1,'ASIGNACIÓN ASIGNATURAS'!$O429,"")</f>
        <v/>
      </c>
      <c r="C429" s="299" t="str">
        <f>IF('ASIGNACIÓN ASIGNATURAS'!$AF429=1,'ASIGNACIÓN ASIGNATURAS'!$P429,"")</f>
        <v/>
      </c>
      <c r="D429" s="299" t="str">
        <f>IF('ASIGNACIÓN ASIGNATURAS'!$AF429=1,'ASIGNACIÓN ASIGNATURAS'!$S429,"")</f>
        <v/>
      </c>
      <c r="E429" s="299" t="str">
        <f>IF('ASIGNACIÓN ASIGNATURAS'!$AF429=1,'ASIGNACIÓN ASIGNATURAS'!$T429,"")</f>
        <v/>
      </c>
      <c r="F429" s="299" t="str">
        <f>IF('ASIGNACIÓN ASIGNATURAS'!$AF429=1,'ASIGNACIÓN ASIGNATURAS'!$U429,"")</f>
        <v/>
      </c>
      <c r="G429" s="300" t="str">
        <f>IF(B429='PLAN DE ESTUDIO'!$XFD$41,"",+E429+F429)</f>
        <v/>
      </c>
    </row>
    <row r="430" spans="1:7" x14ac:dyDescent="0.3">
      <c r="A430" s="299" t="str">
        <f>IF('ASIGNACIÓN ASIGNATURAS'!$AF430=1,'ASIGNACIÓN ASIGNATURAS'!$M430,"")</f>
        <v/>
      </c>
      <c r="B430" s="299" t="str">
        <f>IF('ASIGNACIÓN ASIGNATURAS'!$AF430=1,'ASIGNACIÓN ASIGNATURAS'!$O430,"")</f>
        <v/>
      </c>
      <c r="C430" s="299" t="str">
        <f>IF('ASIGNACIÓN ASIGNATURAS'!$AF430=1,'ASIGNACIÓN ASIGNATURAS'!$P430,"")</f>
        <v/>
      </c>
      <c r="D430" s="299" t="str">
        <f>IF('ASIGNACIÓN ASIGNATURAS'!$AF430=1,'ASIGNACIÓN ASIGNATURAS'!$S430,"")</f>
        <v/>
      </c>
      <c r="E430" s="299" t="str">
        <f>IF('ASIGNACIÓN ASIGNATURAS'!$AF430=1,'ASIGNACIÓN ASIGNATURAS'!$T430,"")</f>
        <v/>
      </c>
      <c r="F430" s="299" t="str">
        <f>IF('ASIGNACIÓN ASIGNATURAS'!$AF430=1,'ASIGNACIÓN ASIGNATURAS'!$U430,"")</f>
        <v/>
      </c>
      <c r="G430" s="300" t="str">
        <f>IF(B430='PLAN DE ESTUDIO'!$XFD$41,"",+E430+F430)</f>
        <v/>
      </c>
    </row>
    <row r="431" spans="1:7" x14ac:dyDescent="0.3">
      <c r="A431" s="299" t="str">
        <f>IF('ASIGNACIÓN ASIGNATURAS'!$AF431=1,'ASIGNACIÓN ASIGNATURAS'!$M431,"")</f>
        <v/>
      </c>
      <c r="B431" s="299" t="str">
        <f>IF('ASIGNACIÓN ASIGNATURAS'!$AF431=1,'ASIGNACIÓN ASIGNATURAS'!$O431,"")</f>
        <v/>
      </c>
      <c r="C431" s="299" t="str">
        <f>IF('ASIGNACIÓN ASIGNATURAS'!$AF431=1,'ASIGNACIÓN ASIGNATURAS'!$P431,"")</f>
        <v/>
      </c>
      <c r="D431" s="299" t="str">
        <f>IF('ASIGNACIÓN ASIGNATURAS'!$AF431=1,'ASIGNACIÓN ASIGNATURAS'!$S431,"")</f>
        <v/>
      </c>
      <c r="E431" s="299" t="str">
        <f>IF('ASIGNACIÓN ASIGNATURAS'!$AF431=1,'ASIGNACIÓN ASIGNATURAS'!$T431,"")</f>
        <v/>
      </c>
      <c r="F431" s="299" t="str">
        <f>IF('ASIGNACIÓN ASIGNATURAS'!$AF431=1,'ASIGNACIÓN ASIGNATURAS'!$U431,"")</f>
        <v/>
      </c>
      <c r="G431" s="300" t="str">
        <f>IF(B431='PLAN DE ESTUDIO'!$XFD$41,"",+E431+F431)</f>
        <v/>
      </c>
    </row>
    <row r="432" spans="1:7" x14ac:dyDescent="0.3">
      <c r="A432" s="299" t="str">
        <f>IF('ASIGNACIÓN ASIGNATURAS'!$AF432=1,'ASIGNACIÓN ASIGNATURAS'!$M432,"")</f>
        <v/>
      </c>
      <c r="B432" s="299" t="str">
        <f>IF('ASIGNACIÓN ASIGNATURAS'!$AF432=1,'ASIGNACIÓN ASIGNATURAS'!$O432,"")</f>
        <v/>
      </c>
      <c r="C432" s="299" t="str">
        <f>IF('ASIGNACIÓN ASIGNATURAS'!$AF432=1,'ASIGNACIÓN ASIGNATURAS'!$P432,"")</f>
        <v/>
      </c>
      <c r="D432" s="299" t="str">
        <f>IF('ASIGNACIÓN ASIGNATURAS'!$AF432=1,'ASIGNACIÓN ASIGNATURAS'!$S432,"")</f>
        <v/>
      </c>
      <c r="E432" s="299" t="str">
        <f>IF('ASIGNACIÓN ASIGNATURAS'!$AF432=1,'ASIGNACIÓN ASIGNATURAS'!$T432,"")</f>
        <v/>
      </c>
      <c r="F432" s="299" t="str">
        <f>IF('ASIGNACIÓN ASIGNATURAS'!$AF432=1,'ASIGNACIÓN ASIGNATURAS'!$U432,"")</f>
        <v/>
      </c>
      <c r="G432" s="300" t="str">
        <f>IF(B432='PLAN DE ESTUDIO'!$XFD$41,"",+E432+F432)</f>
        <v/>
      </c>
    </row>
    <row r="433" spans="1:7" x14ac:dyDescent="0.3">
      <c r="A433" s="299" t="str">
        <f>IF('ASIGNACIÓN ASIGNATURAS'!$AF433=1,'ASIGNACIÓN ASIGNATURAS'!$M433,"")</f>
        <v/>
      </c>
      <c r="B433" s="299" t="str">
        <f>IF('ASIGNACIÓN ASIGNATURAS'!$AF433=1,'ASIGNACIÓN ASIGNATURAS'!$O433,"")</f>
        <v/>
      </c>
      <c r="C433" s="299" t="str">
        <f>IF('ASIGNACIÓN ASIGNATURAS'!$AF433=1,'ASIGNACIÓN ASIGNATURAS'!$P433,"")</f>
        <v/>
      </c>
      <c r="D433" s="299" t="str">
        <f>IF('ASIGNACIÓN ASIGNATURAS'!$AF433=1,'ASIGNACIÓN ASIGNATURAS'!$S433,"")</f>
        <v/>
      </c>
      <c r="E433" s="299" t="str">
        <f>IF('ASIGNACIÓN ASIGNATURAS'!$AF433=1,'ASIGNACIÓN ASIGNATURAS'!$T433,"")</f>
        <v/>
      </c>
      <c r="F433" s="299" t="str">
        <f>IF('ASIGNACIÓN ASIGNATURAS'!$AF433=1,'ASIGNACIÓN ASIGNATURAS'!$U433,"")</f>
        <v/>
      </c>
      <c r="G433" s="300" t="str">
        <f>IF(B433='PLAN DE ESTUDIO'!$XFD$41,"",+E433+F433)</f>
        <v/>
      </c>
    </row>
    <row r="434" spans="1:7" x14ac:dyDescent="0.3">
      <c r="A434" s="299" t="str">
        <f>IF('ASIGNACIÓN ASIGNATURAS'!$AF434=1,'ASIGNACIÓN ASIGNATURAS'!$M434,"")</f>
        <v/>
      </c>
      <c r="B434" s="299" t="str">
        <f>IF('ASIGNACIÓN ASIGNATURAS'!$AF434=1,'ASIGNACIÓN ASIGNATURAS'!$O434,"")</f>
        <v/>
      </c>
      <c r="C434" s="299" t="str">
        <f>IF('ASIGNACIÓN ASIGNATURAS'!$AF434=1,'ASIGNACIÓN ASIGNATURAS'!$P434,"")</f>
        <v/>
      </c>
      <c r="D434" s="299" t="str">
        <f>IF('ASIGNACIÓN ASIGNATURAS'!$AF434=1,'ASIGNACIÓN ASIGNATURAS'!$S434,"")</f>
        <v/>
      </c>
      <c r="E434" s="299" t="str">
        <f>IF('ASIGNACIÓN ASIGNATURAS'!$AF434=1,'ASIGNACIÓN ASIGNATURAS'!$T434,"")</f>
        <v/>
      </c>
      <c r="F434" s="299" t="str">
        <f>IF('ASIGNACIÓN ASIGNATURAS'!$AF434=1,'ASIGNACIÓN ASIGNATURAS'!$U434,"")</f>
        <v/>
      </c>
      <c r="G434" s="300" t="str">
        <f>IF(B434='PLAN DE ESTUDIO'!$XFD$41,"",+E434+F434)</f>
        <v/>
      </c>
    </row>
    <row r="435" spans="1:7" x14ac:dyDescent="0.3">
      <c r="A435" s="299" t="str">
        <f>IF('ASIGNACIÓN ASIGNATURAS'!$AF435=1,'ASIGNACIÓN ASIGNATURAS'!$M435,"")</f>
        <v/>
      </c>
      <c r="B435" s="299" t="str">
        <f>IF('ASIGNACIÓN ASIGNATURAS'!$AF435=1,'ASIGNACIÓN ASIGNATURAS'!$O435,"")</f>
        <v/>
      </c>
      <c r="C435" s="299" t="str">
        <f>IF('ASIGNACIÓN ASIGNATURAS'!$AF435=1,'ASIGNACIÓN ASIGNATURAS'!$P435,"")</f>
        <v/>
      </c>
      <c r="D435" s="299" t="str">
        <f>IF('ASIGNACIÓN ASIGNATURAS'!$AF435=1,'ASIGNACIÓN ASIGNATURAS'!$S435,"")</f>
        <v/>
      </c>
      <c r="E435" s="299" t="str">
        <f>IF('ASIGNACIÓN ASIGNATURAS'!$AF435=1,'ASIGNACIÓN ASIGNATURAS'!$T435,"")</f>
        <v/>
      </c>
      <c r="F435" s="299" t="str">
        <f>IF('ASIGNACIÓN ASIGNATURAS'!$AF435=1,'ASIGNACIÓN ASIGNATURAS'!$U435,"")</f>
        <v/>
      </c>
      <c r="G435" s="300" t="str">
        <f>IF(B435='PLAN DE ESTUDIO'!$XFD$41,"",+E435+F435)</f>
        <v/>
      </c>
    </row>
    <row r="436" spans="1:7" x14ac:dyDescent="0.3">
      <c r="A436" s="299" t="str">
        <f>IF('ASIGNACIÓN ASIGNATURAS'!$AF436=1,'ASIGNACIÓN ASIGNATURAS'!$M436,"")</f>
        <v/>
      </c>
      <c r="B436" s="299" t="str">
        <f>IF('ASIGNACIÓN ASIGNATURAS'!$AF436=1,'ASIGNACIÓN ASIGNATURAS'!$O436,"")</f>
        <v/>
      </c>
      <c r="C436" s="299" t="str">
        <f>IF('ASIGNACIÓN ASIGNATURAS'!$AF436=1,'ASIGNACIÓN ASIGNATURAS'!$P436,"")</f>
        <v/>
      </c>
      <c r="D436" s="299" t="str">
        <f>IF('ASIGNACIÓN ASIGNATURAS'!$AF436=1,'ASIGNACIÓN ASIGNATURAS'!$S436,"")</f>
        <v/>
      </c>
      <c r="E436" s="299" t="str">
        <f>IF('ASIGNACIÓN ASIGNATURAS'!$AF436=1,'ASIGNACIÓN ASIGNATURAS'!$T436,"")</f>
        <v/>
      </c>
      <c r="F436" s="299" t="str">
        <f>IF('ASIGNACIÓN ASIGNATURAS'!$AF436=1,'ASIGNACIÓN ASIGNATURAS'!$U436,"")</f>
        <v/>
      </c>
      <c r="G436" s="300" t="str">
        <f>IF(B436='PLAN DE ESTUDIO'!$XFD$41,"",+E436+F436)</f>
        <v/>
      </c>
    </row>
    <row r="437" spans="1:7" x14ac:dyDescent="0.3">
      <c r="A437" s="299" t="str">
        <f>IF('ASIGNACIÓN ASIGNATURAS'!$AF437=1,'ASIGNACIÓN ASIGNATURAS'!$M437,"")</f>
        <v/>
      </c>
      <c r="B437" s="299" t="str">
        <f>IF('ASIGNACIÓN ASIGNATURAS'!$AF437=1,'ASIGNACIÓN ASIGNATURAS'!$O437,"")</f>
        <v/>
      </c>
      <c r="C437" s="299" t="str">
        <f>IF('ASIGNACIÓN ASIGNATURAS'!$AF437=1,'ASIGNACIÓN ASIGNATURAS'!$P437,"")</f>
        <v/>
      </c>
      <c r="D437" s="299" t="str">
        <f>IF('ASIGNACIÓN ASIGNATURAS'!$AF437=1,'ASIGNACIÓN ASIGNATURAS'!$S437,"")</f>
        <v/>
      </c>
      <c r="E437" s="299" t="str">
        <f>IF('ASIGNACIÓN ASIGNATURAS'!$AF437=1,'ASIGNACIÓN ASIGNATURAS'!$T437,"")</f>
        <v/>
      </c>
      <c r="F437" s="299" t="str">
        <f>IF('ASIGNACIÓN ASIGNATURAS'!$AF437=1,'ASIGNACIÓN ASIGNATURAS'!$U437,"")</f>
        <v/>
      </c>
      <c r="G437" s="300" t="str">
        <f>IF(B437='PLAN DE ESTUDIO'!$XFD$41,"",+E437+F437)</f>
        <v/>
      </c>
    </row>
    <row r="438" spans="1:7" x14ac:dyDescent="0.3">
      <c r="A438" s="299" t="str">
        <f>IF('ASIGNACIÓN ASIGNATURAS'!$AF438=1,'ASIGNACIÓN ASIGNATURAS'!$M438,"")</f>
        <v/>
      </c>
      <c r="B438" s="299" t="str">
        <f>IF('ASIGNACIÓN ASIGNATURAS'!$AF438=1,'ASIGNACIÓN ASIGNATURAS'!$O438,"")</f>
        <v/>
      </c>
      <c r="C438" s="299" t="str">
        <f>IF('ASIGNACIÓN ASIGNATURAS'!$AF438=1,'ASIGNACIÓN ASIGNATURAS'!$P438,"")</f>
        <v/>
      </c>
      <c r="D438" s="299" t="str">
        <f>IF('ASIGNACIÓN ASIGNATURAS'!$AF438=1,'ASIGNACIÓN ASIGNATURAS'!$S438,"")</f>
        <v/>
      </c>
      <c r="E438" s="299" t="str">
        <f>IF('ASIGNACIÓN ASIGNATURAS'!$AF438=1,'ASIGNACIÓN ASIGNATURAS'!$T438,"")</f>
        <v/>
      </c>
      <c r="F438" s="299" t="str">
        <f>IF('ASIGNACIÓN ASIGNATURAS'!$AF438=1,'ASIGNACIÓN ASIGNATURAS'!$U438,"")</f>
        <v/>
      </c>
      <c r="G438" s="300" t="str">
        <f>IF(B438='PLAN DE ESTUDIO'!$XFD$41,"",+E438+F438)</f>
        <v/>
      </c>
    </row>
    <row r="439" spans="1:7" x14ac:dyDescent="0.3">
      <c r="A439" s="299" t="str">
        <f>IF('ASIGNACIÓN ASIGNATURAS'!$AF439=1,'ASIGNACIÓN ASIGNATURAS'!$M439,"")</f>
        <v/>
      </c>
      <c r="B439" s="299" t="str">
        <f>IF('ASIGNACIÓN ASIGNATURAS'!$AF439=1,'ASIGNACIÓN ASIGNATURAS'!$O439,"")</f>
        <v/>
      </c>
      <c r="C439" s="299" t="str">
        <f>IF('ASIGNACIÓN ASIGNATURAS'!$AF439=1,'ASIGNACIÓN ASIGNATURAS'!$P439,"")</f>
        <v/>
      </c>
      <c r="D439" s="299" t="str">
        <f>IF('ASIGNACIÓN ASIGNATURAS'!$AF439=1,'ASIGNACIÓN ASIGNATURAS'!$S439,"")</f>
        <v/>
      </c>
      <c r="E439" s="299" t="str">
        <f>IF('ASIGNACIÓN ASIGNATURAS'!$AF439=1,'ASIGNACIÓN ASIGNATURAS'!$T439,"")</f>
        <v/>
      </c>
      <c r="F439" s="299" t="str">
        <f>IF('ASIGNACIÓN ASIGNATURAS'!$AF439=1,'ASIGNACIÓN ASIGNATURAS'!$U439,"")</f>
        <v/>
      </c>
      <c r="G439" s="300" t="str">
        <f>IF(B439='PLAN DE ESTUDIO'!$XFD$41,"",+E439+F439)</f>
        <v/>
      </c>
    </row>
    <row r="440" spans="1:7" x14ac:dyDescent="0.3">
      <c r="A440" s="299" t="str">
        <f>IF('ASIGNACIÓN ASIGNATURAS'!$AF440=1,'ASIGNACIÓN ASIGNATURAS'!$M440,"")</f>
        <v/>
      </c>
      <c r="B440" s="299" t="str">
        <f>IF('ASIGNACIÓN ASIGNATURAS'!$AF440=1,'ASIGNACIÓN ASIGNATURAS'!$O440,"")</f>
        <v/>
      </c>
      <c r="C440" s="299" t="str">
        <f>IF('ASIGNACIÓN ASIGNATURAS'!$AF440=1,'ASIGNACIÓN ASIGNATURAS'!$P440,"")</f>
        <v/>
      </c>
      <c r="D440" s="299" t="str">
        <f>IF('ASIGNACIÓN ASIGNATURAS'!$AF440=1,'ASIGNACIÓN ASIGNATURAS'!$S440,"")</f>
        <v/>
      </c>
      <c r="E440" s="299" t="str">
        <f>IF('ASIGNACIÓN ASIGNATURAS'!$AF440=1,'ASIGNACIÓN ASIGNATURAS'!$T440,"")</f>
        <v/>
      </c>
      <c r="F440" s="299" t="str">
        <f>IF('ASIGNACIÓN ASIGNATURAS'!$AF440=1,'ASIGNACIÓN ASIGNATURAS'!$U440,"")</f>
        <v/>
      </c>
      <c r="G440" s="300" t="str">
        <f>IF(B440='PLAN DE ESTUDIO'!$XFD$41,"",+E440+F440)</f>
        <v/>
      </c>
    </row>
    <row r="441" spans="1:7" x14ac:dyDescent="0.3">
      <c r="A441" s="299" t="str">
        <f>IF('ASIGNACIÓN ASIGNATURAS'!$AF441=1,'ASIGNACIÓN ASIGNATURAS'!$M441,"")</f>
        <v/>
      </c>
      <c r="B441" s="299" t="str">
        <f>IF('ASIGNACIÓN ASIGNATURAS'!$AF441=1,'ASIGNACIÓN ASIGNATURAS'!$O441,"")</f>
        <v/>
      </c>
      <c r="C441" s="299" t="str">
        <f>IF('ASIGNACIÓN ASIGNATURAS'!$AF441=1,'ASIGNACIÓN ASIGNATURAS'!$P441,"")</f>
        <v/>
      </c>
      <c r="D441" s="299" t="str">
        <f>IF('ASIGNACIÓN ASIGNATURAS'!$AF441=1,'ASIGNACIÓN ASIGNATURAS'!$S441,"")</f>
        <v/>
      </c>
      <c r="E441" s="299" t="str">
        <f>IF('ASIGNACIÓN ASIGNATURAS'!$AF441=1,'ASIGNACIÓN ASIGNATURAS'!$T441,"")</f>
        <v/>
      </c>
      <c r="F441" s="299" t="str">
        <f>IF('ASIGNACIÓN ASIGNATURAS'!$AF441=1,'ASIGNACIÓN ASIGNATURAS'!$U441,"")</f>
        <v/>
      </c>
      <c r="G441" s="300" t="str">
        <f>IF(B441='PLAN DE ESTUDIO'!$XFD$41,"",+E441+F441)</f>
        <v/>
      </c>
    </row>
    <row r="442" spans="1:7" x14ac:dyDescent="0.3">
      <c r="A442" s="299" t="str">
        <f>IF('ASIGNACIÓN ASIGNATURAS'!$AF442=1,'ASIGNACIÓN ASIGNATURAS'!$M442,"")</f>
        <v/>
      </c>
      <c r="B442" s="299" t="str">
        <f>IF('ASIGNACIÓN ASIGNATURAS'!$AF442=1,'ASIGNACIÓN ASIGNATURAS'!$O442,"")</f>
        <v/>
      </c>
      <c r="C442" s="299" t="str">
        <f>IF('ASIGNACIÓN ASIGNATURAS'!$AF442=1,'ASIGNACIÓN ASIGNATURAS'!$P442,"")</f>
        <v/>
      </c>
      <c r="D442" s="299" t="str">
        <f>IF('ASIGNACIÓN ASIGNATURAS'!$AF442=1,'ASIGNACIÓN ASIGNATURAS'!$S442,"")</f>
        <v/>
      </c>
      <c r="E442" s="299" t="str">
        <f>IF('ASIGNACIÓN ASIGNATURAS'!$AF442=1,'ASIGNACIÓN ASIGNATURAS'!$T442,"")</f>
        <v/>
      </c>
      <c r="F442" s="299" t="str">
        <f>IF('ASIGNACIÓN ASIGNATURAS'!$AF442=1,'ASIGNACIÓN ASIGNATURAS'!$U442,"")</f>
        <v/>
      </c>
      <c r="G442" s="300" t="str">
        <f>IF(B442='PLAN DE ESTUDIO'!$XFD$41,"",+E442+F442)</f>
        <v/>
      </c>
    </row>
    <row r="443" spans="1:7" x14ac:dyDescent="0.3">
      <c r="A443" s="299" t="str">
        <f>IF('ASIGNACIÓN ASIGNATURAS'!$AF443=1,'ASIGNACIÓN ASIGNATURAS'!$M443,"")</f>
        <v/>
      </c>
      <c r="B443" s="299" t="str">
        <f>IF('ASIGNACIÓN ASIGNATURAS'!$AF443=1,'ASIGNACIÓN ASIGNATURAS'!$O443,"")</f>
        <v/>
      </c>
      <c r="C443" s="299" t="str">
        <f>IF('ASIGNACIÓN ASIGNATURAS'!$AF443=1,'ASIGNACIÓN ASIGNATURAS'!$P443,"")</f>
        <v/>
      </c>
      <c r="D443" s="299" t="str">
        <f>IF('ASIGNACIÓN ASIGNATURAS'!$AF443=1,'ASIGNACIÓN ASIGNATURAS'!$S443,"")</f>
        <v/>
      </c>
      <c r="E443" s="299" t="str">
        <f>IF('ASIGNACIÓN ASIGNATURAS'!$AF443=1,'ASIGNACIÓN ASIGNATURAS'!$T443,"")</f>
        <v/>
      </c>
      <c r="F443" s="299" t="str">
        <f>IF('ASIGNACIÓN ASIGNATURAS'!$AF443=1,'ASIGNACIÓN ASIGNATURAS'!$U443,"")</f>
        <v/>
      </c>
      <c r="G443" s="300" t="str">
        <f>IF(B443='PLAN DE ESTUDIO'!$XFD$41,"",+E443+F443)</f>
        <v/>
      </c>
    </row>
    <row r="444" spans="1:7" x14ac:dyDescent="0.3">
      <c r="A444" s="299" t="str">
        <f>IF('ASIGNACIÓN ASIGNATURAS'!$AF444=1,'ASIGNACIÓN ASIGNATURAS'!$M444,"")</f>
        <v/>
      </c>
      <c r="B444" s="299" t="str">
        <f>IF('ASIGNACIÓN ASIGNATURAS'!$AF444=1,'ASIGNACIÓN ASIGNATURAS'!$O444,"")</f>
        <v/>
      </c>
      <c r="C444" s="299" t="str">
        <f>IF('ASIGNACIÓN ASIGNATURAS'!$AF444=1,'ASIGNACIÓN ASIGNATURAS'!$P444,"")</f>
        <v/>
      </c>
      <c r="D444" s="299" t="str">
        <f>IF('ASIGNACIÓN ASIGNATURAS'!$AF444=1,'ASIGNACIÓN ASIGNATURAS'!$S444,"")</f>
        <v/>
      </c>
      <c r="E444" s="299" t="str">
        <f>IF('ASIGNACIÓN ASIGNATURAS'!$AF444=1,'ASIGNACIÓN ASIGNATURAS'!$T444,"")</f>
        <v/>
      </c>
      <c r="F444" s="299" t="str">
        <f>IF('ASIGNACIÓN ASIGNATURAS'!$AF444=1,'ASIGNACIÓN ASIGNATURAS'!$U444,"")</f>
        <v/>
      </c>
      <c r="G444" s="300" t="str">
        <f>IF(B444='PLAN DE ESTUDIO'!$XFD$41,"",+E444+F444)</f>
        <v/>
      </c>
    </row>
    <row r="445" spans="1:7" x14ac:dyDescent="0.3">
      <c r="A445" s="299" t="str">
        <f>IF('ASIGNACIÓN ASIGNATURAS'!$AF445=1,'ASIGNACIÓN ASIGNATURAS'!$M445,"")</f>
        <v/>
      </c>
      <c r="B445" s="299" t="str">
        <f>IF('ASIGNACIÓN ASIGNATURAS'!$AF445=1,'ASIGNACIÓN ASIGNATURAS'!$O445,"")</f>
        <v/>
      </c>
      <c r="C445" s="299" t="str">
        <f>IF('ASIGNACIÓN ASIGNATURAS'!$AF445=1,'ASIGNACIÓN ASIGNATURAS'!$P445,"")</f>
        <v/>
      </c>
      <c r="D445" s="299" t="str">
        <f>IF('ASIGNACIÓN ASIGNATURAS'!$AF445=1,'ASIGNACIÓN ASIGNATURAS'!$S445,"")</f>
        <v/>
      </c>
      <c r="E445" s="299" t="str">
        <f>IF('ASIGNACIÓN ASIGNATURAS'!$AF445=1,'ASIGNACIÓN ASIGNATURAS'!$T445,"")</f>
        <v/>
      </c>
      <c r="F445" s="299" t="str">
        <f>IF('ASIGNACIÓN ASIGNATURAS'!$AF445=1,'ASIGNACIÓN ASIGNATURAS'!$U445,"")</f>
        <v/>
      </c>
      <c r="G445" s="300" t="str">
        <f>IF(B445='PLAN DE ESTUDIO'!$XFD$41,"",+E445+F445)</f>
        <v/>
      </c>
    </row>
    <row r="446" spans="1:7" x14ac:dyDescent="0.3">
      <c r="A446" s="299" t="str">
        <f>IF('ASIGNACIÓN ASIGNATURAS'!$AF446=1,'ASIGNACIÓN ASIGNATURAS'!$M446,"")</f>
        <v/>
      </c>
      <c r="B446" s="299" t="str">
        <f>IF('ASIGNACIÓN ASIGNATURAS'!$AF446=1,'ASIGNACIÓN ASIGNATURAS'!$O446,"")</f>
        <v/>
      </c>
      <c r="C446" s="299" t="str">
        <f>IF('ASIGNACIÓN ASIGNATURAS'!$AF446=1,'ASIGNACIÓN ASIGNATURAS'!$P446,"")</f>
        <v/>
      </c>
      <c r="D446" s="299" t="str">
        <f>IF('ASIGNACIÓN ASIGNATURAS'!$AF446=1,'ASIGNACIÓN ASIGNATURAS'!$S446,"")</f>
        <v/>
      </c>
      <c r="E446" s="299" t="str">
        <f>IF('ASIGNACIÓN ASIGNATURAS'!$AF446=1,'ASIGNACIÓN ASIGNATURAS'!$T446,"")</f>
        <v/>
      </c>
      <c r="F446" s="299" t="str">
        <f>IF('ASIGNACIÓN ASIGNATURAS'!$AF446=1,'ASIGNACIÓN ASIGNATURAS'!$U446,"")</f>
        <v/>
      </c>
      <c r="G446" s="300" t="str">
        <f>IF(B446='PLAN DE ESTUDIO'!$XFD$41,"",+E446+F446)</f>
        <v/>
      </c>
    </row>
    <row r="447" spans="1:7" x14ac:dyDescent="0.3">
      <c r="A447" s="299" t="str">
        <f>IF('ASIGNACIÓN ASIGNATURAS'!$AF447=1,'ASIGNACIÓN ASIGNATURAS'!$M447,"")</f>
        <v/>
      </c>
      <c r="B447" s="299" t="str">
        <f>IF('ASIGNACIÓN ASIGNATURAS'!$AF447=1,'ASIGNACIÓN ASIGNATURAS'!$O447,"")</f>
        <v/>
      </c>
      <c r="C447" s="299" t="str">
        <f>IF('ASIGNACIÓN ASIGNATURAS'!$AF447=1,'ASIGNACIÓN ASIGNATURAS'!$P447,"")</f>
        <v/>
      </c>
      <c r="D447" s="299" t="str">
        <f>IF('ASIGNACIÓN ASIGNATURAS'!$AF447=1,'ASIGNACIÓN ASIGNATURAS'!$S447,"")</f>
        <v/>
      </c>
      <c r="E447" s="299" t="str">
        <f>IF('ASIGNACIÓN ASIGNATURAS'!$AF447=1,'ASIGNACIÓN ASIGNATURAS'!$T447,"")</f>
        <v/>
      </c>
      <c r="F447" s="299" t="str">
        <f>IF('ASIGNACIÓN ASIGNATURAS'!$AF447=1,'ASIGNACIÓN ASIGNATURAS'!$U447,"")</f>
        <v/>
      </c>
      <c r="G447" s="300" t="str">
        <f>IF(B447='PLAN DE ESTUDIO'!$XFD$41,"",+E447+F447)</f>
        <v/>
      </c>
    </row>
    <row r="448" spans="1:7" x14ac:dyDescent="0.3">
      <c r="A448" s="299" t="str">
        <f>IF('ASIGNACIÓN ASIGNATURAS'!$AF448=1,'ASIGNACIÓN ASIGNATURAS'!$M448,"")</f>
        <v/>
      </c>
      <c r="B448" s="299" t="str">
        <f>IF('ASIGNACIÓN ASIGNATURAS'!$AF448=1,'ASIGNACIÓN ASIGNATURAS'!$O448,"")</f>
        <v/>
      </c>
      <c r="C448" s="299" t="str">
        <f>IF('ASIGNACIÓN ASIGNATURAS'!$AF448=1,'ASIGNACIÓN ASIGNATURAS'!$P448,"")</f>
        <v/>
      </c>
      <c r="D448" s="299" t="str">
        <f>IF('ASIGNACIÓN ASIGNATURAS'!$AF448=1,'ASIGNACIÓN ASIGNATURAS'!$S448,"")</f>
        <v/>
      </c>
      <c r="E448" s="299" t="str">
        <f>IF('ASIGNACIÓN ASIGNATURAS'!$AF448=1,'ASIGNACIÓN ASIGNATURAS'!$T448,"")</f>
        <v/>
      </c>
      <c r="F448" s="299" t="str">
        <f>IF('ASIGNACIÓN ASIGNATURAS'!$AF448=1,'ASIGNACIÓN ASIGNATURAS'!$U448,"")</f>
        <v/>
      </c>
      <c r="G448" s="300" t="str">
        <f>IF(B448='PLAN DE ESTUDIO'!$XFD$41,"",+E448+F448)</f>
        <v/>
      </c>
    </row>
    <row r="449" spans="1:7" x14ac:dyDescent="0.3">
      <c r="A449" s="299" t="str">
        <f>IF('ASIGNACIÓN ASIGNATURAS'!$AF449=1,'ASIGNACIÓN ASIGNATURAS'!$M449,"")</f>
        <v/>
      </c>
      <c r="B449" s="299" t="str">
        <f>IF('ASIGNACIÓN ASIGNATURAS'!$AF449=1,'ASIGNACIÓN ASIGNATURAS'!$O449,"")</f>
        <v/>
      </c>
      <c r="C449" s="299" t="str">
        <f>IF('ASIGNACIÓN ASIGNATURAS'!$AF449=1,'ASIGNACIÓN ASIGNATURAS'!$P449,"")</f>
        <v/>
      </c>
      <c r="D449" s="299" t="str">
        <f>IF('ASIGNACIÓN ASIGNATURAS'!$AF449=1,'ASIGNACIÓN ASIGNATURAS'!$S449,"")</f>
        <v/>
      </c>
      <c r="E449" s="299" t="str">
        <f>IF('ASIGNACIÓN ASIGNATURAS'!$AF449=1,'ASIGNACIÓN ASIGNATURAS'!$T449,"")</f>
        <v/>
      </c>
      <c r="F449" s="299" t="str">
        <f>IF('ASIGNACIÓN ASIGNATURAS'!$AF449=1,'ASIGNACIÓN ASIGNATURAS'!$U449,"")</f>
        <v/>
      </c>
      <c r="G449" s="300" t="str">
        <f>IF(B449='PLAN DE ESTUDIO'!$XFD$41,"",+E449+F449)</f>
        <v/>
      </c>
    </row>
    <row r="450" spans="1:7" x14ac:dyDescent="0.3">
      <c r="A450" s="299" t="str">
        <f>IF('ASIGNACIÓN ASIGNATURAS'!$AF450=1,'ASIGNACIÓN ASIGNATURAS'!$M450,"")</f>
        <v/>
      </c>
      <c r="B450" s="299" t="str">
        <f>IF('ASIGNACIÓN ASIGNATURAS'!$AF450=1,'ASIGNACIÓN ASIGNATURAS'!$O450,"")</f>
        <v/>
      </c>
      <c r="C450" s="299" t="str">
        <f>IF('ASIGNACIÓN ASIGNATURAS'!$AF450=1,'ASIGNACIÓN ASIGNATURAS'!$P450,"")</f>
        <v/>
      </c>
      <c r="D450" s="299" t="str">
        <f>IF('ASIGNACIÓN ASIGNATURAS'!$AF450=1,'ASIGNACIÓN ASIGNATURAS'!$S450,"")</f>
        <v/>
      </c>
      <c r="E450" s="299" t="str">
        <f>IF('ASIGNACIÓN ASIGNATURAS'!$AF450=1,'ASIGNACIÓN ASIGNATURAS'!$T450,"")</f>
        <v/>
      </c>
      <c r="F450" s="299" t="str">
        <f>IF('ASIGNACIÓN ASIGNATURAS'!$AF450=1,'ASIGNACIÓN ASIGNATURAS'!$U450,"")</f>
        <v/>
      </c>
      <c r="G450" s="300" t="str">
        <f>IF(B450='PLAN DE ESTUDIO'!$XFD$41,"",+E450+F450)</f>
        <v/>
      </c>
    </row>
    <row r="451" spans="1:7" x14ac:dyDescent="0.3">
      <c r="A451" s="299" t="str">
        <f>IF('ASIGNACIÓN ASIGNATURAS'!$AF451=1,'ASIGNACIÓN ASIGNATURAS'!$M451,"")</f>
        <v/>
      </c>
      <c r="B451" s="299" t="str">
        <f>IF('ASIGNACIÓN ASIGNATURAS'!$AF451=1,'ASIGNACIÓN ASIGNATURAS'!$O451,"")</f>
        <v/>
      </c>
      <c r="C451" s="299" t="str">
        <f>IF('ASIGNACIÓN ASIGNATURAS'!$AF451=1,'ASIGNACIÓN ASIGNATURAS'!$P451,"")</f>
        <v/>
      </c>
      <c r="D451" s="299" t="str">
        <f>IF('ASIGNACIÓN ASIGNATURAS'!$AF451=1,'ASIGNACIÓN ASIGNATURAS'!$S451,"")</f>
        <v/>
      </c>
      <c r="E451" s="299" t="str">
        <f>IF('ASIGNACIÓN ASIGNATURAS'!$AF451=1,'ASIGNACIÓN ASIGNATURAS'!$T451,"")</f>
        <v/>
      </c>
      <c r="F451" s="299" t="str">
        <f>IF('ASIGNACIÓN ASIGNATURAS'!$AF451=1,'ASIGNACIÓN ASIGNATURAS'!$U451,"")</f>
        <v/>
      </c>
      <c r="G451" s="300" t="str">
        <f>IF(B451='PLAN DE ESTUDIO'!$XFD$41,"",+E451+F451)</f>
        <v/>
      </c>
    </row>
    <row r="452" spans="1:7" x14ac:dyDescent="0.3">
      <c r="A452" s="299" t="str">
        <f>IF('ASIGNACIÓN ASIGNATURAS'!$AF452=1,'ASIGNACIÓN ASIGNATURAS'!$M452,"")</f>
        <v/>
      </c>
      <c r="B452" s="299" t="str">
        <f>IF('ASIGNACIÓN ASIGNATURAS'!$AF452=1,'ASIGNACIÓN ASIGNATURAS'!$O452,"")</f>
        <v/>
      </c>
      <c r="C452" s="299" t="str">
        <f>IF('ASIGNACIÓN ASIGNATURAS'!$AF452=1,'ASIGNACIÓN ASIGNATURAS'!$P452,"")</f>
        <v/>
      </c>
      <c r="D452" s="299" t="str">
        <f>IF('ASIGNACIÓN ASIGNATURAS'!$AF452=1,'ASIGNACIÓN ASIGNATURAS'!$S452,"")</f>
        <v/>
      </c>
      <c r="E452" s="299" t="str">
        <f>IF('ASIGNACIÓN ASIGNATURAS'!$AF452=1,'ASIGNACIÓN ASIGNATURAS'!$T452,"")</f>
        <v/>
      </c>
      <c r="F452" s="299" t="str">
        <f>IF('ASIGNACIÓN ASIGNATURAS'!$AF452=1,'ASIGNACIÓN ASIGNATURAS'!$U452,"")</f>
        <v/>
      </c>
      <c r="G452" s="300" t="str">
        <f>IF(B452='PLAN DE ESTUDIO'!$XFD$41,"",+E452+F452)</f>
        <v/>
      </c>
    </row>
    <row r="453" spans="1:7" x14ac:dyDescent="0.3">
      <c r="A453" s="299" t="str">
        <f>IF('ASIGNACIÓN ASIGNATURAS'!$AF453=1,'ASIGNACIÓN ASIGNATURAS'!$M453,"")</f>
        <v/>
      </c>
      <c r="B453" s="299" t="str">
        <f>IF('ASIGNACIÓN ASIGNATURAS'!$AF453=1,'ASIGNACIÓN ASIGNATURAS'!$O453,"")</f>
        <v/>
      </c>
      <c r="C453" s="299" t="str">
        <f>IF('ASIGNACIÓN ASIGNATURAS'!$AF453=1,'ASIGNACIÓN ASIGNATURAS'!$P453,"")</f>
        <v/>
      </c>
      <c r="D453" s="299" t="str">
        <f>IF('ASIGNACIÓN ASIGNATURAS'!$AF453=1,'ASIGNACIÓN ASIGNATURAS'!$S453,"")</f>
        <v/>
      </c>
      <c r="E453" s="299" t="str">
        <f>IF('ASIGNACIÓN ASIGNATURAS'!$AF453=1,'ASIGNACIÓN ASIGNATURAS'!$T453,"")</f>
        <v/>
      </c>
      <c r="F453" s="299" t="str">
        <f>IF('ASIGNACIÓN ASIGNATURAS'!$AF453=1,'ASIGNACIÓN ASIGNATURAS'!$U453,"")</f>
        <v/>
      </c>
      <c r="G453" s="300" t="str">
        <f>IF(B453='PLAN DE ESTUDIO'!$XFD$41,"",+E453+F453)</f>
        <v/>
      </c>
    </row>
    <row r="454" spans="1:7" x14ac:dyDescent="0.3">
      <c r="A454" s="299" t="str">
        <f>IF('ASIGNACIÓN ASIGNATURAS'!$AF454=1,'ASIGNACIÓN ASIGNATURAS'!$M454,"")</f>
        <v/>
      </c>
      <c r="B454" s="299" t="str">
        <f>IF('ASIGNACIÓN ASIGNATURAS'!$AF454=1,'ASIGNACIÓN ASIGNATURAS'!$O454,"")</f>
        <v/>
      </c>
      <c r="C454" s="299" t="str">
        <f>IF('ASIGNACIÓN ASIGNATURAS'!$AF454=1,'ASIGNACIÓN ASIGNATURAS'!$P454,"")</f>
        <v/>
      </c>
      <c r="D454" s="299" t="str">
        <f>IF('ASIGNACIÓN ASIGNATURAS'!$AF454=1,'ASIGNACIÓN ASIGNATURAS'!$S454,"")</f>
        <v/>
      </c>
      <c r="E454" s="299" t="str">
        <f>IF('ASIGNACIÓN ASIGNATURAS'!$AF454=1,'ASIGNACIÓN ASIGNATURAS'!$T454,"")</f>
        <v/>
      </c>
      <c r="F454" s="299" t="str">
        <f>IF('ASIGNACIÓN ASIGNATURAS'!$AF454=1,'ASIGNACIÓN ASIGNATURAS'!$U454,"")</f>
        <v/>
      </c>
      <c r="G454" s="300" t="str">
        <f>IF(B454='PLAN DE ESTUDIO'!$XFD$41,"",+E454+F454)</f>
        <v/>
      </c>
    </row>
    <row r="455" spans="1:7" x14ac:dyDescent="0.3">
      <c r="A455" s="299" t="str">
        <f>IF('ASIGNACIÓN ASIGNATURAS'!$AF455=1,'ASIGNACIÓN ASIGNATURAS'!$M455,"")</f>
        <v/>
      </c>
      <c r="B455" s="299" t="str">
        <f>IF('ASIGNACIÓN ASIGNATURAS'!$AF455=1,'ASIGNACIÓN ASIGNATURAS'!$O455,"")</f>
        <v/>
      </c>
      <c r="C455" s="299" t="str">
        <f>IF('ASIGNACIÓN ASIGNATURAS'!$AF455=1,'ASIGNACIÓN ASIGNATURAS'!$P455,"")</f>
        <v/>
      </c>
      <c r="D455" s="299" t="str">
        <f>IF('ASIGNACIÓN ASIGNATURAS'!$AF455=1,'ASIGNACIÓN ASIGNATURAS'!$S455,"")</f>
        <v/>
      </c>
      <c r="E455" s="299" t="str">
        <f>IF('ASIGNACIÓN ASIGNATURAS'!$AF455=1,'ASIGNACIÓN ASIGNATURAS'!$T455,"")</f>
        <v/>
      </c>
      <c r="F455" s="299" t="str">
        <f>IF('ASIGNACIÓN ASIGNATURAS'!$AF455=1,'ASIGNACIÓN ASIGNATURAS'!$U455,"")</f>
        <v/>
      </c>
      <c r="G455" s="300" t="str">
        <f>IF(B455='PLAN DE ESTUDIO'!$XFD$41,"",+E455+F455)</f>
        <v/>
      </c>
    </row>
    <row r="456" spans="1:7" x14ac:dyDescent="0.3">
      <c r="A456" s="299" t="str">
        <f>IF('ASIGNACIÓN ASIGNATURAS'!$AF456=1,'ASIGNACIÓN ASIGNATURAS'!$M456,"")</f>
        <v/>
      </c>
      <c r="B456" s="299" t="str">
        <f>IF('ASIGNACIÓN ASIGNATURAS'!$AF456=1,'ASIGNACIÓN ASIGNATURAS'!$O456,"")</f>
        <v/>
      </c>
      <c r="C456" s="299" t="str">
        <f>IF('ASIGNACIÓN ASIGNATURAS'!$AF456=1,'ASIGNACIÓN ASIGNATURAS'!$P456,"")</f>
        <v/>
      </c>
      <c r="D456" s="299" t="str">
        <f>IF('ASIGNACIÓN ASIGNATURAS'!$AF456=1,'ASIGNACIÓN ASIGNATURAS'!$S456,"")</f>
        <v/>
      </c>
      <c r="E456" s="299" t="str">
        <f>IF('ASIGNACIÓN ASIGNATURAS'!$AF456=1,'ASIGNACIÓN ASIGNATURAS'!$T456,"")</f>
        <v/>
      </c>
      <c r="F456" s="299" t="str">
        <f>IF('ASIGNACIÓN ASIGNATURAS'!$AF456=1,'ASIGNACIÓN ASIGNATURAS'!$U456,"")</f>
        <v/>
      </c>
      <c r="G456" s="300" t="str">
        <f>IF(B456='PLAN DE ESTUDIO'!$XFD$41,"",+E456+F456)</f>
        <v/>
      </c>
    </row>
    <row r="457" spans="1:7" x14ac:dyDescent="0.3">
      <c r="A457" s="299" t="str">
        <f>IF('ASIGNACIÓN ASIGNATURAS'!$AF457=1,'ASIGNACIÓN ASIGNATURAS'!$M457,"")</f>
        <v/>
      </c>
      <c r="B457" s="299" t="str">
        <f>IF('ASIGNACIÓN ASIGNATURAS'!$AF457=1,'ASIGNACIÓN ASIGNATURAS'!$O457,"")</f>
        <v/>
      </c>
      <c r="C457" s="299" t="str">
        <f>IF('ASIGNACIÓN ASIGNATURAS'!$AF457=1,'ASIGNACIÓN ASIGNATURAS'!$P457,"")</f>
        <v/>
      </c>
      <c r="D457" s="299" t="str">
        <f>IF('ASIGNACIÓN ASIGNATURAS'!$AF457=1,'ASIGNACIÓN ASIGNATURAS'!$S457,"")</f>
        <v/>
      </c>
      <c r="E457" s="299" t="str">
        <f>IF('ASIGNACIÓN ASIGNATURAS'!$AF457=1,'ASIGNACIÓN ASIGNATURAS'!$T457,"")</f>
        <v/>
      </c>
      <c r="F457" s="299" t="str">
        <f>IF('ASIGNACIÓN ASIGNATURAS'!$AF457=1,'ASIGNACIÓN ASIGNATURAS'!$U457,"")</f>
        <v/>
      </c>
      <c r="G457" s="300" t="str">
        <f>IF(B457='PLAN DE ESTUDIO'!$XFD$41,"",+E457+F457)</f>
        <v/>
      </c>
    </row>
    <row r="458" spans="1:7" x14ac:dyDescent="0.3">
      <c r="A458" s="299" t="str">
        <f>IF('ASIGNACIÓN ASIGNATURAS'!$AF458=1,'ASIGNACIÓN ASIGNATURAS'!$M458,"")</f>
        <v/>
      </c>
      <c r="B458" s="299" t="str">
        <f>IF('ASIGNACIÓN ASIGNATURAS'!$AF458=1,'ASIGNACIÓN ASIGNATURAS'!$O458,"")</f>
        <v/>
      </c>
      <c r="C458" s="299" t="str">
        <f>IF('ASIGNACIÓN ASIGNATURAS'!$AF458=1,'ASIGNACIÓN ASIGNATURAS'!$P458,"")</f>
        <v/>
      </c>
      <c r="D458" s="299" t="str">
        <f>IF('ASIGNACIÓN ASIGNATURAS'!$AF458=1,'ASIGNACIÓN ASIGNATURAS'!$S458,"")</f>
        <v/>
      </c>
      <c r="E458" s="299" t="str">
        <f>IF('ASIGNACIÓN ASIGNATURAS'!$AF458=1,'ASIGNACIÓN ASIGNATURAS'!$T458,"")</f>
        <v/>
      </c>
      <c r="F458" s="299" t="str">
        <f>IF('ASIGNACIÓN ASIGNATURAS'!$AF458=1,'ASIGNACIÓN ASIGNATURAS'!$U458,"")</f>
        <v/>
      </c>
      <c r="G458" s="300" t="str">
        <f>IF(B458='PLAN DE ESTUDIO'!$XFD$41,"",+E458+F458)</f>
        <v/>
      </c>
    </row>
    <row r="459" spans="1:7" x14ac:dyDescent="0.3">
      <c r="A459" s="299" t="str">
        <f>IF('ASIGNACIÓN ASIGNATURAS'!$AF459=1,'ASIGNACIÓN ASIGNATURAS'!$M459,"")</f>
        <v/>
      </c>
      <c r="B459" s="299" t="str">
        <f>IF('ASIGNACIÓN ASIGNATURAS'!$AF459=1,'ASIGNACIÓN ASIGNATURAS'!$O459,"")</f>
        <v/>
      </c>
      <c r="C459" s="299" t="str">
        <f>IF('ASIGNACIÓN ASIGNATURAS'!$AF459=1,'ASIGNACIÓN ASIGNATURAS'!$P459,"")</f>
        <v/>
      </c>
      <c r="D459" s="299" t="str">
        <f>IF('ASIGNACIÓN ASIGNATURAS'!$AF459=1,'ASIGNACIÓN ASIGNATURAS'!$S459,"")</f>
        <v/>
      </c>
      <c r="E459" s="299" t="str">
        <f>IF('ASIGNACIÓN ASIGNATURAS'!$AF459=1,'ASIGNACIÓN ASIGNATURAS'!$T459,"")</f>
        <v/>
      </c>
      <c r="F459" s="299" t="str">
        <f>IF('ASIGNACIÓN ASIGNATURAS'!$AF459=1,'ASIGNACIÓN ASIGNATURAS'!$U459,"")</f>
        <v/>
      </c>
      <c r="G459" s="300" t="str">
        <f>IF(B459='PLAN DE ESTUDIO'!$XFD$41,"",+E459+F459)</f>
        <v/>
      </c>
    </row>
    <row r="460" spans="1:7" x14ac:dyDescent="0.3">
      <c r="A460" s="299" t="str">
        <f>IF('ASIGNACIÓN ASIGNATURAS'!$AF460=1,'ASIGNACIÓN ASIGNATURAS'!$M460,"")</f>
        <v/>
      </c>
      <c r="B460" s="299" t="str">
        <f>IF('ASIGNACIÓN ASIGNATURAS'!$AF460=1,'ASIGNACIÓN ASIGNATURAS'!$O460,"")</f>
        <v/>
      </c>
      <c r="C460" s="299" t="str">
        <f>IF('ASIGNACIÓN ASIGNATURAS'!$AF460=1,'ASIGNACIÓN ASIGNATURAS'!$P460,"")</f>
        <v/>
      </c>
      <c r="D460" s="299" t="str">
        <f>IF('ASIGNACIÓN ASIGNATURAS'!$AF460=1,'ASIGNACIÓN ASIGNATURAS'!$S460,"")</f>
        <v/>
      </c>
      <c r="E460" s="299" t="str">
        <f>IF('ASIGNACIÓN ASIGNATURAS'!$AF460=1,'ASIGNACIÓN ASIGNATURAS'!$T460,"")</f>
        <v/>
      </c>
      <c r="F460" s="299" t="str">
        <f>IF('ASIGNACIÓN ASIGNATURAS'!$AF460=1,'ASIGNACIÓN ASIGNATURAS'!$U460,"")</f>
        <v/>
      </c>
      <c r="G460" s="300" t="str">
        <f>IF(B460='PLAN DE ESTUDIO'!$XFD$41,"",+E460+F460)</f>
        <v/>
      </c>
    </row>
    <row r="461" spans="1:7" x14ac:dyDescent="0.3">
      <c r="A461" s="299" t="str">
        <f>IF('ASIGNACIÓN ASIGNATURAS'!$AF461=1,'ASIGNACIÓN ASIGNATURAS'!$M461,"")</f>
        <v/>
      </c>
      <c r="B461" s="299" t="str">
        <f>IF('ASIGNACIÓN ASIGNATURAS'!$AF461=1,'ASIGNACIÓN ASIGNATURAS'!$O461,"")</f>
        <v/>
      </c>
      <c r="C461" s="299" t="str">
        <f>IF('ASIGNACIÓN ASIGNATURAS'!$AF461=1,'ASIGNACIÓN ASIGNATURAS'!$P461,"")</f>
        <v/>
      </c>
      <c r="D461" s="299" t="str">
        <f>IF('ASIGNACIÓN ASIGNATURAS'!$AF461=1,'ASIGNACIÓN ASIGNATURAS'!$S461,"")</f>
        <v/>
      </c>
      <c r="E461" s="299" t="str">
        <f>IF('ASIGNACIÓN ASIGNATURAS'!$AF461=1,'ASIGNACIÓN ASIGNATURAS'!$T461,"")</f>
        <v/>
      </c>
      <c r="F461" s="299" t="str">
        <f>IF('ASIGNACIÓN ASIGNATURAS'!$AF461=1,'ASIGNACIÓN ASIGNATURAS'!$U461,"")</f>
        <v/>
      </c>
      <c r="G461" s="300" t="str">
        <f>IF(B461='PLAN DE ESTUDIO'!$XFD$41,"",+E461+F461)</f>
        <v/>
      </c>
    </row>
    <row r="462" spans="1:7" x14ac:dyDescent="0.3">
      <c r="A462" s="299" t="str">
        <f>IF('ASIGNACIÓN ASIGNATURAS'!$AF462=1,'ASIGNACIÓN ASIGNATURAS'!$M462,"")</f>
        <v/>
      </c>
      <c r="B462" s="299" t="str">
        <f>IF('ASIGNACIÓN ASIGNATURAS'!$AF462=1,'ASIGNACIÓN ASIGNATURAS'!$O462,"")</f>
        <v/>
      </c>
      <c r="C462" s="299" t="str">
        <f>IF('ASIGNACIÓN ASIGNATURAS'!$AF462=1,'ASIGNACIÓN ASIGNATURAS'!$P462,"")</f>
        <v/>
      </c>
      <c r="D462" s="299" t="str">
        <f>IF('ASIGNACIÓN ASIGNATURAS'!$AF462=1,'ASIGNACIÓN ASIGNATURAS'!$S462,"")</f>
        <v/>
      </c>
      <c r="E462" s="299" t="str">
        <f>IF('ASIGNACIÓN ASIGNATURAS'!$AF462=1,'ASIGNACIÓN ASIGNATURAS'!$T462,"")</f>
        <v/>
      </c>
      <c r="F462" s="299" t="str">
        <f>IF('ASIGNACIÓN ASIGNATURAS'!$AF462=1,'ASIGNACIÓN ASIGNATURAS'!$U462,"")</f>
        <v/>
      </c>
      <c r="G462" s="300" t="str">
        <f>IF(B462='PLAN DE ESTUDIO'!$XFD$41,"",+E462+F462)</f>
        <v/>
      </c>
    </row>
    <row r="463" spans="1:7" x14ac:dyDescent="0.3">
      <c r="A463" s="299" t="str">
        <f>IF('ASIGNACIÓN ASIGNATURAS'!$AF463=1,'ASIGNACIÓN ASIGNATURAS'!$M463,"")</f>
        <v/>
      </c>
      <c r="B463" s="299" t="str">
        <f>IF('ASIGNACIÓN ASIGNATURAS'!$AF463=1,'ASIGNACIÓN ASIGNATURAS'!$O463,"")</f>
        <v/>
      </c>
      <c r="C463" s="299" t="str">
        <f>IF('ASIGNACIÓN ASIGNATURAS'!$AF463=1,'ASIGNACIÓN ASIGNATURAS'!$P463,"")</f>
        <v/>
      </c>
      <c r="D463" s="299" t="str">
        <f>IF('ASIGNACIÓN ASIGNATURAS'!$AF463=1,'ASIGNACIÓN ASIGNATURAS'!$S463,"")</f>
        <v/>
      </c>
      <c r="E463" s="299" t="str">
        <f>IF('ASIGNACIÓN ASIGNATURAS'!$AF463=1,'ASIGNACIÓN ASIGNATURAS'!$T463,"")</f>
        <v/>
      </c>
      <c r="F463" s="299" t="str">
        <f>IF('ASIGNACIÓN ASIGNATURAS'!$AF463=1,'ASIGNACIÓN ASIGNATURAS'!$U463,"")</f>
        <v/>
      </c>
      <c r="G463" s="300" t="str">
        <f>IF(B463='PLAN DE ESTUDIO'!$XFD$41,"",+E463+F463)</f>
        <v/>
      </c>
    </row>
    <row r="464" spans="1:7" x14ac:dyDescent="0.3">
      <c r="A464" s="299" t="str">
        <f>IF('ASIGNACIÓN ASIGNATURAS'!$AF464=1,'ASIGNACIÓN ASIGNATURAS'!$M464,"")</f>
        <v/>
      </c>
      <c r="B464" s="299" t="str">
        <f>IF('ASIGNACIÓN ASIGNATURAS'!$AF464=1,'ASIGNACIÓN ASIGNATURAS'!$O464,"")</f>
        <v/>
      </c>
      <c r="C464" s="299" t="str">
        <f>IF('ASIGNACIÓN ASIGNATURAS'!$AF464=1,'ASIGNACIÓN ASIGNATURAS'!$P464,"")</f>
        <v/>
      </c>
      <c r="D464" s="299" t="str">
        <f>IF('ASIGNACIÓN ASIGNATURAS'!$AF464=1,'ASIGNACIÓN ASIGNATURAS'!$S464,"")</f>
        <v/>
      </c>
      <c r="E464" s="299" t="str">
        <f>IF('ASIGNACIÓN ASIGNATURAS'!$AF464=1,'ASIGNACIÓN ASIGNATURAS'!$T464,"")</f>
        <v/>
      </c>
      <c r="F464" s="299" t="str">
        <f>IF('ASIGNACIÓN ASIGNATURAS'!$AF464=1,'ASIGNACIÓN ASIGNATURAS'!$U464,"")</f>
        <v/>
      </c>
      <c r="G464" s="300" t="str">
        <f>IF(B464='PLAN DE ESTUDIO'!$XFD$41,"",+E464+F464)</f>
        <v/>
      </c>
    </row>
    <row r="465" spans="1:7" x14ac:dyDescent="0.3">
      <c r="A465" s="299" t="str">
        <f>IF('ASIGNACIÓN ASIGNATURAS'!$AF465=1,'ASIGNACIÓN ASIGNATURAS'!$M465,"")</f>
        <v/>
      </c>
      <c r="B465" s="299" t="str">
        <f>IF('ASIGNACIÓN ASIGNATURAS'!$AF465=1,'ASIGNACIÓN ASIGNATURAS'!$O465,"")</f>
        <v/>
      </c>
      <c r="C465" s="299" t="str">
        <f>IF('ASIGNACIÓN ASIGNATURAS'!$AF465=1,'ASIGNACIÓN ASIGNATURAS'!$P465,"")</f>
        <v/>
      </c>
      <c r="D465" s="299" t="str">
        <f>IF('ASIGNACIÓN ASIGNATURAS'!$AF465=1,'ASIGNACIÓN ASIGNATURAS'!$S465,"")</f>
        <v/>
      </c>
      <c r="E465" s="299" t="str">
        <f>IF('ASIGNACIÓN ASIGNATURAS'!$AF465=1,'ASIGNACIÓN ASIGNATURAS'!$T465,"")</f>
        <v/>
      </c>
      <c r="F465" s="299" t="str">
        <f>IF('ASIGNACIÓN ASIGNATURAS'!$AF465=1,'ASIGNACIÓN ASIGNATURAS'!$U465,"")</f>
        <v/>
      </c>
      <c r="G465" s="300" t="str">
        <f>IF(B465='PLAN DE ESTUDIO'!$XFD$41,"",+E465+F465)</f>
        <v/>
      </c>
    </row>
    <row r="466" spans="1:7" x14ac:dyDescent="0.3">
      <c r="A466" s="299" t="str">
        <f>IF('ASIGNACIÓN ASIGNATURAS'!$AF466=1,'ASIGNACIÓN ASIGNATURAS'!$M466,"")</f>
        <v/>
      </c>
      <c r="B466" s="299" t="str">
        <f>IF('ASIGNACIÓN ASIGNATURAS'!$AF466=1,'ASIGNACIÓN ASIGNATURAS'!$O466,"")</f>
        <v/>
      </c>
      <c r="C466" s="299" t="str">
        <f>IF('ASIGNACIÓN ASIGNATURAS'!$AF466=1,'ASIGNACIÓN ASIGNATURAS'!$P466,"")</f>
        <v/>
      </c>
      <c r="D466" s="299" t="str">
        <f>IF('ASIGNACIÓN ASIGNATURAS'!$AF466=1,'ASIGNACIÓN ASIGNATURAS'!$S466,"")</f>
        <v/>
      </c>
      <c r="E466" s="299" t="str">
        <f>IF('ASIGNACIÓN ASIGNATURAS'!$AF466=1,'ASIGNACIÓN ASIGNATURAS'!$T466,"")</f>
        <v/>
      </c>
      <c r="F466" s="299" t="str">
        <f>IF('ASIGNACIÓN ASIGNATURAS'!$AF466=1,'ASIGNACIÓN ASIGNATURAS'!$U466,"")</f>
        <v/>
      </c>
      <c r="G466" s="300" t="str">
        <f>IF(B466='PLAN DE ESTUDIO'!$XFD$41,"",+E466+F466)</f>
        <v/>
      </c>
    </row>
    <row r="467" spans="1:7" x14ac:dyDescent="0.3">
      <c r="A467" s="299" t="str">
        <f>IF('ASIGNACIÓN ASIGNATURAS'!$AF467=1,'ASIGNACIÓN ASIGNATURAS'!$M467,"")</f>
        <v/>
      </c>
      <c r="B467" s="299" t="str">
        <f>IF('ASIGNACIÓN ASIGNATURAS'!$AF467=1,'ASIGNACIÓN ASIGNATURAS'!$O467,"")</f>
        <v/>
      </c>
      <c r="C467" s="299" t="str">
        <f>IF('ASIGNACIÓN ASIGNATURAS'!$AF467=1,'ASIGNACIÓN ASIGNATURAS'!$P467,"")</f>
        <v/>
      </c>
      <c r="D467" s="299" t="str">
        <f>IF('ASIGNACIÓN ASIGNATURAS'!$AF467=1,'ASIGNACIÓN ASIGNATURAS'!$S467,"")</f>
        <v/>
      </c>
      <c r="E467" s="299" t="str">
        <f>IF('ASIGNACIÓN ASIGNATURAS'!$AF467=1,'ASIGNACIÓN ASIGNATURAS'!$T467,"")</f>
        <v/>
      </c>
      <c r="F467" s="299" t="str">
        <f>IF('ASIGNACIÓN ASIGNATURAS'!$AF467=1,'ASIGNACIÓN ASIGNATURAS'!$U467,"")</f>
        <v/>
      </c>
      <c r="G467" s="300" t="str">
        <f>IF(B467='PLAN DE ESTUDIO'!$XFD$41,"",+E467+F467)</f>
        <v/>
      </c>
    </row>
    <row r="468" spans="1:7" x14ac:dyDescent="0.3">
      <c r="A468" s="299" t="str">
        <f>IF('ASIGNACIÓN ASIGNATURAS'!$AF468=1,'ASIGNACIÓN ASIGNATURAS'!$M468,"")</f>
        <v/>
      </c>
      <c r="B468" s="299" t="str">
        <f>IF('ASIGNACIÓN ASIGNATURAS'!$AF468=1,'ASIGNACIÓN ASIGNATURAS'!$O468,"")</f>
        <v/>
      </c>
      <c r="C468" s="299" t="str">
        <f>IF('ASIGNACIÓN ASIGNATURAS'!$AF468=1,'ASIGNACIÓN ASIGNATURAS'!$P468,"")</f>
        <v/>
      </c>
      <c r="D468" s="299" t="str">
        <f>IF('ASIGNACIÓN ASIGNATURAS'!$AF468=1,'ASIGNACIÓN ASIGNATURAS'!$S468,"")</f>
        <v/>
      </c>
      <c r="E468" s="299" t="str">
        <f>IF('ASIGNACIÓN ASIGNATURAS'!$AF468=1,'ASIGNACIÓN ASIGNATURAS'!$T468,"")</f>
        <v/>
      </c>
      <c r="F468" s="299" t="str">
        <f>IF('ASIGNACIÓN ASIGNATURAS'!$AF468=1,'ASIGNACIÓN ASIGNATURAS'!$U468,"")</f>
        <v/>
      </c>
      <c r="G468" s="300" t="str">
        <f>IF(B468='PLAN DE ESTUDIO'!$XFD$41,"",+E468+F468)</f>
        <v/>
      </c>
    </row>
    <row r="469" spans="1:7" x14ac:dyDescent="0.3">
      <c r="A469" s="299" t="str">
        <f>IF('ASIGNACIÓN ASIGNATURAS'!$AF469=1,'ASIGNACIÓN ASIGNATURAS'!$M469,"")</f>
        <v/>
      </c>
      <c r="B469" s="299" t="str">
        <f>IF('ASIGNACIÓN ASIGNATURAS'!$AF469=1,'ASIGNACIÓN ASIGNATURAS'!$O469,"")</f>
        <v/>
      </c>
      <c r="C469" s="299" t="str">
        <f>IF('ASIGNACIÓN ASIGNATURAS'!$AF469=1,'ASIGNACIÓN ASIGNATURAS'!$P469,"")</f>
        <v/>
      </c>
      <c r="D469" s="299" t="str">
        <f>IF('ASIGNACIÓN ASIGNATURAS'!$AF469=1,'ASIGNACIÓN ASIGNATURAS'!$S469,"")</f>
        <v/>
      </c>
      <c r="E469" s="299" t="str">
        <f>IF('ASIGNACIÓN ASIGNATURAS'!$AF469=1,'ASIGNACIÓN ASIGNATURAS'!$T469,"")</f>
        <v/>
      </c>
      <c r="F469" s="299" t="str">
        <f>IF('ASIGNACIÓN ASIGNATURAS'!$AF469=1,'ASIGNACIÓN ASIGNATURAS'!$U469,"")</f>
        <v/>
      </c>
      <c r="G469" s="300" t="str">
        <f>IF(B469='PLAN DE ESTUDIO'!$XFD$41,"",+E469+F469)</f>
        <v/>
      </c>
    </row>
    <row r="470" spans="1:7" x14ac:dyDescent="0.3">
      <c r="A470" s="299" t="str">
        <f>IF('ASIGNACIÓN ASIGNATURAS'!$AF470=1,'ASIGNACIÓN ASIGNATURAS'!$M470,"")</f>
        <v/>
      </c>
      <c r="B470" s="299" t="str">
        <f>IF('ASIGNACIÓN ASIGNATURAS'!$AF470=1,'ASIGNACIÓN ASIGNATURAS'!$O470,"")</f>
        <v/>
      </c>
      <c r="C470" s="299" t="str">
        <f>IF('ASIGNACIÓN ASIGNATURAS'!$AF470=1,'ASIGNACIÓN ASIGNATURAS'!$P470,"")</f>
        <v/>
      </c>
      <c r="D470" s="299" t="str">
        <f>IF('ASIGNACIÓN ASIGNATURAS'!$AF470=1,'ASIGNACIÓN ASIGNATURAS'!$S470,"")</f>
        <v/>
      </c>
      <c r="E470" s="299" t="str">
        <f>IF('ASIGNACIÓN ASIGNATURAS'!$AF470=1,'ASIGNACIÓN ASIGNATURAS'!$T470,"")</f>
        <v/>
      </c>
      <c r="F470" s="299" t="str">
        <f>IF('ASIGNACIÓN ASIGNATURAS'!$AF470=1,'ASIGNACIÓN ASIGNATURAS'!$U470,"")</f>
        <v/>
      </c>
      <c r="G470" s="300" t="str">
        <f>IF(B470='PLAN DE ESTUDIO'!$XFD$41,"",+E470+F470)</f>
        <v/>
      </c>
    </row>
    <row r="471" spans="1:7" x14ac:dyDescent="0.3">
      <c r="A471" s="299" t="str">
        <f>IF('ASIGNACIÓN ASIGNATURAS'!$AF471=1,'ASIGNACIÓN ASIGNATURAS'!$M471,"")</f>
        <v/>
      </c>
      <c r="B471" s="299" t="str">
        <f>IF('ASIGNACIÓN ASIGNATURAS'!$AF471=1,'ASIGNACIÓN ASIGNATURAS'!$O471,"")</f>
        <v/>
      </c>
      <c r="C471" s="299" t="str">
        <f>IF('ASIGNACIÓN ASIGNATURAS'!$AF471=1,'ASIGNACIÓN ASIGNATURAS'!$P471,"")</f>
        <v/>
      </c>
      <c r="D471" s="299" t="str">
        <f>IF('ASIGNACIÓN ASIGNATURAS'!$AF471=1,'ASIGNACIÓN ASIGNATURAS'!$S471,"")</f>
        <v/>
      </c>
      <c r="E471" s="299" t="str">
        <f>IF('ASIGNACIÓN ASIGNATURAS'!$AF471=1,'ASIGNACIÓN ASIGNATURAS'!$T471,"")</f>
        <v/>
      </c>
      <c r="F471" s="299" t="str">
        <f>IF('ASIGNACIÓN ASIGNATURAS'!$AF471=1,'ASIGNACIÓN ASIGNATURAS'!$U471,"")</f>
        <v/>
      </c>
      <c r="G471" s="300" t="str">
        <f>IF(B471='PLAN DE ESTUDIO'!$XFD$41,"",+E471+F471)</f>
        <v/>
      </c>
    </row>
    <row r="472" spans="1:7" x14ac:dyDescent="0.3">
      <c r="A472" s="299" t="str">
        <f>IF('ASIGNACIÓN ASIGNATURAS'!$AF472=1,'ASIGNACIÓN ASIGNATURAS'!$M472,"")</f>
        <v/>
      </c>
      <c r="B472" s="299" t="str">
        <f>IF('ASIGNACIÓN ASIGNATURAS'!$AF472=1,'ASIGNACIÓN ASIGNATURAS'!$O472,"")</f>
        <v/>
      </c>
      <c r="C472" s="299" t="str">
        <f>IF('ASIGNACIÓN ASIGNATURAS'!$AF472=1,'ASIGNACIÓN ASIGNATURAS'!$P472,"")</f>
        <v/>
      </c>
      <c r="D472" s="299" t="str">
        <f>IF('ASIGNACIÓN ASIGNATURAS'!$AF472=1,'ASIGNACIÓN ASIGNATURAS'!$S472,"")</f>
        <v/>
      </c>
      <c r="E472" s="299" t="str">
        <f>IF('ASIGNACIÓN ASIGNATURAS'!$AF472=1,'ASIGNACIÓN ASIGNATURAS'!$T472,"")</f>
        <v/>
      </c>
      <c r="F472" s="299" t="str">
        <f>IF('ASIGNACIÓN ASIGNATURAS'!$AF472=1,'ASIGNACIÓN ASIGNATURAS'!$U472,"")</f>
        <v/>
      </c>
      <c r="G472" s="300" t="str">
        <f>IF(B472='PLAN DE ESTUDIO'!$XFD$41,"",+E472+F472)</f>
        <v/>
      </c>
    </row>
    <row r="473" spans="1:7" x14ac:dyDescent="0.3">
      <c r="A473" s="299" t="str">
        <f>IF('ASIGNACIÓN ASIGNATURAS'!$AF473=1,'ASIGNACIÓN ASIGNATURAS'!$M473,"")</f>
        <v/>
      </c>
      <c r="B473" s="299" t="str">
        <f>IF('ASIGNACIÓN ASIGNATURAS'!$AF473=1,'ASIGNACIÓN ASIGNATURAS'!$O473,"")</f>
        <v/>
      </c>
      <c r="C473" s="299" t="str">
        <f>IF('ASIGNACIÓN ASIGNATURAS'!$AF473=1,'ASIGNACIÓN ASIGNATURAS'!$P473,"")</f>
        <v/>
      </c>
      <c r="D473" s="299" t="str">
        <f>IF('ASIGNACIÓN ASIGNATURAS'!$AF473=1,'ASIGNACIÓN ASIGNATURAS'!$S473,"")</f>
        <v/>
      </c>
      <c r="E473" s="299" t="str">
        <f>IF('ASIGNACIÓN ASIGNATURAS'!$AF473=1,'ASIGNACIÓN ASIGNATURAS'!$T473,"")</f>
        <v/>
      </c>
      <c r="F473" s="299" t="str">
        <f>IF('ASIGNACIÓN ASIGNATURAS'!$AF473=1,'ASIGNACIÓN ASIGNATURAS'!$U473,"")</f>
        <v/>
      </c>
      <c r="G473" s="300" t="str">
        <f>IF(B473='PLAN DE ESTUDIO'!$XFD$41,"",+E473+F473)</f>
        <v/>
      </c>
    </row>
    <row r="474" spans="1:7" x14ac:dyDescent="0.3">
      <c r="A474" s="299" t="str">
        <f>IF('ASIGNACIÓN ASIGNATURAS'!$AF474=1,'ASIGNACIÓN ASIGNATURAS'!$M474,"")</f>
        <v/>
      </c>
      <c r="B474" s="299" t="str">
        <f>IF('ASIGNACIÓN ASIGNATURAS'!$AF474=1,'ASIGNACIÓN ASIGNATURAS'!$O474,"")</f>
        <v/>
      </c>
      <c r="C474" s="299" t="str">
        <f>IF('ASIGNACIÓN ASIGNATURAS'!$AF474=1,'ASIGNACIÓN ASIGNATURAS'!$P474,"")</f>
        <v/>
      </c>
      <c r="D474" s="299" t="str">
        <f>IF('ASIGNACIÓN ASIGNATURAS'!$AF474=1,'ASIGNACIÓN ASIGNATURAS'!$S474,"")</f>
        <v/>
      </c>
      <c r="E474" s="299" t="str">
        <f>IF('ASIGNACIÓN ASIGNATURAS'!$AF474=1,'ASIGNACIÓN ASIGNATURAS'!$T474,"")</f>
        <v/>
      </c>
      <c r="F474" s="299" t="str">
        <f>IF('ASIGNACIÓN ASIGNATURAS'!$AF474=1,'ASIGNACIÓN ASIGNATURAS'!$U474,"")</f>
        <v/>
      </c>
      <c r="G474" s="300" t="str">
        <f>IF(B474='PLAN DE ESTUDIO'!$XFD$41,"",+E474+F474)</f>
        <v/>
      </c>
    </row>
    <row r="475" spans="1:7" x14ac:dyDescent="0.3">
      <c r="A475" s="299" t="str">
        <f>IF('ASIGNACIÓN ASIGNATURAS'!$AF475=1,'ASIGNACIÓN ASIGNATURAS'!$M475,"")</f>
        <v/>
      </c>
      <c r="B475" s="299" t="str">
        <f>IF('ASIGNACIÓN ASIGNATURAS'!$AF475=1,'ASIGNACIÓN ASIGNATURAS'!$O475,"")</f>
        <v/>
      </c>
      <c r="C475" s="299" t="str">
        <f>IF('ASIGNACIÓN ASIGNATURAS'!$AF475=1,'ASIGNACIÓN ASIGNATURAS'!$P475,"")</f>
        <v/>
      </c>
      <c r="D475" s="299" t="str">
        <f>IF('ASIGNACIÓN ASIGNATURAS'!$AF475=1,'ASIGNACIÓN ASIGNATURAS'!$S475,"")</f>
        <v/>
      </c>
      <c r="E475" s="299" t="str">
        <f>IF('ASIGNACIÓN ASIGNATURAS'!$AF475=1,'ASIGNACIÓN ASIGNATURAS'!$T475,"")</f>
        <v/>
      </c>
      <c r="F475" s="299" t="str">
        <f>IF('ASIGNACIÓN ASIGNATURAS'!$AF475=1,'ASIGNACIÓN ASIGNATURAS'!$U475,"")</f>
        <v/>
      </c>
      <c r="G475" s="300" t="str">
        <f>IF(B475='PLAN DE ESTUDIO'!$XFD$41,"",+E475+F475)</f>
        <v/>
      </c>
    </row>
    <row r="476" spans="1:7" x14ac:dyDescent="0.3">
      <c r="A476" s="299" t="str">
        <f>IF('ASIGNACIÓN ASIGNATURAS'!$AF476=1,'ASIGNACIÓN ASIGNATURAS'!$M476,"")</f>
        <v/>
      </c>
      <c r="B476" s="299" t="str">
        <f>IF('ASIGNACIÓN ASIGNATURAS'!$AF476=1,'ASIGNACIÓN ASIGNATURAS'!$O476,"")</f>
        <v/>
      </c>
      <c r="C476" s="299" t="str">
        <f>IF('ASIGNACIÓN ASIGNATURAS'!$AF476=1,'ASIGNACIÓN ASIGNATURAS'!$P476,"")</f>
        <v/>
      </c>
      <c r="D476" s="299" t="str">
        <f>IF('ASIGNACIÓN ASIGNATURAS'!$AF476=1,'ASIGNACIÓN ASIGNATURAS'!$S476,"")</f>
        <v/>
      </c>
      <c r="E476" s="299" t="str">
        <f>IF('ASIGNACIÓN ASIGNATURAS'!$AF476=1,'ASIGNACIÓN ASIGNATURAS'!$T476,"")</f>
        <v/>
      </c>
      <c r="F476" s="299" t="str">
        <f>IF('ASIGNACIÓN ASIGNATURAS'!$AF476=1,'ASIGNACIÓN ASIGNATURAS'!$U476,"")</f>
        <v/>
      </c>
      <c r="G476" s="300" t="str">
        <f>IF(B476='PLAN DE ESTUDIO'!$XFD$41,"",+E476+F476)</f>
        <v/>
      </c>
    </row>
    <row r="477" spans="1:7" x14ac:dyDescent="0.3">
      <c r="A477" s="299" t="str">
        <f>IF('ASIGNACIÓN ASIGNATURAS'!$AF477=1,'ASIGNACIÓN ASIGNATURAS'!$M477,"")</f>
        <v/>
      </c>
      <c r="B477" s="299" t="str">
        <f>IF('ASIGNACIÓN ASIGNATURAS'!$AF477=1,'ASIGNACIÓN ASIGNATURAS'!$O477,"")</f>
        <v/>
      </c>
      <c r="C477" s="299" t="str">
        <f>IF('ASIGNACIÓN ASIGNATURAS'!$AF477=1,'ASIGNACIÓN ASIGNATURAS'!$P477,"")</f>
        <v/>
      </c>
      <c r="D477" s="299" t="str">
        <f>IF('ASIGNACIÓN ASIGNATURAS'!$AF477=1,'ASIGNACIÓN ASIGNATURAS'!$S477,"")</f>
        <v/>
      </c>
      <c r="E477" s="299" t="str">
        <f>IF('ASIGNACIÓN ASIGNATURAS'!$AF477=1,'ASIGNACIÓN ASIGNATURAS'!$T477,"")</f>
        <v/>
      </c>
      <c r="F477" s="299" t="str">
        <f>IF('ASIGNACIÓN ASIGNATURAS'!$AF477=1,'ASIGNACIÓN ASIGNATURAS'!$U477,"")</f>
        <v/>
      </c>
      <c r="G477" s="300" t="str">
        <f>IF(B477='PLAN DE ESTUDIO'!$XFD$41,"",+E477+F477)</f>
        <v/>
      </c>
    </row>
    <row r="478" spans="1:7" x14ac:dyDescent="0.3">
      <c r="A478" s="299" t="str">
        <f>IF('ASIGNACIÓN ASIGNATURAS'!$AF478=1,'ASIGNACIÓN ASIGNATURAS'!$M478,"")</f>
        <v/>
      </c>
      <c r="B478" s="299" t="str">
        <f>IF('ASIGNACIÓN ASIGNATURAS'!$AF478=1,'ASIGNACIÓN ASIGNATURAS'!$O478,"")</f>
        <v/>
      </c>
      <c r="C478" s="299" t="str">
        <f>IF('ASIGNACIÓN ASIGNATURAS'!$AF478=1,'ASIGNACIÓN ASIGNATURAS'!$P478,"")</f>
        <v/>
      </c>
      <c r="D478" s="299" t="str">
        <f>IF('ASIGNACIÓN ASIGNATURAS'!$AF478=1,'ASIGNACIÓN ASIGNATURAS'!$S478,"")</f>
        <v/>
      </c>
      <c r="E478" s="299" t="str">
        <f>IF('ASIGNACIÓN ASIGNATURAS'!$AF478=1,'ASIGNACIÓN ASIGNATURAS'!$T478,"")</f>
        <v/>
      </c>
      <c r="F478" s="299" t="str">
        <f>IF('ASIGNACIÓN ASIGNATURAS'!$AF478=1,'ASIGNACIÓN ASIGNATURAS'!$U478,"")</f>
        <v/>
      </c>
      <c r="G478" s="300" t="str">
        <f>IF(B478='PLAN DE ESTUDIO'!$XFD$41,"",+E478+F478)</f>
        <v/>
      </c>
    </row>
    <row r="479" spans="1:7" x14ac:dyDescent="0.3">
      <c r="A479" s="299" t="str">
        <f>IF('ASIGNACIÓN ASIGNATURAS'!$AF479=1,'ASIGNACIÓN ASIGNATURAS'!$M479,"")</f>
        <v/>
      </c>
      <c r="B479" s="299" t="str">
        <f>IF('ASIGNACIÓN ASIGNATURAS'!$AF479=1,'ASIGNACIÓN ASIGNATURAS'!$O479,"")</f>
        <v/>
      </c>
      <c r="C479" s="299" t="str">
        <f>IF('ASIGNACIÓN ASIGNATURAS'!$AF479=1,'ASIGNACIÓN ASIGNATURAS'!$P479,"")</f>
        <v/>
      </c>
      <c r="D479" s="299" t="str">
        <f>IF('ASIGNACIÓN ASIGNATURAS'!$AF479=1,'ASIGNACIÓN ASIGNATURAS'!$S479,"")</f>
        <v/>
      </c>
      <c r="E479" s="299" t="str">
        <f>IF('ASIGNACIÓN ASIGNATURAS'!$AF479=1,'ASIGNACIÓN ASIGNATURAS'!$T479,"")</f>
        <v/>
      </c>
      <c r="F479" s="299" t="str">
        <f>IF('ASIGNACIÓN ASIGNATURAS'!$AF479=1,'ASIGNACIÓN ASIGNATURAS'!$U479,"")</f>
        <v/>
      </c>
      <c r="G479" s="300" t="str">
        <f>IF(B479='PLAN DE ESTUDIO'!$XFD$41,"",+E479+F479)</f>
        <v/>
      </c>
    </row>
    <row r="480" spans="1:7" x14ac:dyDescent="0.3">
      <c r="A480" s="299" t="str">
        <f>IF('ASIGNACIÓN ASIGNATURAS'!$AF480=1,'ASIGNACIÓN ASIGNATURAS'!$M480,"")</f>
        <v/>
      </c>
      <c r="B480" s="299" t="str">
        <f>IF('ASIGNACIÓN ASIGNATURAS'!$AF480=1,'ASIGNACIÓN ASIGNATURAS'!$O480,"")</f>
        <v/>
      </c>
      <c r="C480" s="299" t="str">
        <f>IF('ASIGNACIÓN ASIGNATURAS'!$AF480=1,'ASIGNACIÓN ASIGNATURAS'!$P480,"")</f>
        <v/>
      </c>
      <c r="D480" s="299" t="str">
        <f>IF('ASIGNACIÓN ASIGNATURAS'!$AF480=1,'ASIGNACIÓN ASIGNATURAS'!$S480,"")</f>
        <v/>
      </c>
      <c r="E480" s="299" t="str">
        <f>IF('ASIGNACIÓN ASIGNATURAS'!$AF480=1,'ASIGNACIÓN ASIGNATURAS'!$T480,"")</f>
        <v/>
      </c>
      <c r="F480" s="299" t="str">
        <f>IF('ASIGNACIÓN ASIGNATURAS'!$AF480=1,'ASIGNACIÓN ASIGNATURAS'!$U480,"")</f>
        <v/>
      </c>
      <c r="G480" s="300" t="str">
        <f>IF(B480='PLAN DE ESTUDIO'!$XFD$41,"",+E480+F480)</f>
        <v/>
      </c>
    </row>
    <row r="481" spans="1:7" x14ac:dyDescent="0.3">
      <c r="A481" s="299" t="str">
        <f>IF('ASIGNACIÓN ASIGNATURAS'!$AF481=1,'ASIGNACIÓN ASIGNATURAS'!$M481,"")</f>
        <v/>
      </c>
      <c r="B481" s="299" t="str">
        <f>IF('ASIGNACIÓN ASIGNATURAS'!$AF481=1,'ASIGNACIÓN ASIGNATURAS'!$O481,"")</f>
        <v/>
      </c>
      <c r="C481" s="299" t="str">
        <f>IF('ASIGNACIÓN ASIGNATURAS'!$AF481=1,'ASIGNACIÓN ASIGNATURAS'!$P481,"")</f>
        <v/>
      </c>
      <c r="D481" s="299" t="str">
        <f>IF('ASIGNACIÓN ASIGNATURAS'!$AF481=1,'ASIGNACIÓN ASIGNATURAS'!$S481,"")</f>
        <v/>
      </c>
      <c r="E481" s="299" t="str">
        <f>IF('ASIGNACIÓN ASIGNATURAS'!$AF481=1,'ASIGNACIÓN ASIGNATURAS'!$T481,"")</f>
        <v/>
      </c>
      <c r="F481" s="299" t="str">
        <f>IF('ASIGNACIÓN ASIGNATURAS'!$AF481=1,'ASIGNACIÓN ASIGNATURAS'!$U481,"")</f>
        <v/>
      </c>
      <c r="G481" s="300" t="str">
        <f>IF(B481='PLAN DE ESTUDIO'!$XFD$41,"",+E481+F481)</f>
        <v/>
      </c>
    </row>
    <row r="482" spans="1:7" x14ac:dyDescent="0.3">
      <c r="A482" s="299" t="str">
        <f>IF('ASIGNACIÓN ASIGNATURAS'!$AF482=1,'ASIGNACIÓN ASIGNATURAS'!$M482,"")</f>
        <v/>
      </c>
      <c r="B482" s="299" t="str">
        <f>IF('ASIGNACIÓN ASIGNATURAS'!$AF482=1,'ASIGNACIÓN ASIGNATURAS'!$O482,"")</f>
        <v/>
      </c>
      <c r="C482" s="299" t="str">
        <f>IF('ASIGNACIÓN ASIGNATURAS'!$AF482=1,'ASIGNACIÓN ASIGNATURAS'!$P482,"")</f>
        <v/>
      </c>
      <c r="D482" s="299" t="str">
        <f>IF('ASIGNACIÓN ASIGNATURAS'!$AF482=1,'ASIGNACIÓN ASIGNATURAS'!$S482,"")</f>
        <v/>
      </c>
      <c r="E482" s="299" t="str">
        <f>IF('ASIGNACIÓN ASIGNATURAS'!$AF482=1,'ASIGNACIÓN ASIGNATURAS'!$T482,"")</f>
        <v/>
      </c>
      <c r="F482" s="299" t="str">
        <f>IF('ASIGNACIÓN ASIGNATURAS'!$AF482=1,'ASIGNACIÓN ASIGNATURAS'!$U482,"")</f>
        <v/>
      </c>
      <c r="G482" s="300" t="str">
        <f>IF(B482='PLAN DE ESTUDIO'!$XFD$41,"",+E482+F482)</f>
        <v/>
      </c>
    </row>
    <row r="483" spans="1:7" x14ac:dyDescent="0.3">
      <c r="A483" s="299" t="str">
        <f>IF('ASIGNACIÓN ASIGNATURAS'!$AF483=1,'ASIGNACIÓN ASIGNATURAS'!$M483,"")</f>
        <v/>
      </c>
      <c r="B483" s="299" t="str">
        <f>IF('ASIGNACIÓN ASIGNATURAS'!$AF483=1,'ASIGNACIÓN ASIGNATURAS'!$O483,"")</f>
        <v/>
      </c>
      <c r="C483" s="299" t="str">
        <f>IF('ASIGNACIÓN ASIGNATURAS'!$AF483=1,'ASIGNACIÓN ASIGNATURAS'!$P483,"")</f>
        <v/>
      </c>
      <c r="D483" s="299" t="str">
        <f>IF('ASIGNACIÓN ASIGNATURAS'!$AF483=1,'ASIGNACIÓN ASIGNATURAS'!$S483,"")</f>
        <v/>
      </c>
      <c r="E483" s="299" t="str">
        <f>IF('ASIGNACIÓN ASIGNATURAS'!$AF483=1,'ASIGNACIÓN ASIGNATURAS'!$T483,"")</f>
        <v/>
      </c>
      <c r="F483" s="299" t="str">
        <f>IF('ASIGNACIÓN ASIGNATURAS'!$AF483=1,'ASIGNACIÓN ASIGNATURAS'!$U483,"")</f>
        <v/>
      </c>
      <c r="G483" s="300" t="str">
        <f>IF(B483='PLAN DE ESTUDIO'!$XFD$41,"",+E483+F483)</f>
        <v/>
      </c>
    </row>
    <row r="484" spans="1:7" x14ac:dyDescent="0.3">
      <c r="A484" s="299" t="str">
        <f>IF('ASIGNACIÓN ASIGNATURAS'!$AF484=1,'ASIGNACIÓN ASIGNATURAS'!$M484,"")</f>
        <v/>
      </c>
      <c r="B484" s="299" t="str">
        <f>IF('ASIGNACIÓN ASIGNATURAS'!$AF484=1,'ASIGNACIÓN ASIGNATURAS'!$O484,"")</f>
        <v/>
      </c>
      <c r="C484" s="299" t="str">
        <f>IF('ASIGNACIÓN ASIGNATURAS'!$AF484=1,'ASIGNACIÓN ASIGNATURAS'!$P484,"")</f>
        <v/>
      </c>
      <c r="D484" s="299" t="str">
        <f>IF('ASIGNACIÓN ASIGNATURAS'!$AF484=1,'ASIGNACIÓN ASIGNATURAS'!$S484,"")</f>
        <v/>
      </c>
      <c r="E484" s="299" t="str">
        <f>IF('ASIGNACIÓN ASIGNATURAS'!$AF484=1,'ASIGNACIÓN ASIGNATURAS'!$T484,"")</f>
        <v/>
      </c>
      <c r="F484" s="299" t="str">
        <f>IF('ASIGNACIÓN ASIGNATURAS'!$AF484=1,'ASIGNACIÓN ASIGNATURAS'!$U484,"")</f>
        <v/>
      </c>
      <c r="G484" s="300" t="str">
        <f>IF(B484='PLAN DE ESTUDIO'!$XFD$41,"",+E484+F484)</f>
        <v/>
      </c>
    </row>
    <row r="485" spans="1:7" x14ac:dyDescent="0.3">
      <c r="A485" s="299" t="str">
        <f>IF('ASIGNACIÓN ASIGNATURAS'!$AF485=1,'ASIGNACIÓN ASIGNATURAS'!$M485,"")</f>
        <v/>
      </c>
      <c r="B485" s="299" t="str">
        <f>IF('ASIGNACIÓN ASIGNATURAS'!$AF485=1,'ASIGNACIÓN ASIGNATURAS'!$O485,"")</f>
        <v/>
      </c>
      <c r="C485" s="299" t="str">
        <f>IF('ASIGNACIÓN ASIGNATURAS'!$AF485=1,'ASIGNACIÓN ASIGNATURAS'!$P485,"")</f>
        <v/>
      </c>
      <c r="D485" s="299" t="str">
        <f>IF('ASIGNACIÓN ASIGNATURAS'!$AF485=1,'ASIGNACIÓN ASIGNATURAS'!$S485,"")</f>
        <v/>
      </c>
      <c r="E485" s="299" t="str">
        <f>IF('ASIGNACIÓN ASIGNATURAS'!$AF485=1,'ASIGNACIÓN ASIGNATURAS'!$T485,"")</f>
        <v/>
      </c>
      <c r="F485" s="299" t="str">
        <f>IF('ASIGNACIÓN ASIGNATURAS'!$AF485=1,'ASIGNACIÓN ASIGNATURAS'!$U485,"")</f>
        <v/>
      </c>
      <c r="G485" s="300" t="str">
        <f>IF(B485='PLAN DE ESTUDIO'!$XFD$41,"",+E485+F485)</f>
        <v/>
      </c>
    </row>
    <row r="486" spans="1:7" x14ac:dyDescent="0.3">
      <c r="A486" s="299" t="str">
        <f>IF('ASIGNACIÓN ASIGNATURAS'!$AF486=1,'ASIGNACIÓN ASIGNATURAS'!$M486,"")</f>
        <v/>
      </c>
      <c r="B486" s="299" t="str">
        <f>IF('ASIGNACIÓN ASIGNATURAS'!$AF486=1,'ASIGNACIÓN ASIGNATURAS'!$O486,"")</f>
        <v/>
      </c>
      <c r="C486" s="299" t="str">
        <f>IF('ASIGNACIÓN ASIGNATURAS'!$AF486=1,'ASIGNACIÓN ASIGNATURAS'!$P486,"")</f>
        <v/>
      </c>
      <c r="D486" s="299" t="str">
        <f>IF('ASIGNACIÓN ASIGNATURAS'!$AF486=1,'ASIGNACIÓN ASIGNATURAS'!$S486,"")</f>
        <v/>
      </c>
      <c r="E486" s="299" t="str">
        <f>IF('ASIGNACIÓN ASIGNATURAS'!$AF486=1,'ASIGNACIÓN ASIGNATURAS'!$T486,"")</f>
        <v/>
      </c>
      <c r="F486" s="299" t="str">
        <f>IF('ASIGNACIÓN ASIGNATURAS'!$AF486=1,'ASIGNACIÓN ASIGNATURAS'!$U486,"")</f>
        <v/>
      </c>
      <c r="G486" s="300" t="str">
        <f>IF(B486='PLAN DE ESTUDIO'!$XFD$41,"",+E486+F486)</f>
        <v/>
      </c>
    </row>
    <row r="487" spans="1:7" x14ac:dyDescent="0.3">
      <c r="A487" s="299" t="str">
        <f>IF('ASIGNACIÓN ASIGNATURAS'!$AF487=1,'ASIGNACIÓN ASIGNATURAS'!$M487,"")</f>
        <v/>
      </c>
      <c r="B487" s="299" t="str">
        <f>IF('ASIGNACIÓN ASIGNATURAS'!$AF487=1,'ASIGNACIÓN ASIGNATURAS'!$O487,"")</f>
        <v/>
      </c>
      <c r="C487" s="299" t="str">
        <f>IF('ASIGNACIÓN ASIGNATURAS'!$AF487=1,'ASIGNACIÓN ASIGNATURAS'!$P487,"")</f>
        <v/>
      </c>
      <c r="D487" s="299" t="str">
        <f>IF('ASIGNACIÓN ASIGNATURAS'!$AF487=1,'ASIGNACIÓN ASIGNATURAS'!$S487,"")</f>
        <v/>
      </c>
      <c r="E487" s="299" t="str">
        <f>IF('ASIGNACIÓN ASIGNATURAS'!$AF487=1,'ASIGNACIÓN ASIGNATURAS'!$T487,"")</f>
        <v/>
      </c>
      <c r="F487" s="299" t="str">
        <f>IF('ASIGNACIÓN ASIGNATURAS'!$AF487=1,'ASIGNACIÓN ASIGNATURAS'!$U487,"")</f>
        <v/>
      </c>
      <c r="G487" s="300" t="str">
        <f>IF(B487='PLAN DE ESTUDIO'!$XFD$41,"",+E487+F487)</f>
        <v/>
      </c>
    </row>
    <row r="488" spans="1:7" x14ac:dyDescent="0.3">
      <c r="A488" s="299" t="str">
        <f>IF('ASIGNACIÓN ASIGNATURAS'!$AF488=1,'ASIGNACIÓN ASIGNATURAS'!$M488,"")</f>
        <v/>
      </c>
      <c r="B488" s="299" t="str">
        <f>IF('ASIGNACIÓN ASIGNATURAS'!$AF488=1,'ASIGNACIÓN ASIGNATURAS'!$O488,"")</f>
        <v/>
      </c>
      <c r="C488" s="299" t="str">
        <f>IF('ASIGNACIÓN ASIGNATURAS'!$AF488=1,'ASIGNACIÓN ASIGNATURAS'!$P488,"")</f>
        <v/>
      </c>
      <c r="D488" s="299" t="str">
        <f>IF('ASIGNACIÓN ASIGNATURAS'!$AF488=1,'ASIGNACIÓN ASIGNATURAS'!$S488,"")</f>
        <v/>
      </c>
      <c r="E488" s="299" t="str">
        <f>IF('ASIGNACIÓN ASIGNATURAS'!$AF488=1,'ASIGNACIÓN ASIGNATURAS'!$T488,"")</f>
        <v/>
      </c>
      <c r="F488" s="299" t="str">
        <f>IF('ASIGNACIÓN ASIGNATURAS'!$AF488=1,'ASIGNACIÓN ASIGNATURAS'!$U488,"")</f>
        <v/>
      </c>
      <c r="G488" s="300" t="str">
        <f>IF(B488='PLAN DE ESTUDIO'!$XFD$41,"",+E488+F488)</f>
        <v/>
      </c>
    </row>
    <row r="489" spans="1:7" x14ac:dyDescent="0.3">
      <c r="A489" s="299" t="str">
        <f>IF('ASIGNACIÓN ASIGNATURAS'!$AF489=1,'ASIGNACIÓN ASIGNATURAS'!$M489,"")</f>
        <v/>
      </c>
      <c r="B489" s="299" t="str">
        <f>IF('ASIGNACIÓN ASIGNATURAS'!$AF489=1,'ASIGNACIÓN ASIGNATURAS'!$O489,"")</f>
        <v/>
      </c>
      <c r="C489" s="299" t="str">
        <f>IF('ASIGNACIÓN ASIGNATURAS'!$AF489=1,'ASIGNACIÓN ASIGNATURAS'!$P489,"")</f>
        <v/>
      </c>
      <c r="D489" s="299" t="str">
        <f>IF('ASIGNACIÓN ASIGNATURAS'!$AF489=1,'ASIGNACIÓN ASIGNATURAS'!$S489,"")</f>
        <v/>
      </c>
      <c r="E489" s="299" t="str">
        <f>IF('ASIGNACIÓN ASIGNATURAS'!$AF489=1,'ASIGNACIÓN ASIGNATURAS'!$T489,"")</f>
        <v/>
      </c>
      <c r="F489" s="299" t="str">
        <f>IF('ASIGNACIÓN ASIGNATURAS'!$AF489=1,'ASIGNACIÓN ASIGNATURAS'!$U489,"")</f>
        <v/>
      </c>
      <c r="G489" s="300" t="str">
        <f>IF(B489='PLAN DE ESTUDIO'!$XFD$41,"",+E489+F489)</f>
        <v/>
      </c>
    </row>
    <row r="490" spans="1:7" x14ac:dyDescent="0.3">
      <c r="A490" s="299" t="str">
        <f>IF('ASIGNACIÓN ASIGNATURAS'!$AF490=1,'ASIGNACIÓN ASIGNATURAS'!$M490,"")</f>
        <v/>
      </c>
      <c r="B490" s="299" t="str">
        <f>IF('ASIGNACIÓN ASIGNATURAS'!$AF490=1,'ASIGNACIÓN ASIGNATURAS'!$O490,"")</f>
        <v/>
      </c>
      <c r="C490" s="299" t="str">
        <f>IF('ASIGNACIÓN ASIGNATURAS'!$AF490=1,'ASIGNACIÓN ASIGNATURAS'!$P490,"")</f>
        <v/>
      </c>
      <c r="D490" s="299" t="str">
        <f>IF('ASIGNACIÓN ASIGNATURAS'!$AF490=1,'ASIGNACIÓN ASIGNATURAS'!$S490,"")</f>
        <v/>
      </c>
      <c r="E490" s="299" t="str">
        <f>IF('ASIGNACIÓN ASIGNATURAS'!$AF490=1,'ASIGNACIÓN ASIGNATURAS'!$T490,"")</f>
        <v/>
      </c>
      <c r="F490" s="299" t="str">
        <f>IF('ASIGNACIÓN ASIGNATURAS'!$AF490=1,'ASIGNACIÓN ASIGNATURAS'!$U490,"")</f>
        <v/>
      </c>
      <c r="G490" s="300" t="str">
        <f>IF(B490='PLAN DE ESTUDIO'!$XFD$41,"",+E490+F490)</f>
        <v/>
      </c>
    </row>
    <row r="491" spans="1:7" x14ac:dyDescent="0.3">
      <c r="A491" s="299" t="str">
        <f>IF('ASIGNACIÓN ASIGNATURAS'!$AF491=1,'ASIGNACIÓN ASIGNATURAS'!$M491,"")</f>
        <v/>
      </c>
      <c r="B491" s="299" t="str">
        <f>IF('ASIGNACIÓN ASIGNATURAS'!$AF491=1,'ASIGNACIÓN ASIGNATURAS'!$O491,"")</f>
        <v/>
      </c>
      <c r="C491" s="299" t="str">
        <f>IF('ASIGNACIÓN ASIGNATURAS'!$AF491=1,'ASIGNACIÓN ASIGNATURAS'!$P491,"")</f>
        <v/>
      </c>
      <c r="D491" s="299" t="str">
        <f>IF('ASIGNACIÓN ASIGNATURAS'!$AF491=1,'ASIGNACIÓN ASIGNATURAS'!$S491,"")</f>
        <v/>
      </c>
      <c r="E491" s="299" t="str">
        <f>IF('ASIGNACIÓN ASIGNATURAS'!$AF491=1,'ASIGNACIÓN ASIGNATURAS'!$T491,"")</f>
        <v/>
      </c>
      <c r="F491" s="299" t="str">
        <f>IF('ASIGNACIÓN ASIGNATURAS'!$AF491=1,'ASIGNACIÓN ASIGNATURAS'!$U491,"")</f>
        <v/>
      </c>
      <c r="G491" s="300" t="str">
        <f>IF(B491='PLAN DE ESTUDIO'!$XFD$41,"",+E491+F491)</f>
        <v/>
      </c>
    </row>
    <row r="492" spans="1:7" x14ac:dyDescent="0.3">
      <c r="A492" s="299" t="str">
        <f>IF('ASIGNACIÓN ASIGNATURAS'!$AF492=1,'ASIGNACIÓN ASIGNATURAS'!$M492,"")</f>
        <v/>
      </c>
      <c r="B492" s="299" t="str">
        <f>IF('ASIGNACIÓN ASIGNATURAS'!$AF492=1,'ASIGNACIÓN ASIGNATURAS'!$O492,"")</f>
        <v/>
      </c>
      <c r="C492" s="299" t="str">
        <f>IF('ASIGNACIÓN ASIGNATURAS'!$AF492=1,'ASIGNACIÓN ASIGNATURAS'!$P492,"")</f>
        <v/>
      </c>
      <c r="D492" s="299" t="str">
        <f>IF('ASIGNACIÓN ASIGNATURAS'!$AF492=1,'ASIGNACIÓN ASIGNATURAS'!$S492,"")</f>
        <v/>
      </c>
      <c r="E492" s="299" t="str">
        <f>IF('ASIGNACIÓN ASIGNATURAS'!$AF492=1,'ASIGNACIÓN ASIGNATURAS'!$T492,"")</f>
        <v/>
      </c>
      <c r="F492" s="299" t="str">
        <f>IF('ASIGNACIÓN ASIGNATURAS'!$AF492=1,'ASIGNACIÓN ASIGNATURAS'!$U492,"")</f>
        <v/>
      </c>
      <c r="G492" s="300" t="str">
        <f>IF(B492='PLAN DE ESTUDIO'!$XFD$41,"",+E492+F492)</f>
        <v/>
      </c>
    </row>
    <row r="493" spans="1:7" x14ac:dyDescent="0.3">
      <c r="A493" s="299" t="str">
        <f>IF('ASIGNACIÓN ASIGNATURAS'!$AF493=1,'ASIGNACIÓN ASIGNATURAS'!$M493,"")</f>
        <v/>
      </c>
      <c r="B493" s="299" t="str">
        <f>IF('ASIGNACIÓN ASIGNATURAS'!$AF493=1,'ASIGNACIÓN ASIGNATURAS'!$O493,"")</f>
        <v/>
      </c>
      <c r="C493" s="299" t="str">
        <f>IF('ASIGNACIÓN ASIGNATURAS'!$AF493=1,'ASIGNACIÓN ASIGNATURAS'!$P493,"")</f>
        <v/>
      </c>
      <c r="D493" s="299" t="str">
        <f>IF('ASIGNACIÓN ASIGNATURAS'!$AF493=1,'ASIGNACIÓN ASIGNATURAS'!$S493,"")</f>
        <v/>
      </c>
      <c r="E493" s="299" t="str">
        <f>IF('ASIGNACIÓN ASIGNATURAS'!$AF493=1,'ASIGNACIÓN ASIGNATURAS'!$T493,"")</f>
        <v/>
      </c>
      <c r="F493" s="299" t="str">
        <f>IF('ASIGNACIÓN ASIGNATURAS'!$AF493=1,'ASIGNACIÓN ASIGNATURAS'!$U493,"")</f>
        <v/>
      </c>
      <c r="G493" s="300" t="str">
        <f>IF(B493='PLAN DE ESTUDIO'!$XFD$41,"",+E493+F493)</f>
        <v/>
      </c>
    </row>
    <row r="494" spans="1:7" x14ac:dyDescent="0.3">
      <c r="A494" s="299" t="str">
        <f>IF('ASIGNACIÓN ASIGNATURAS'!$AF494=1,'ASIGNACIÓN ASIGNATURAS'!$M494,"")</f>
        <v/>
      </c>
      <c r="B494" s="299" t="str">
        <f>IF('ASIGNACIÓN ASIGNATURAS'!$AF494=1,'ASIGNACIÓN ASIGNATURAS'!$O494,"")</f>
        <v/>
      </c>
      <c r="C494" s="299" t="str">
        <f>IF('ASIGNACIÓN ASIGNATURAS'!$AF494=1,'ASIGNACIÓN ASIGNATURAS'!$P494,"")</f>
        <v/>
      </c>
      <c r="D494" s="299" t="str">
        <f>IF('ASIGNACIÓN ASIGNATURAS'!$AF494=1,'ASIGNACIÓN ASIGNATURAS'!$S494,"")</f>
        <v/>
      </c>
      <c r="E494" s="299" t="str">
        <f>IF('ASIGNACIÓN ASIGNATURAS'!$AF494=1,'ASIGNACIÓN ASIGNATURAS'!$T494,"")</f>
        <v/>
      </c>
      <c r="F494" s="299" t="str">
        <f>IF('ASIGNACIÓN ASIGNATURAS'!$AF494=1,'ASIGNACIÓN ASIGNATURAS'!$U494,"")</f>
        <v/>
      </c>
      <c r="G494" s="300" t="str">
        <f>IF(B494='PLAN DE ESTUDIO'!$XFD$41,"",+E494+F494)</f>
        <v/>
      </c>
    </row>
    <row r="495" spans="1:7" x14ac:dyDescent="0.3">
      <c r="A495" s="299" t="str">
        <f>IF('ASIGNACIÓN ASIGNATURAS'!$AF495=1,'ASIGNACIÓN ASIGNATURAS'!$M495,"")</f>
        <v/>
      </c>
      <c r="B495" s="299" t="str">
        <f>IF('ASIGNACIÓN ASIGNATURAS'!$AF495=1,'ASIGNACIÓN ASIGNATURAS'!$O495,"")</f>
        <v/>
      </c>
      <c r="C495" s="299" t="str">
        <f>IF('ASIGNACIÓN ASIGNATURAS'!$AF495=1,'ASIGNACIÓN ASIGNATURAS'!$P495,"")</f>
        <v/>
      </c>
      <c r="D495" s="299" t="str">
        <f>IF('ASIGNACIÓN ASIGNATURAS'!$AF495=1,'ASIGNACIÓN ASIGNATURAS'!$S495,"")</f>
        <v/>
      </c>
      <c r="E495" s="299" t="str">
        <f>IF('ASIGNACIÓN ASIGNATURAS'!$AF495=1,'ASIGNACIÓN ASIGNATURAS'!$T495,"")</f>
        <v/>
      </c>
      <c r="F495" s="299" t="str">
        <f>IF('ASIGNACIÓN ASIGNATURAS'!$AF495=1,'ASIGNACIÓN ASIGNATURAS'!$U495,"")</f>
        <v/>
      </c>
      <c r="G495" s="300" t="str">
        <f>IF(B495='PLAN DE ESTUDIO'!$XFD$41,"",+E495+F495)</f>
        <v/>
      </c>
    </row>
    <row r="496" spans="1:7" x14ac:dyDescent="0.3">
      <c r="A496" s="299" t="str">
        <f>IF('ASIGNACIÓN ASIGNATURAS'!$AF496=1,'ASIGNACIÓN ASIGNATURAS'!$M496,"")</f>
        <v/>
      </c>
      <c r="B496" s="299" t="str">
        <f>IF('ASIGNACIÓN ASIGNATURAS'!$AF496=1,'ASIGNACIÓN ASIGNATURAS'!$O496,"")</f>
        <v/>
      </c>
      <c r="C496" s="299" t="str">
        <f>IF('ASIGNACIÓN ASIGNATURAS'!$AF496=1,'ASIGNACIÓN ASIGNATURAS'!$P496,"")</f>
        <v/>
      </c>
      <c r="D496" s="299" t="str">
        <f>IF('ASIGNACIÓN ASIGNATURAS'!$AF496=1,'ASIGNACIÓN ASIGNATURAS'!$S496,"")</f>
        <v/>
      </c>
      <c r="E496" s="299" t="str">
        <f>IF('ASIGNACIÓN ASIGNATURAS'!$AF496=1,'ASIGNACIÓN ASIGNATURAS'!$T496,"")</f>
        <v/>
      </c>
      <c r="F496" s="299" t="str">
        <f>IF('ASIGNACIÓN ASIGNATURAS'!$AF496=1,'ASIGNACIÓN ASIGNATURAS'!$U496,"")</f>
        <v/>
      </c>
      <c r="G496" s="300" t="str">
        <f>IF(B496='PLAN DE ESTUDIO'!$XFD$41,"",+E496+F496)</f>
        <v/>
      </c>
    </row>
    <row r="497" spans="1:7" x14ac:dyDescent="0.3">
      <c r="A497" s="299" t="str">
        <f>IF('ASIGNACIÓN ASIGNATURAS'!$AF497=1,'ASIGNACIÓN ASIGNATURAS'!$M497,"")</f>
        <v/>
      </c>
      <c r="B497" s="299" t="str">
        <f>IF('ASIGNACIÓN ASIGNATURAS'!$AF497=1,'ASIGNACIÓN ASIGNATURAS'!$O497,"")</f>
        <v/>
      </c>
      <c r="C497" s="299" t="str">
        <f>IF('ASIGNACIÓN ASIGNATURAS'!$AF497=1,'ASIGNACIÓN ASIGNATURAS'!$P497,"")</f>
        <v/>
      </c>
      <c r="D497" s="299" t="str">
        <f>IF('ASIGNACIÓN ASIGNATURAS'!$AF497=1,'ASIGNACIÓN ASIGNATURAS'!$S497,"")</f>
        <v/>
      </c>
      <c r="E497" s="299" t="str">
        <f>IF('ASIGNACIÓN ASIGNATURAS'!$AF497=1,'ASIGNACIÓN ASIGNATURAS'!$T497,"")</f>
        <v/>
      </c>
      <c r="F497" s="299" t="str">
        <f>IF('ASIGNACIÓN ASIGNATURAS'!$AF497=1,'ASIGNACIÓN ASIGNATURAS'!$U497,"")</f>
        <v/>
      </c>
      <c r="G497" s="300" t="str">
        <f>IF(B497='PLAN DE ESTUDIO'!$XFD$41,"",+E497+F497)</f>
        <v/>
      </c>
    </row>
    <row r="498" spans="1:7" x14ac:dyDescent="0.3">
      <c r="A498" s="299" t="str">
        <f>IF('ASIGNACIÓN ASIGNATURAS'!$AF498=1,'ASIGNACIÓN ASIGNATURAS'!$M498,"")</f>
        <v/>
      </c>
      <c r="B498" s="299" t="str">
        <f>IF('ASIGNACIÓN ASIGNATURAS'!$AF498=1,'ASIGNACIÓN ASIGNATURAS'!$O498,"")</f>
        <v/>
      </c>
      <c r="C498" s="299" t="str">
        <f>IF('ASIGNACIÓN ASIGNATURAS'!$AF498=1,'ASIGNACIÓN ASIGNATURAS'!$P498,"")</f>
        <v/>
      </c>
      <c r="D498" s="299" t="str">
        <f>IF('ASIGNACIÓN ASIGNATURAS'!$AF498=1,'ASIGNACIÓN ASIGNATURAS'!$S498,"")</f>
        <v/>
      </c>
      <c r="E498" s="299" t="str">
        <f>IF('ASIGNACIÓN ASIGNATURAS'!$AF498=1,'ASIGNACIÓN ASIGNATURAS'!$T498,"")</f>
        <v/>
      </c>
      <c r="F498" s="299" t="str">
        <f>IF('ASIGNACIÓN ASIGNATURAS'!$AF498=1,'ASIGNACIÓN ASIGNATURAS'!$U498,"")</f>
        <v/>
      </c>
      <c r="G498" s="300" t="str">
        <f>IF(B498='PLAN DE ESTUDIO'!$XFD$41,"",+E498+F498)</f>
        <v/>
      </c>
    </row>
    <row r="499" spans="1:7" x14ac:dyDescent="0.3">
      <c r="A499" s="299" t="str">
        <f>IF('ASIGNACIÓN ASIGNATURAS'!$AF499=1,'ASIGNACIÓN ASIGNATURAS'!$M499,"")</f>
        <v/>
      </c>
      <c r="B499" s="299" t="str">
        <f>IF('ASIGNACIÓN ASIGNATURAS'!$AF499=1,'ASIGNACIÓN ASIGNATURAS'!$O499,"")</f>
        <v/>
      </c>
      <c r="C499" s="299" t="str">
        <f>IF('ASIGNACIÓN ASIGNATURAS'!$AF499=1,'ASIGNACIÓN ASIGNATURAS'!$P499,"")</f>
        <v/>
      </c>
      <c r="D499" s="299" t="str">
        <f>IF('ASIGNACIÓN ASIGNATURAS'!$AF499=1,'ASIGNACIÓN ASIGNATURAS'!$S499,"")</f>
        <v/>
      </c>
      <c r="E499" s="299" t="str">
        <f>IF('ASIGNACIÓN ASIGNATURAS'!$AF499=1,'ASIGNACIÓN ASIGNATURAS'!$T499,"")</f>
        <v/>
      </c>
      <c r="F499" s="299" t="str">
        <f>IF('ASIGNACIÓN ASIGNATURAS'!$AF499=1,'ASIGNACIÓN ASIGNATURAS'!$U499,"")</f>
        <v/>
      </c>
      <c r="G499" s="300" t="str">
        <f>IF(B499='PLAN DE ESTUDIO'!$XFD$41,"",+E499+F499)</f>
        <v/>
      </c>
    </row>
    <row r="500" spans="1:7" x14ac:dyDescent="0.3">
      <c r="A500" s="299" t="str">
        <f>IF('ASIGNACIÓN ASIGNATURAS'!$AF500=1,'ASIGNACIÓN ASIGNATURAS'!$M500,"")</f>
        <v/>
      </c>
      <c r="B500" s="299" t="str">
        <f>IF('ASIGNACIÓN ASIGNATURAS'!$AF500=1,'ASIGNACIÓN ASIGNATURAS'!$O500,"")</f>
        <v/>
      </c>
      <c r="C500" s="299" t="str">
        <f>IF('ASIGNACIÓN ASIGNATURAS'!$AF500=1,'ASIGNACIÓN ASIGNATURAS'!$P500,"")</f>
        <v/>
      </c>
      <c r="D500" s="299" t="str">
        <f>IF('ASIGNACIÓN ASIGNATURAS'!$AF500=1,'ASIGNACIÓN ASIGNATURAS'!$S500,"")</f>
        <v/>
      </c>
      <c r="E500" s="299" t="str">
        <f>IF('ASIGNACIÓN ASIGNATURAS'!$AF500=1,'ASIGNACIÓN ASIGNATURAS'!$T500,"")</f>
        <v/>
      </c>
      <c r="F500" s="299" t="str">
        <f>IF('ASIGNACIÓN ASIGNATURAS'!$AF500=1,'ASIGNACIÓN ASIGNATURAS'!$U500,"")</f>
        <v/>
      </c>
      <c r="G500" s="300" t="str">
        <f>IF(B500='PLAN DE ESTUDIO'!$XFD$41,"",+E500+F500)</f>
        <v/>
      </c>
    </row>
  </sheetData>
  <sheetProtection algorithmName="SHA-512" hashValue="txwDKxLvKVNgHnkqWrKBC6u/Re8d4FvgYfKa6JPFl8Zj8Zo3dC049Kx9YD4QL+6BPYhMzFmwBxPOTYjfgfLi0g==" saltValue="TWuWZxGdXYM3CYn6rSEqfw==" spinCount="100000" sheet="1" objects="1" scenarios="1" selectLockedCells="1" selectUnlockedCells="1"/>
  <conditionalFormatting sqref="B1 B3:B1048576">
    <cfRule type="duplicateValues" dxfId="40" priority="1"/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78D73-FFF9-471D-83AF-0C4D554F27CF}">
  <sheetPr codeName="Hoja7">
    <tabColor theme="1" tint="0.14999847407452621"/>
  </sheetPr>
  <dimension ref="B1:AE70"/>
  <sheetViews>
    <sheetView zoomScaleNormal="100" workbookViewId="0">
      <selection activeCell="B4" sqref="B4"/>
    </sheetView>
  </sheetViews>
  <sheetFormatPr baseColWidth="10" defaultColWidth="10.88671875" defaultRowHeight="14.4" x14ac:dyDescent="0.3"/>
  <cols>
    <col min="1" max="1" width="10.88671875" style="225"/>
    <col min="2" max="2" width="13.6640625" style="225" bestFit="1" customWidth="1"/>
    <col min="3" max="3" width="45.6640625" style="225" bestFit="1" customWidth="1"/>
    <col min="4" max="4" width="12.6640625" style="225" bestFit="1" customWidth="1"/>
    <col min="5" max="5" width="14.33203125" style="225" customWidth="1"/>
    <col min="6" max="6" width="21.109375" style="225" customWidth="1"/>
    <col min="7" max="7" width="22" style="225" bestFit="1" customWidth="1"/>
    <col min="8" max="8" width="14" style="225" bestFit="1" customWidth="1"/>
    <col min="9" max="9" width="25.88671875" style="225" hidden="1" customWidth="1"/>
    <col min="10" max="10" width="7.5546875" style="225" hidden="1" customWidth="1"/>
    <col min="11" max="11" width="25.88671875" style="225" hidden="1" customWidth="1"/>
    <col min="12" max="12" width="12" style="225" hidden="1" customWidth="1"/>
    <col min="13" max="13" width="12.109375" style="225" hidden="1" customWidth="1"/>
    <col min="14" max="14" width="15.109375" style="225" hidden="1" customWidth="1"/>
    <col min="15" max="15" width="12" style="225" hidden="1" customWidth="1"/>
    <col min="16" max="17" width="15.109375" style="225" hidden="1" customWidth="1"/>
    <col min="18" max="18" width="12" style="225" hidden="1" customWidth="1"/>
    <col min="19" max="20" width="15.109375" style="225" hidden="1" customWidth="1"/>
    <col min="21" max="21" width="12" style="225" hidden="1" customWidth="1"/>
    <col min="22" max="22" width="4.6640625" style="225" hidden="1" customWidth="1"/>
    <col min="23" max="24" width="7.5546875" style="225" hidden="1" customWidth="1"/>
    <col min="25" max="26" width="6.5546875" style="225" bestFit="1" customWidth="1"/>
    <col min="27" max="27" width="16.88671875" style="225" customWidth="1"/>
    <col min="28" max="28" width="16.109375" style="225" customWidth="1"/>
    <col min="29" max="29" width="16.33203125" style="225" customWidth="1"/>
    <col min="30" max="30" width="12.33203125" style="225" customWidth="1"/>
    <col min="31" max="31" width="10.33203125" style="225" customWidth="1"/>
    <col min="32" max="33" width="7.5546875" style="225" bestFit="1" customWidth="1"/>
    <col min="34" max="34" width="6.5546875" style="225" bestFit="1" customWidth="1"/>
    <col min="35" max="35" width="7.6640625" style="225" bestFit="1" customWidth="1"/>
    <col min="36" max="36" width="12.109375" style="225" bestFit="1" customWidth="1"/>
    <col min="37" max="40" width="15.109375" style="225" bestFit="1" customWidth="1"/>
    <col min="41" max="41" width="12" style="225" bestFit="1" customWidth="1"/>
    <col min="42" max="42" width="28.6640625" style="225" bestFit="1" customWidth="1"/>
    <col min="43" max="43" width="36.33203125" style="225" bestFit="1" customWidth="1"/>
    <col min="44" max="45" width="7.5546875" style="225" bestFit="1" customWidth="1"/>
    <col min="46" max="46" width="6.5546875" style="225" bestFit="1" customWidth="1"/>
    <col min="47" max="47" width="7.6640625" style="225" bestFit="1" customWidth="1"/>
    <col min="48" max="48" width="39.5546875" style="225" bestFit="1" customWidth="1"/>
    <col min="49" max="49" width="37.109375" style="225" bestFit="1" customWidth="1"/>
    <col min="50" max="51" width="7.5546875" style="225" bestFit="1" customWidth="1"/>
    <col min="52" max="52" width="6.5546875" style="225" bestFit="1" customWidth="1"/>
    <col min="53" max="53" width="6.6640625" style="225" bestFit="1" customWidth="1"/>
    <col min="54" max="54" width="4.6640625" style="225" bestFit="1" customWidth="1"/>
    <col min="55" max="56" width="7.5546875" style="225" bestFit="1" customWidth="1"/>
    <col min="57" max="57" width="6.5546875" style="225" bestFit="1" customWidth="1"/>
    <col min="58" max="58" width="7.6640625" style="225" bestFit="1" customWidth="1"/>
    <col min="59" max="59" width="40.33203125" style="225" bestFit="1" customWidth="1"/>
    <col min="60" max="60" width="25.6640625" style="225" bestFit="1" customWidth="1"/>
    <col min="61" max="62" width="7.5546875" style="225" bestFit="1" customWidth="1"/>
    <col min="63" max="63" width="6.5546875" style="225" bestFit="1" customWidth="1"/>
    <col min="64" max="64" width="7.6640625" style="225" bestFit="1" customWidth="1"/>
    <col min="65" max="65" width="28.88671875" style="225" bestFit="1" customWidth="1"/>
    <col min="66" max="66" width="8.6640625" style="225" bestFit="1" customWidth="1"/>
    <col min="67" max="68" width="7.5546875" style="225" bestFit="1" customWidth="1"/>
    <col min="69" max="70" width="6.5546875" style="225" bestFit="1" customWidth="1"/>
    <col min="71" max="71" width="4.6640625" style="225" bestFit="1" customWidth="1"/>
    <col min="72" max="73" width="7.5546875" style="225" bestFit="1" customWidth="1"/>
    <col min="74" max="74" width="6.5546875" style="225" bestFit="1" customWidth="1"/>
    <col min="75" max="75" width="7.6640625" style="225" bestFit="1" customWidth="1"/>
    <col min="76" max="76" width="11.6640625" style="225" bestFit="1" customWidth="1"/>
    <col min="77" max="77" width="12.109375" style="225" bestFit="1" customWidth="1"/>
    <col min="78" max="82" width="15.109375" style="225" bestFit="1" customWidth="1"/>
    <col min="83" max="83" width="12" style="225" bestFit="1" customWidth="1"/>
    <col min="84" max="16384" width="10.88671875" style="225"/>
  </cols>
  <sheetData>
    <row r="1" spans="2:31" ht="34.5" customHeight="1" x14ac:dyDescent="0.3">
      <c r="B1" s="765" t="str">
        <f>IF('ASIGNACIÓN ASIGNATURAS'!$B$3="","",'ASIGNACIÓN ASIGNATURAS'!$B$3)</f>
        <v/>
      </c>
      <c r="C1" s="766"/>
      <c r="D1" s="766"/>
      <c r="E1" s="766"/>
      <c r="F1" s="766"/>
      <c r="G1" s="766"/>
      <c r="H1" s="766"/>
    </row>
    <row r="2" spans="2:31" ht="15" thickBot="1" x14ac:dyDescent="0.35">
      <c r="B2" s="765" t="s">
        <v>233</v>
      </c>
      <c r="C2" s="766"/>
      <c r="D2" s="766"/>
      <c r="E2" s="766"/>
      <c r="F2" s="766"/>
      <c r="G2" s="766"/>
      <c r="H2" s="766"/>
    </row>
    <row r="3" spans="2:31" s="235" customFormat="1" hidden="1" x14ac:dyDescent="0.3">
      <c r="O3" s="225"/>
    </row>
    <row r="4" spans="2:31" s="235" customFormat="1" ht="57.6" x14ac:dyDescent="0.3">
      <c r="B4" s="303" t="s">
        <v>227</v>
      </c>
      <c r="C4" s="303" t="s">
        <v>129</v>
      </c>
      <c r="D4" s="303" t="s">
        <v>228</v>
      </c>
      <c r="E4" s="303" t="s">
        <v>229</v>
      </c>
      <c r="F4" s="303" t="s">
        <v>230</v>
      </c>
      <c r="G4" s="303" t="s">
        <v>231</v>
      </c>
      <c r="H4" s="303" t="s">
        <v>232</v>
      </c>
      <c r="I4" s="225"/>
      <c r="J4" s="225"/>
      <c r="K4" s="225"/>
      <c r="L4" s="225"/>
      <c r="M4" s="225"/>
      <c r="N4" s="225"/>
      <c r="O4" s="225"/>
      <c r="AA4" s="236" t="s">
        <v>227</v>
      </c>
      <c r="AB4" s="237" t="s">
        <v>229</v>
      </c>
      <c r="AC4" s="237" t="s">
        <v>230</v>
      </c>
      <c r="AD4" s="237" t="s">
        <v>231</v>
      </c>
      <c r="AE4" s="238" t="s">
        <v>232</v>
      </c>
    </row>
    <row r="5" spans="2:31" x14ac:dyDescent="0.3">
      <c r="AA5" s="239" t="s">
        <v>74</v>
      </c>
      <c r="AB5" s="226">
        <f>SUMIF($B$5:$B$1048576,$AA5,E$5:E$1048576)</f>
        <v>0</v>
      </c>
      <c r="AC5" s="226">
        <f t="shared" ref="AB5:AE12" si="0">SUMIF($B$5:$B$1048576,$AA5,F$5:F$1048576)</f>
        <v>0</v>
      </c>
      <c r="AD5" s="226">
        <f t="shared" si="0"/>
        <v>0</v>
      </c>
      <c r="AE5" s="240">
        <f t="shared" si="0"/>
        <v>0</v>
      </c>
    </row>
    <row r="6" spans="2:31" x14ac:dyDescent="0.3">
      <c r="B6"/>
      <c r="C6"/>
      <c r="D6"/>
      <c r="E6"/>
      <c r="F6"/>
      <c r="G6"/>
      <c r="H6"/>
      <c r="I6"/>
      <c r="J6"/>
      <c r="K6"/>
      <c r="L6"/>
      <c r="M6"/>
      <c r="N6"/>
      <c r="AA6" s="239" t="s">
        <v>75</v>
      </c>
      <c r="AB6" s="226">
        <f>SUMIF($B$5:$B$1048576,$AA6,E$5:E$1048576)</f>
        <v>0</v>
      </c>
      <c r="AC6" s="226">
        <f t="shared" si="0"/>
        <v>0</v>
      </c>
      <c r="AD6" s="226">
        <f t="shared" si="0"/>
        <v>0</v>
      </c>
      <c r="AE6" s="240">
        <f t="shared" si="0"/>
        <v>0</v>
      </c>
    </row>
    <row r="7" spans="2:31" x14ac:dyDescent="0.3">
      <c r="B7"/>
      <c r="C7"/>
      <c r="D7"/>
      <c r="E7"/>
      <c r="F7"/>
      <c r="G7"/>
      <c r="H7"/>
      <c r="I7"/>
      <c r="J7"/>
      <c r="K7"/>
      <c r="L7"/>
      <c r="M7"/>
      <c r="N7"/>
      <c r="AA7" s="239" t="s">
        <v>76</v>
      </c>
      <c r="AB7" s="226">
        <f t="shared" si="0"/>
        <v>0</v>
      </c>
      <c r="AC7" s="226">
        <f t="shared" si="0"/>
        <v>0</v>
      </c>
      <c r="AD7" s="226">
        <f t="shared" si="0"/>
        <v>0</v>
      </c>
      <c r="AE7" s="240">
        <f t="shared" si="0"/>
        <v>0</v>
      </c>
    </row>
    <row r="8" spans="2:31" x14ac:dyDescent="0.3">
      <c r="B8"/>
      <c r="C8"/>
      <c r="D8"/>
      <c r="E8"/>
      <c r="F8"/>
      <c r="G8"/>
      <c r="H8"/>
      <c r="I8"/>
      <c r="J8"/>
      <c r="K8"/>
      <c r="L8"/>
      <c r="M8"/>
      <c r="N8"/>
      <c r="AA8" s="239" t="s">
        <v>77</v>
      </c>
      <c r="AB8" s="226">
        <f t="shared" si="0"/>
        <v>0</v>
      </c>
      <c r="AC8" s="226">
        <f t="shared" si="0"/>
        <v>0</v>
      </c>
      <c r="AD8" s="226">
        <f t="shared" si="0"/>
        <v>0</v>
      </c>
      <c r="AE8" s="240">
        <f t="shared" si="0"/>
        <v>0</v>
      </c>
    </row>
    <row r="9" spans="2:31" x14ac:dyDescent="0.3">
      <c r="B9"/>
      <c r="C9"/>
      <c r="D9"/>
      <c r="E9"/>
      <c r="F9"/>
      <c r="G9"/>
      <c r="H9"/>
      <c r="I9"/>
      <c r="J9"/>
      <c r="K9"/>
      <c r="L9"/>
      <c r="M9"/>
      <c r="N9"/>
      <c r="AA9" s="239" t="s">
        <v>81</v>
      </c>
      <c r="AB9" s="226">
        <f t="shared" si="0"/>
        <v>0</v>
      </c>
      <c r="AC9" s="226">
        <f t="shared" si="0"/>
        <v>0</v>
      </c>
      <c r="AD9" s="226">
        <f t="shared" si="0"/>
        <v>0</v>
      </c>
      <c r="AE9" s="240">
        <f t="shared" si="0"/>
        <v>0</v>
      </c>
    </row>
    <row r="10" spans="2:31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AA10" s="239" t="s">
        <v>82</v>
      </c>
      <c r="AB10" s="226">
        <f>SUMIF($B$5:$B$1048576,$AA10,E$5:E$1048576)</f>
        <v>0</v>
      </c>
      <c r="AC10" s="226">
        <f t="shared" si="0"/>
        <v>0</v>
      </c>
      <c r="AD10" s="226">
        <f t="shared" si="0"/>
        <v>0</v>
      </c>
      <c r="AE10" s="240">
        <f t="shared" si="0"/>
        <v>0</v>
      </c>
    </row>
    <row r="11" spans="2:3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AA11" s="239" t="s">
        <v>83</v>
      </c>
      <c r="AB11" s="226">
        <f t="shared" si="0"/>
        <v>0</v>
      </c>
      <c r="AC11" s="226">
        <f t="shared" si="0"/>
        <v>0</v>
      </c>
      <c r="AD11" s="226">
        <f t="shared" si="0"/>
        <v>0</v>
      </c>
      <c r="AE11" s="240">
        <f t="shared" si="0"/>
        <v>0</v>
      </c>
    </row>
    <row r="12" spans="2:31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AA12" s="239" t="s">
        <v>84</v>
      </c>
      <c r="AB12" s="226">
        <f t="shared" si="0"/>
        <v>0</v>
      </c>
      <c r="AC12" s="226">
        <f t="shared" si="0"/>
        <v>0</v>
      </c>
      <c r="AD12" s="226">
        <f t="shared" si="0"/>
        <v>0</v>
      </c>
      <c r="AE12" s="240">
        <f t="shared" si="0"/>
        <v>0</v>
      </c>
    </row>
    <row r="13" spans="2:31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AA13" s="239" t="s">
        <v>85</v>
      </c>
      <c r="AB13" s="226">
        <f t="shared" ref="AB13" si="1">SUMIF($B$5:$B$1048576,$AA13,E$5:E$1048576)</f>
        <v>0</v>
      </c>
      <c r="AC13" s="226">
        <f t="shared" ref="AC13" si="2">SUMIF($B$5:$B$1048576,$AA13,F$5:F$1048576)</f>
        <v>0</v>
      </c>
      <c r="AD13" s="226">
        <f t="shared" ref="AD13" si="3">SUMIF($B$5:$B$1048576,$AA13,G$5:G$1048576)</f>
        <v>0</v>
      </c>
      <c r="AE13" s="240">
        <f t="shared" ref="AE13" si="4">SUMIF($B$5:$B$1048576,$AA13,H$5:H$1048576)</f>
        <v>0</v>
      </c>
    </row>
    <row r="14" spans="2:31" ht="15" thickBot="1" x14ac:dyDescent="0.35">
      <c r="B14"/>
      <c r="C14"/>
      <c r="D14"/>
      <c r="E14"/>
      <c r="F14"/>
      <c r="G14"/>
      <c r="H14"/>
      <c r="I14"/>
      <c r="J14"/>
      <c r="K14"/>
      <c r="L14"/>
      <c r="M14"/>
      <c r="N14"/>
      <c r="AA14" s="241" t="s">
        <v>86</v>
      </c>
      <c r="AB14" s="242">
        <f>SUM(AB5:AB13)</f>
        <v>0</v>
      </c>
      <c r="AC14" s="242">
        <f>SUM(AC5:AC13)</f>
        <v>0</v>
      </c>
      <c r="AD14" s="242">
        <f>SUM(AD5:AD13)</f>
        <v>0</v>
      </c>
      <c r="AE14" s="243">
        <f>SUM(AE5:AE13)</f>
        <v>0</v>
      </c>
    </row>
    <row r="15" spans="2:31" x14ac:dyDescent="0.3"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2:31" x14ac:dyDescent="0.3"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2:14" x14ac:dyDescent="0.3"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2:14" x14ac:dyDescent="0.3"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2:14" x14ac:dyDescent="0.3"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2:14" x14ac:dyDescent="0.3"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2:14" x14ac:dyDescent="0.3"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2:14" x14ac:dyDescent="0.3"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2:14" x14ac:dyDescent="0.3"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2:14" x14ac:dyDescent="0.3"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2:14" x14ac:dyDescent="0.3"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2:14" x14ac:dyDescent="0.3"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2:14" x14ac:dyDescent="0.3"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2:14" x14ac:dyDescent="0.3"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2:14" x14ac:dyDescent="0.3"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2:14" x14ac:dyDescent="0.3"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2:14" x14ac:dyDescent="0.3"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2:14" x14ac:dyDescent="0.3"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2:14" x14ac:dyDescent="0.3"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2:14" x14ac:dyDescent="0.3"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2:14" x14ac:dyDescent="0.3"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2:14" x14ac:dyDescent="0.3"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2:14" x14ac:dyDescent="0.3"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2:14" x14ac:dyDescent="0.3"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2:14" x14ac:dyDescent="0.3"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2:14" x14ac:dyDescent="0.3"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2:14" x14ac:dyDescent="0.3"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2:14" x14ac:dyDescent="0.3"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2:14" x14ac:dyDescent="0.3"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2:14" x14ac:dyDescent="0.3"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2:14" x14ac:dyDescent="0.3"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2:14" x14ac:dyDescent="0.3"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2:14" x14ac:dyDescent="0.3"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2:14" x14ac:dyDescent="0.3"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2:14" x14ac:dyDescent="0.3"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2:14" x14ac:dyDescent="0.3"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2:14" x14ac:dyDescent="0.3"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2:14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14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14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14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14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2:14" x14ac:dyDescent="0.3"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2:14" x14ac:dyDescent="0.3"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2:14" x14ac:dyDescent="0.3"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2:14" x14ac:dyDescent="0.3"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2:14" x14ac:dyDescent="0.3"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2:14" x14ac:dyDescent="0.3"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2:14" x14ac:dyDescent="0.3"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2:14" x14ac:dyDescent="0.3"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2:14" x14ac:dyDescent="0.3"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2:14" x14ac:dyDescent="0.3"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2:14" x14ac:dyDescent="0.3"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2:14" x14ac:dyDescent="0.3"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2:14" x14ac:dyDescent="0.3"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2:14" x14ac:dyDescent="0.3">
      <c r="B70"/>
      <c r="C70"/>
      <c r="D70"/>
      <c r="E70"/>
      <c r="F70"/>
      <c r="G70"/>
      <c r="H70"/>
      <c r="I70"/>
      <c r="J70"/>
      <c r="K70"/>
      <c r="L70"/>
      <c r="M70"/>
      <c r="N70"/>
    </row>
  </sheetData>
  <sheetProtection sort="0" autoFilter="0"/>
  <mergeCells count="2">
    <mergeCell ref="B1:H1"/>
    <mergeCell ref="B2:H2"/>
  </mergeCells>
  <conditionalFormatting sqref="C1:C1048576">
    <cfRule type="duplicateValues" dxfId="39" priority="1"/>
    <cfRule type="duplicateValues" dxfId="38" priority="2"/>
  </conditionalFormatting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5848A-C29E-43FB-8F9A-E7CBA86711DB}">
  <sheetPr codeName="Hoja9">
    <tabColor theme="1" tint="0.14999847407452621"/>
  </sheetPr>
  <dimension ref="A1:S301"/>
  <sheetViews>
    <sheetView topLeftCell="A133" zoomScale="55" zoomScaleNormal="55" workbookViewId="0">
      <selection activeCell="E1" sqref="E1"/>
    </sheetView>
  </sheetViews>
  <sheetFormatPr baseColWidth="10" defaultColWidth="0" defaultRowHeight="14.4" zeroHeight="1" x14ac:dyDescent="0.3"/>
  <cols>
    <col min="1" max="1" width="8.6640625" style="226" bestFit="1" customWidth="1"/>
    <col min="2" max="2" width="27.33203125" style="226" bestFit="1" customWidth="1"/>
    <col min="3" max="3" width="33.109375" style="226" bestFit="1" customWidth="1"/>
    <col min="4" max="4" width="12.109375" style="226" bestFit="1" customWidth="1"/>
    <col min="5" max="5" width="12.109375" style="226" customWidth="1"/>
    <col min="6" max="6" width="42.6640625" style="226" bestFit="1" customWidth="1"/>
    <col min="7" max="7" width="11.6640625" style="226" bestFit="1" customWidth="1"/>
    <col min="8" max="8" width="19.6640625" style="226" bestFit="1" customWidth="1"/>
    <col min="9" max="9" width="18.88671875" style="226" bestFit="1" customWidth="1"/>
    <col min="10" max="10" width="21" style="226" bestFit="1" customWidth="1"/>
    <col min="11" max="12" width="21.33203125" style="226" customWidth="1"/>
    <col min="13" max="13" width="13.6640625" style="226" bestFit="1" customWidth="1"/>
    <col min="14" max="14" width="18.88671875" style="226" bestFit="1" customWidth="1"/>
    <col min="15" max="15" width="19.88671875" style="226" bestFit="1" customWidth="1"/>
    <col min="16" max="16" width="28.6640625" style="226" bestFit="1" customWidth="1"/>
    <col min="17" max="17" width="31.44140625" style="226" bestFit="1" customWidth="1"/>
    <col min="18" max="18" width="29.33203125" style="226" bestFit="1" customWidth="1"/>
    <col min="19" max="19" width="26.6640625" style="226" bestFit="1" customWidth="1"/>
    <col min="20" max="16384" width="10.88671875" style="225" hidden="1"/>
  </cols>
  <sheetData>
    <row r="1" spans="1:19" x14ac:dyDescent="0.3">
      <c r="A1" s="233" t="s">
        <v>234</v>
      </c>
      <c r="B1" s="245" t="s">
        <v>3</v>
      </c>
      <c r="C1" s="245" t="s">
        <v>4</v>
      </c>
      <c r="D1" s="245" t="s">
        <v>5</v>
      </c>
      <c r="E1" s="245" t="s">
        <v>235</v>
      </c>
      <c r="F1" s="245" t="s">
        <v>6</v>
      </c>
      <c r="G1" s="245" t="s">
        <v>7</v>
      </c>
      <c r="H1" s="245" t="s">
        <v>10</v>
      </c>
      <c r="I1" s="245" t="s">
        <v>11</v>
      </c>
      <c r="J1" s="245" t="s">
        <v>12</v>
      </c>
      <c r="K1" s="245" t="s">
        <v>9</v>
      </c>
      <c r="L1" s="245" t="s">
        <v>236</v>
      </c>
      <c r="M1" s="245" t="s">
        <v>8</v>
      </c>
      <c r="N1" s="245" t="s">
        <v>13</v>
      </c>
      <c r="O1" s="245" t="s">
        <v>14</v>
      </c>
      <c r="P1" s="245" t="s">
        <v>15</v>
      </c>
      <c r="Q1" s="245" t="s">
        <v>16</v>
      </c>
      <c r="R1" s="245" t="s">
        <v>17</v>
      </c>
      <c r="S1" s="246" t="s">
        <v>18</v>
      </c>
    </row>
    <row r="2" spans="1:19" x14ac:dyDescent="0.3">
      <c r="A2" s="290" t="str">
        <f>IF('ASIGNACIÓN ASIGNATURAS'!J157="","",'ASIGNACIÓN ASIGNATURAS'!J157)</f>
        <v/>
      </c>
      <c r="B2" s="290" t="str">
        <f>IF('ASIGNACIÓN ASIGNATURAS'!K157="","",'ASIGNACIÓN ASIGNATURAS'!K157)</f>
        <v/>
      </c>
      <c r="C2" s="290" t="str">
        <f>IF('ASIGNACIÓN ASIGNATURAS'!L157="","",'ASIGNACIÓN ASIGNATURAS'!L157)</f>
        <v/>
      </c>
      <c r="D2" s="290" t="str">
        <f>IF('ASIGNACIÓN ASIGNATURAS'!M157="","",'ASIGNACIÓN ASIGNATURAS'!M157)</f>
        <v/>
      </c>
      <c r="E2" s="290" t="str">
        <f>IF('ASIGNACIÓN ASIGNATURAS'!N157="","",'ASIGNACIÓN ASIGNATURAS'!N157)</f>
        <v/>
      </c>
      <c r="F2" s="290" t="str">
        <f>IF('ASIGNACIÓN ASIGNATURAS'!O157="","",'ASIGNACIÓN ASIGNATURAS'!O157)</f>
        <v/>
      </c>
      <c r="G2" s="290" t="str">
        <f>IF('ASIGNACIÓN ASIGNATURAS'!P157="","",'ASIGNACIÓN ASIGNATURAS'!P157)</f>
        <v/>
      </c>
      <c r="H2" s="290" t="str">
        <f>IF('ASIGNACIÓN ASIGNATURAS'!T157="","",'ASIGNACIÓN ASIGNATURAS'!T157)</f>
        <v/>
      </c>
      <c r="I2" s="290" t="str">
        <f>IF('ASIGNACIÓN ASIGNATURAS'!U157="","",'ASIGNACIÓN ASIGNATURAS'!U157)</f>
        <v/>
      </c>
      <c r="J2" s="290" t="str">
        <f>IF('ASIGNACIÓN ASIGNATURAS'!V157="","",'ASIGNACIÓN ASIGNATURAS'!V157)</f>
        <v/>
      </c>
      <c r="K2" s="301" t="str">
        <f>IF('ASIGNACIÓN ASIGNATURAS'!S157="","",'ASIGNACIÓN ASIGNATURAS'!S157)</f>
        <v/>
      </c>
      <c r="L2" s="244" t="str">
        <f>IF('ASIGNACIÓN ASIGNATURAS'!Q157="","",'ASIGNACIÓN ASIGNATURAS'!Q157)</f>
        <v/>
      </c>
      <c r="M2" s="244" t="str">
        <f>IF('ASIGNACIÓN ASIGNATURAS'!R157="","",'ASIGNACIÓN ASIGNATURAS'!R157)</f>
        <v/>
      </c>
      <c r="N2" s="244" t="str">
        <f>IF('ASIGNACIÓN ASIGNATURAS'!W157="","",'ASIGNACIÓN ASIGNATURAS'!W157)</f>
        <v/>
      </c>
      <c r="O2" s="244" t="str">
        <f>IF('ASIGNACIÓN ASIGNATURAS'!X157="","",'ASIGNACIÓN ASIGNATURAS'!X157)</f>
        <v/>
      </c>
      <c r="P2" s="244" t="str">
        <f>IF('ASIGNACIÓN ASIGNATURAS'!Y157="","",'ASIGNACIÓN ASIGNATURAS'!Y157)</f>
        <v/>
      </c>
      <c r="Q2" s="244" t="str">
        <f>IF('ASIGNACIÓN ASIGNATURAS'!Z157="","",'ASIGNACIÓN ASIGNATURAS'!Z157)</f>
        <v/>
      </c>
      <c r="R2" s="244" t="str">
        <f>IF('ASIGNACIÓN ASIGNATURAS'!AA157="","",'ASIGNACIÓN ASIGNATURAS'!AA157)</f>
        <v/>
      </c>
      <c r="S2" s="244" t="str">
        <f>IF('ASIGNACIÓN ASIGNATURAS'!AB157="","",'ASIGNACIÓN ASIGNATURAS'!AB157)</f>
        <v/>
      </c>
    </row>
    <row r="3" spans="1:19" x14ac:dyDescent="0.3">
      <c r="A3" s="290" t="str">
        <f>IF('ASIGNACIÓN ASIGNATURAS'!J45="","",'ASIGNACIÓN ASIGNATURAS'!J45)</f>
        <v/>
      </c>
      <c r="B3" s="290" t="str">
        <f>IF('ASIGNACIÓN ASIGNATURAS'!K45="","",'ASIGNACIÓN ASIGNATURAS'!K45)</f>
        <v/>
      </c>
      <c r="C3" s="290" t="str">
        <f>IF('ASIGNACIÓN ASIGNATURAS'!L45="","",'ASIGNACIÓN ASIGNATURAS'!L45)</f>
        <v/>
      </c>
      <c r="D3" s="290" t="str">
        <f>IF('ASIGNACIÓN ASIGNATURAS'!M45="","",'ASIGNACIÓN ASIGNATURAS'!M45)</f>
        <v/>
      </c>
      <c r="E3" s="290" t="str">
        <f>IF('ASIGNACIÓN ASIGNATURAS'!N45="","",'ASIGNACIÓN ASIGNATURAS'!N45)</f>
        <v/>
      </c>
      <c r="F3" s="290" t="str">
        <f>IF('ASIGNACIÓN ASIGNATURAS'!O45="","",'ASIGNACIÓN ASIGNATURAS'!O45)</f>
        <v/>
      </c>
      <c r="G3" s="290" t="str">
        <f>IF('ASIGNACIÓN ASIGNATURAS'!P45="","",'ASIGNACIÓN ASIGNATURAS'!P45)</f>
        <v/>
      </c>
      <c r="H3" s="290" t="str">
        <f>IF('ASIGNACIÓN ASIGNATURAS'!T45="","",'ASIGNACIÓN ASIGNATURAS'!T45)</f>
        <v/>
      </c>
      <c r="I3" s="290" t="str">
        <f>IF('ASIGNACIÓN ASIGNATURAS'!U45="","",'ASIGNACIÓN ASIGNATURAS'!U45)</f>
        <v/>
      </c>
      <c r="J3" s="290" t="str">
        <f>IF('ASIGNACIÓN ASIGNATURAS'!V45="","",'ASIGNACIÓN ASIGNATURAS'!V45)</f>
        <v/>
      </c>
      <c r="K3" s="301" t="str">
        <f>IF('ASIGNACIÓN ASIGNATURAS'!S45="","",'ASIGNACIÓN ASIGNATURAS'!S45)</f>
        <v/>
      </c>
      <c r="L3" s="244" t="str">
        <f>IF('ASIGNACIÓN ASIGNATURAS'!Q45="","",'ASIGNACIÓN ASIGNATURAS'!Q45)</f>
        <v/>
      </c>
      <c r="M3" s="244" t="str">
        <f>IF('ASIGNACIÓN ASIGNATURAS'!R45="","",'ASIGNACIÓN ASIGNATURAS'!R45)</f>
        <v/>
      </c>
      <c r="N3" s="244" t="str">
        <f>IF('ASIGNACIÓN ASIGNATURAS'!W45="","",'ASIGNACIÓN ASIGNATURAS'!W45)</f>
        <v/>
      </c>
      <c r="O3" s="244" t="str">
        <f>IF('ASIGNACIÓN ASIGNATURAS'!X45="","",'ASIGNACIÓN ASIGNATURAS'!X45)</f>
        <v/>
      </c>
      <c r="P3" s="244" t="str">
        <f>IF('ASIGNACIÓN ASIGNATURAS'!Y45="","",'ASIGNACIÓN ASIGNATURAS'!Y45)</f>
        <v/>
      </c>
      <c r="Q3" s="244" t="str">
        <f>IF('ASIGNACIÓN ASIGNATURAS'!Z45="","",'ASIGNACIÓN ASIGNATURAS'!Z45)</f>
        <v/>
      </c>
      <c r="R3" s="244" t="str">
        <f>IF('ASIGNACIÓN ASIGNATURAS'!AA45="","",'ASIGNACIÓN ASIGNATURAS'!AA45)</f>
        <v/>
      </c>
      <c r="S3" s="244" t="str">
        <f>IF('ASIGNACIÓN ASIGNATURAS'!AB45="","",'ASIGNACIÓN ASIGNATURAS'!AB45)</f>
        <v/>
      </c>
    </row>
    <row r="4" spans="1:19" x14ac:dyDescent="0.3">
      <c r="A4" s="290" t="str">
        <f>IF('ASIGNACIÓN ASIGNATURAS'!J65="","",'ASIGNACIÓN ASIGNATURAS'!J65)</f>
        <v/>
      </c>
      <c r="B4" s="290" t="str">
        <f>IF('ASIGNACIÓN ASIGNATURAS'!K65="","",'ASIGNACIÓN ASIGNATURAS'!K65)</f>
        <v/>
      </c>
      <c r="C4" s="290" t="str">
        <f>IF('ASIGNACIÓN ASIGNATURAS'!L65="","",'ASIGNACIÓN ASIGNATURAS'!L65)</f>
        <v/>
      </c>
      <c r="D4" s="290" t="str">
        <f>IF('ASIGNACIÓN ASIGNATURAS'!M65="","",'ASIGNACIÓN ASIGNATURAS'!M65)</f>
        <v/>
      </c>
      <c r="E4" s="290" t="str">
        <f>IF('ASIGNACIÓN ASIGNATURAS'!N65="","",'ASIGNACIÓN ASIGNATURAS'!N65)</f>
        <v/>
      </c>
      <c r="F4" s="290" t="str">
        <f>IF('ASIGNACIÓN ASIGNATURAS'!O65="","",'ASIGNACIÓN ASIGNATURAS'!O65)</f>
        <v/>
      </c>
      <c r="G4" s="290" t="str">
        <f>IF('ASIGNACIÓN ASIGNATURAS'!P65="","",'ASIGNACIÓN ASIGNATURAS'!P65)</f>
        <v/>
      </c>
      <c r="H4" s="290" t="str">
        <f>IF('ASIGNACIÓN ASIGNATURAS'!T65="","",'ASIGNACIÓN ASIGNATURAS'!T65)</f>
        <v/>
      </c>
      <c r="I4" s="290" t="str">
        <f>IF('ASIGNACIÓN ASIGNATURAS'!U65="","",'ASIGNACIÓN ASIGNATURAS'!U65)</f>
        <v/>
      </c>
      <c r="J4" s="290" t="str">
        <f>IF('ASIGNACIÓN ASIGNATURAS'!V65="","",'ASIGNACIÓN ASIGNATURAS'!V65)</f>
        <v/>
      </c>
      <c r="K4" s="301" t="str">
        <f>IF('ASIGNACIÓN ASIGNATURAS'!S65="","",'ASIGNACIÓN ASIGNATURAS'!S65)</f>
        <v/>
      </c>
      <c r="L4" s="244" t="str">
        <f>IF('ASIGNACIÓN ASIGNATURAS'!Q65="","",'ASIGNACIÓN ASIGNATURAS'!Q65)</f>
        <v/>
      </c>
      <c r="M4" s="244" t="str">
        <f>IF('ASIGNACIÓN ASIGNATURAS'!R65="","",'ASIGNACIÓN ASIGNATURAS'!R65)</f>
        <v/>
      </c>
      <c r="N4" s="244" t="str">
        <f>IF('ASIGNACIÓN ASIGNATURAS'!W65="","",'ASIGNACIÓN ASIGNATURAS'!W65)</f>
        <v/>
      </c>
      <c r="O4" s="244" t="str">
        <f>IF('ASIGNACIÓN ASIGNATURAS'!X65="","",'ASIGNACIÓN ASIGNATURAS'!X65)</f>
        <v/>
      </c>
      <c r="P4" s="244" t="str">
        <f>IF('ASIGNACIÓN ASIGNATURAS'!Y65="","",'ASIGNACIÓN ASIGNATURAS'!Y65)</f>
        <v/>
      </c>
      <c r="Q4" s="244" t="str">
        <f>IF('ASIGNACIÓN ASIGNATURAS'!Z65="","",'ASIGNACIÓN ASIGNATURAS'!Z65)</f>
        <v/>
      </c>
      <c r="R4" s="244" t="str">
        <f>IF('ASIGNACIÓN ASIGNATURAS'!AA65="","",'ASIGNACIÓN ASIGNATURAS'!AA65)</f>
        <v/>
      </c>
      <c r="S4" s="244" t="str">
        <f>IF('ASIGNACIÓN ASIGNATURAS'!AB65="","",'ASIGNACIÓN ASIGNATURAS'!AB65)</f>
        <v/>
      </c>
    </row>
    <row r="5" spans="1:19" x14ac:dyDescent="0.3">
      <c r="A5" s="290" t="str">
        <f>IF('ASIGNACIÓN ASIGNATURAS'!J89="","",'ASIGNACIÓN ASIGNATURAS'!J89)</f>
        <v/>
      </c>
      <c r="B5" s="290" t="str">
        <f>IF('ASIGNACIÓN ASIGNATURAS'!K89="","",'ASIGNACIÓN ASIGNATURAS'!K89)</f>
        <v/>
      </c>
      <c r="C5" s="290" t="str">
        <f>IF('ASIGNACIÓN ASIGNATURAS'!L89="","",'ASIGNACIÓN ASIGNATURAS'!L89)</f>
        <v/>
      </c>
      <c r="D5" s="290" t="str">
        <f>IF('ASIGNACIÓN ASIGNATURAS'!M89="","",'ASIGNACIÓN ASIGNATURAS'!M89)</f>
        <v/>
      </c>
      <c r="E5" s="290" t="str">
        <f>IF('ASIGNACIÓN ASIGNATURAS'!N89="","",'ASIGNACIÓN ASIGNATURAS'!N89)</f>
        <v/>
      </c>
      <c r="F5" s="290" t="str">
        <f>IF('ASIGNACIÓN ASIGNATURAS'!O89="","",'ASIGNACIÓN ASIGNATURAS'!O89)</f>
        <v/>
      </c>
      <c r="G5" s="290" t="str">
        <f>IF('ASIGNACIÓN ASIGNATURAS'!P89="","",'ASIGNACIÓN ASIGNATURAS'!P89)</f>
        <v/>
      </c>
      <c r="H5" s="290" t="str">
        <f>IF('ASIGNACIÓN ASIGNATURAS'!T89="","",'ASIGNACIÓN ASIGNATURAS'!T89)</f>
        <v/>
      </c>
      <c r="I5" s="290" t="str">
        <f>IF('ASIGNACIÓN ASIGNATURAS'!U89="","",'ASIGNACIÓN ASIGNATURAS'!U89)</f>
        <v/>
      </c>
      <c r="J5" s="290" t="str">
        <f>IF('ASIGNACIÓN ASIGNATURAS'!V89="","",'ASIGNACIÓN ASIGNATURAS'!V89)</f>
        <v/>
      </c>
      <c r="K5" s="301" t="str">
        <f>IF('ASIGNACIÓN ASIGNATURAS'!S89="","",'ASIGNACIÓN ASIGNATURAS'!S89)</f>
        <v/>
      </c>
      <c r="L5" s="244" t="str">
        <f>IF('ASIGNACIÓN ASIGNATURAS'!Q89="","",'ASIGNACIÓN ASIGNATURAS'!Q89)</f>
        <v/>
      </c>
      <c r="M5" s="244" t="str">
        <f>IF('ASIGNACIÓN ASIGNATURAS'!R89="","",'ASIGNACIÓN ASIGNATURAS'!R89)</f>
        <v/>
      </c>
      <c r="N5" s="244" t="str">
        <f>IF('ASIGNACIÓN ASIGNATURAS'!W89="","",'ASIGNACIÓN ASIGNATURAS'!W89)</f>
        <v/>
      </c>
      <c r="O5" s="244" t="str">
        <f>IF('ASIGNACIÓN ASIGNATURAS'!X89="","",'ASIGNACIÓN ASIGNATURAS'!X89)</f>
        <v/>
      </c>
      <c r="P5" s="244" t="str">
        <f>IF('ASIGNACIÓN ASIGNATURAS'!Y89="","",'ASIGNACIÓN ASIGNATURAS'!Y89)</f>
        <v/>
      </c>
      <c r="Q5" s="244" t="str">
        <f>IF('ASIGNACIÓN ASIGNATURAS'!Z89="","",'ASIGNACIÓN ASIGNATURAS'!Z89)</f>
        <v/>
      </c>
      <c r="R5" s="244" t="str">
        <f>IF('ASIGNACIÓN ASIGNATURAS'!AA89="","",'ASIGNACIÓN ASIGNATURAS'!AA89)</f>
        <v/>
      </c>
      <c r="S5" s="244" t="str">
        <f>IF('ASIGNACIÓN ASIGNATURAS'!AB89="","",'ASIGNACIÓN ASIGNATURAS'!AB89)</f>
        <v/>
      </c>
    </row>
    <row r="6" spans="1:19" x14ac:dyDescent="0.3">
      <c r="A6" s="290" t="str">
        <f>IF('ASIGNACIÓN ASIGNATURAS'!J113="","",'ASIGNACIÓN ASIGNATURAS'!J113)</f>
        <v/>
      </c>
      <c r="B6" s="290" t="str">
        <f>IF('ASIGNACIÓN ASIGNATURAS'!K113="","",'ASIGNACIÓN ASIGNATURAS'!K113)</f>
        <v/>
      </c>
      <c r="C6" s="290" t="str">
        <f>IF('ASIGNACIÓN ASIGNATURAS'!L113="","",'ASIGNACIÓN ASIGNATURAS'!L113)</f>
        <v/>
      </c>
      <c r="D6" s="290" t="str">
        <f>IF('ASIGNACIÓN ASIGNATURAS'!M113="","",'ASIGNACIÓN ASIGNATURAS'!M113)</f>
        <v/>
      </c>
      <c r="E6" s="290" t="str">
        <f>IF('ASIGNACIÓN ASIGNATURAS'!N113="","",'ASIGNACIÓN ASIGNATURAS'!N113)</f>
        <v/>
      </c>
      <c r="F6" s="290" t="str">
        <f>IF('ASIGNACIÓN ASIGNATURAS'!O113="","",'ASIGNACIÓN ASIGNATURAS'!O113)</f>
        <v/>
      </c>
      <c r="G6" s="290" t="str">
        <f>IF('ASIGNACIÓN ASIGNATURAS'!P113="","",'ASIGNACIÓN ASIGNATURAS'!P113)</f>
        <v/>
      </c>
      <c r="H6" s="290" t="str">
        <f>IF('ASIGNACIÓN ASIGNATURAS'!T113="","",'ASIGNACIÓN ASIGNATURAS'!T113)</f>
        <v/>
      </c>
      <c r="I6" s="290" t="str">
        <f>IF('ASIGNACIÓN ASIGNATURAS'!U113="","",'ASIGNACIÓN ASIGNATURAS'!U113)</f>
        <v/>
      </c>
      <c r="J6" s="290" t="str">
        <f>IF('ASIGNACIÓN ASIGNATURAS'!V113="","",'ASIGNACIÓN ASIGNATURAS'!V113)</f>
        <v/>
      </c>
      <c r="K6" s="301" t="str">
        <f>IF('ASIGNACIÓN ASIGNATURAS'!S113="","",'ASIGNACIÓN ASIGNATURAS'!S113)</f>
        <v/>
      </c>
      <c r="L6" s="244" t="str">
        <f>IF('ASIGNACIÓN ASIGNATURAS'!Q113="","",'ASIGNACIÓN ASIGNATURAS'!Q113)</f>
        <v/>
      </c>
      <c r="M6" s="244" t="str">
        <f>IF('ASIGNACIÓN ASIGNATURAS'!R113="","",'ASIGNACIÓN ASIGNATURAS'!R113)</f>
        <v/>
      </c>
      <c r="N6" s="244" t="str">
        <f>IF('ASIGNACIÓN ASIGNATURAS'!W113="","",'ASIGNACIÓN ASIGNATURAS'!W113)</f>
        <v/>
      </c>
      <c r="O6" s="244" t="str">
        <f>IF('ASIGNACIÓN ASIGNATURAS'!X113="","",'ASIGNACIÓN ASIGNATURAS'!X113)</f>
        <v/>
      </c>
      <c r="P6" s="244" t="str">
        <f>IF('ASIGNACIÓN ASIGNATURAS'!Y113="","",'ASIGNACIÓN ASIGNATURAS'!Y113)</f>
        <v/>
      </c>
      <c r="Q6" s="244" t="str">
        <f>IF('ASIGNACIÓN ASIGNATURAS'!Z113="","",'ASIGNACIÓN ASIGNATURAS'!Z113)</f>
        <v/>
      </c>
      <c r="R6" s="244" t="str">
        <f>IF('ASIGNACIÓN ASIGNATURAS'!AA113="","",'ASIGNACIÓN ASIGNATURAS'!AA113)</f>
        <v/>
      </c>
      <c r="S6" s="244" t="str">
        <f>IF('ASIGNACIÓN ASIGNATURAS'!AB113="","",'ASIGNACIÓN ASIGNATURAS'!AB113)</f>
        <v/>
      </c>
    </row>
    <row r="7" spans="1:19" x14ac:dyDescent="0.3">
      <c r="A7" s="290" t="str">
        <f>IF('ASIGNACIÓN ASIGNATURAS'!J137="","",'ASIGNACIÓN ASIGNATURAS'!J137)</f>
        <v/>
      </c>
      <c r="B7" s="290" t="str">
        <f>IF('ASIGNACIÓN ASIGNATURAS'!K137="","",'ASIGNACIÓN ASIGNATURAS'!K137)</f>
        <v/>
      </c>
      <c r="C7" s="290" t="str">
        <f>IF('ASIGNACIÓN ASIGNATURAS'!L137="","",'ASIGNACIÓN ASIGNATURAS'!L137)</f>
        <v/>
      </c>
      <c r="D7" s="290" t="str">
        <f>IF('ASIGNACIÓN ASIGNATURAS'!M137="","",'ASIGNACIÓN ASIGNATURAS'!M137)</f>
        <v/>
      </c>
      <c r="E7" s="290" t="str">
        <f>IF('ASIGNACIÓN ASIGNATURAS'!N137="","",'ASIGNACIÓN ASIGNATURAS'!N137)</f>
        <v/>
      </c>
      <c r="F7" s="290" t="str">
        <f>IF('ASIGNACIÓN ASIGNATURAS'!O137="","",'ASIGNACIÓN ASIGNATURAS'!O137)</f>
        <v/>
      </c>
      <c r="G7" s="290" t="str">
        <f>IF('ASIGNACIÓN ASIGNATURAS'!P137="","",'ASIGNACIÓN ASIGNATURAS'!P137)</f>
        <v/>
      </c>
      <c r="H7" s="290" t="str">
        <f>IF('ASIGNACIÓN ASIGNATURAS'!T137="","",'ASIGNACIÓN ASIGNATURAS'!T137)</f>
        <v/>
      </c>
      <c r="I7" s="290" t="str">
        <f>IF('ASIGNACIÓN ASIGNATURAS'!U137="","",'ASIGNACIÓN ASIGNATURAS'!U137)</f>
        <v/>
      </c>
      <c r="J7" s="290" t="str">
        <f>IF('ASIGNACIÓN ASIGNATURAS'!V137="","",'ASIGNACIÓN ASIGNATURAS'!V137)</f>
        <v/>
      </c>
      <c r="K7" s="301" t="str">
        <f>IF('ASIGNACIÓN ASIGNATURAS'!S137="","",'ASIGNACIÓN ASIGNATURAS'!S137)</f>
        <v/>
      </c>
      <c r="L7" s="244" t="str">
        <f>IF('ASIGNACIÓN ASIGNATURAS'!Q137="","",'ASIGNACIÓN ASIGNATURAS'!Q137)</f>
        <v/>
      </c>
      <c r="M7" s="244" t="str">
        <f>IF('ASIGNACIÓN ASIGNATURAS'!R137="","",'ASIGNACIÓN ASIGNATURAS'!R137)</f>
        <v/>
      </c>
      <c r="N7" s="244" t="str">
        <f>IF('ASIGNACIÓN ASIGNATURAS'!W137="","",'ASIGNACIÓN ASIGNATURAS'!W137)</f>
        <v/>
      </c>
      <c r="O7" s="244" t="str">
        <f>IF('ASIGNACIÓN ASIGNATURAS'!X137="","",'ASIGNACIÓN ASIGNATURAS'!X137)</f>
        <v/>
      </c>
      <c r="P7" s="244" t="str">
        <f>IF('ASIGNACIÓN ASIGNATURAS'!Y137="","",'ASIGNACIÓN ASIGNATURAS'!Y137)</f>
        <v/>
      </c>
      <c r="Q7" s="244" t="str">
        <f>IF('ASIGNACIÓN ASIGNATURAS'!Z137="","",'ASIGNACIÓN ASIGNATURAS'!Z137)</f>
        <v/>
      </c>
      <c r="R7" s="244" t="str">
        <f>IF('ASIGNACIÓN ASIGNATURAS'!AA137="","",'ASIGNACIÓN ASIGNATURAS'!AA137)</f>
        <v/>
      </c>
      <c r="S7" s="244" t="str">
        <f>IF('ASIGNACIÓN ASIGNATURAS'!AB137="","",'ASIGNACIÓN ASIGNATURAS'!AB137)</f>
        <v/>
      </c>
    </row>
    <row r="8" spans="1:19" x14ac:dyDescent="0.3">
      <c r="A8" s="290" t="str">
        <f>IF('ASIGNACIÓN ASIGNATURAS'!J159="","",'ASIGNACIÓN ASIGNATURAS'!J159)</f>
        <v/>
      </c>
      <c r="B8" s="290" t="str">
        <f>IF('ASIGNACIÓN ASIGNATURAS'!K159="","",'ASIGNACIÓN ASIGNATURAS'!K159)</f>
        <v/>
      </c>
      <c r="C8" s="290" t="str">
        <f>IF('ASIGNACIÓN ASIGNATURAS'!L159="","",'ASIGNACIÓN ASIGNATURAS'!L159)</f>
        <v/>
      </c>
      <c r="D8" s="290" t="str">
        <f>IF('ASIGNACIÓN ASIGNATURAS'!M159="","",'ASIGNACIÓN ASIGNATURAS'!M159)</f>
        <v/>
      </c>
      <c r="E8" s="290" t="str">
        <f>IF('ASIGNACIÓN ASIGNATURAS'!N159="","",'ASIGNACIÓN ASIGNATURAS'!N159)</f>
        <v/>
      </c>
      <c r="F8" s="290" t="str">
        <f>IF('ASIGNACIÓN ASIGNATURAS'!O159="","",'ASIGNACIÓN ASIGNATURAS'!O159)</f>
        <v/>
      </c>
      <c r="G8" s="290" t="str">
        <f>IF('ASIGNACIÓN ASIGNATURAS'!P159="","",'ASIGNACIÓN ASIGNATURAS'!P159)</f>
        <v/>
      </c>
      <c r="H8" s="290" t="str">
        <f>IF('ASIGNACIÓN ASIGNATURAS'!T159="","",'ASIGNACIÓN ASIGNATURAS'!T159)</f>
        <v/>
      </c>
      <c r="I8" s="290" t="str">
        <f>IF('ASIGNACIÓN ASIGNATURAS'!U159="","",'ASIGNACIÓN ASIGNATURAS'!U159)</f>
        <v/>
      </c>
      <c r="J8" s="290" t="str">
        <f>IF('ASIGNACIÓN ASIGNATURAS'!V159="","",'ASIGNACIÓN ASIGNATURAS'!V159)</f>
        <v/>
      </c>
      <c r="K8" s="301" t="str">
        <f>IF('ASIGNACIÓN ASIGNATURAS'!S159="","",'ASIGNACIÓN ASIGNATURAS'!S159)</f>
        <v/>
      </c>
      <c r="L8" s="244" t="str">
        <f>IF('ASIGNACIÓN ASIGNATURAS'!Q159="","",'ASIGNACIÓN ASIGNATURAS'!Q159)</f>
        <v/>
      </c>
      <c r="M8" s="244" t="str">
        <f>IF('ASIGNACIÓN ASIGNATURAS'!R159="","",'ASIGNACIÓN ASIGNATURAS'!R159)</f>
        <v/>
      </c>
      <c r="N8" s="244" t="str">
        <f>IF('ASIGNACIÓN ASIGNATURAS'!W159="","",'ASIGNACIÓN ASIGNATURAS'!W159)</f>
        <v/>
      </c>
      <c r="O8" s="244" t="str">
        <f>IF('ASIGNACIÓN ASIGNATURAS'!X159="","",'ASIGNACIÓN ASIGNATURAS'!X159)</f>
        <v/>
      </c>
      <c r="P8" s="244" t="str">
        <f>IF('ASIGNACIÓN ASIGNATURAS'!Y159="","",'ASIGNACIÓN ASIGNATURAS'!Y159)</f>
        <v/>
      </c>
      <c r="Q8" s="244" t="str">
        <f>IF('ASIGNACIÓN ASIGNATURAS'!Z159="","",'ASIGNACIÓN ASIGNATURAS'!Z159)</f>
        <v/>
      </c>
      <c r="R8" s="244" t="str">
        <f>IF('ASIGNACIÓN ASIGNATURAS'!AA159="","",'ASIGNACIÓN ASIGNATURAS'!AA159)</f>
        <v/>
      </c>
      <c r="S8" s="244" t="str">
        <f>IF('ASIGNACIÓN ASIGNATURAS'!AB159="","",'ASIGNACIÓN ASIGNATURAS'!AB159)</f>
        <v/>
      </c>
    </row>
    <row r="9" spans="1:19" x14ac:dyDescent="0.3">
      <c r="A9" s="290" t="str">
        <f>IF('ASIGNACIÓN ASIGNATURAS'!J43="","",'ASIGNACIÓN ASIGNATURAS'!J43)</f>
        <v/>
      </c>
      <c r="B9" s="290" t="str">
        <f>IF('ASIGNACIÓN ASIGNATURAS'!K43="","",'ASIGNACIÓN ASIGNATURAS'!K43)</f>
        <v/>
      </c>
      <c r="C9" s="290" t="str">
        <f>IF('ASIGNACIÓN ASIGNATURAS'!L43="","",'ASIGNACIÓN ASIGNATURAS'!L43)</f>
        <v/>
      </c>
      <c r="D9" s="290" t="str">
        <f>IF('ASIGNACIÓN ASIGNATURAS'!M43="","",'ASIGNACIÓN ASIGNATURAS'!M43)</f>
        <v/>
      </c>
      <c r="E9" s="290" t="str">
        <f>IF('ASIGNACIÓN ASIGNATURAS'!N43="","",'ASIGNACIÓN ASIGNATURAS'!N43)</f>
        <v/>
      </c>
      <c r="F9" s="290" t="str">
        <f>IF('ASIGNACIÓN ASIGNATURAS'!O43="","",'ASIGNACIÓN ASIGNATURAS'!O43)</f>
        <v/>
      </c>
      <c r="G9" s="290" t="str">
        <f>IF('ASIGNACIÓN ASIGNATURAS'!P43="","",'ASIGNACIÓN ASIGNATURAS'!P43)</f>
        <v/>
      </c>
      <c r="H9" s="290" t="str">
        <f>IF('ASIGNACIÓN ASIGNATURAS'!T43="","",'ASIGNACIÓN ASIGNATURAS'!T43)</f>
        <v/>
      </c>
      <c r="I9" s="290" t="str">
        <f>IF('ASIGNACIÓN ASIGNATURAS'!U43="","",'ASIGNACIÓN ASIGNATURAS'!U43)</f>
        <v/>
      </c>
      <c r="J9" s="290" t="str">
        <f>IF('ASIGNACIÓN ASIGNATURAS'!V43="","",'ASIGNACIÓN ASIGNATURAS'!V43)</f>
        <v/>
      </c>
      <c r="K9" s="301" t="str">
        <f>IF('ASIGNACIÓN ASIGNATURAS'!S43="","",'ASIGNACIÓN ASIGNATURAS'!S43)</f>
        <v/>
      </c>
      <c r="L9" s="244" t="str">
        <f>IF('ASIGNACIÓN ASIGNATURAS'!Q43="","",'ASIGNACIÓN ASIGNATURAS'!Q43)</f>
        <v/>
      </c>
      <c r="M9" s="244" t="str">
        <f>IF('ASIGNACIÓN ASIGNATURAS'!R43="","",'ASIGNACIÓN ASIGNATURAS'!R43)</f>
        <v/>
      </c>
      <c r="N9" s="244" t="str">
        <f>IF('ASIGNACIÓN ASIGNATURAS'!W43="","",'ASIGNACIÓN ASIGNATURAS'!W43)</f>
        <v/>
      </c>
      <c r="O9" s="244" t="str">
        <f>IF('ASIGNACIÓN ASIGNATURAS'!X43="","",'ASIGNACIÓN ASIGNATURAS'!X43)</f>
        <v/>
      </c>
      <c r="P9" s="244" t="str">
        <f>IF('ASIGNACIÓN ASIGNATURAS'!Y43="","",'ASIGNACIÓN ASIGNATURAS'!Y43)</f>
        <v/>
      </c>
      <c r="Q9" s="244" t="str">
        <f>IF('ASIGNACIÓN ASIGNATURAS'!Z43="","",'ASIGNACIÓN ASIGNATURAS'!Z43)</f>
        <v/>
      </c>
      <c r="R9" s="244" t="str">
        <f>IF('ASIGNACIÓN ASIGNATURAS'!AA43="","",'ASIGNACIÓN ASIGNATURAS'!AA43)</f>
        <v/>
      </c>
      <c r="S9" s="244" t="str">
        <f>IF('ASIGNACIÓN ASIGNATURAS'!AB43="","",'ASIGNACIÓN ASIGNATURAS'!AB43)</f>
        <v/>
      </c>
    </row>
    <row r="10" spans="1:19" x14ac:dyDescent="0.3">
      <c r="A10" s="290" t="str">
        <f>IF('ASIGNACIÓN ASIGNATURAS'!J67="","",'ASIGNACIÓN ASIGNATURAS'!J67)</f>
        <v/>
      </c>
      <c r="B10" s="290" t="str">
        <f>IF('ASIGNACIÓN ASIGNATURAS'!K67="","",'ASIGNACIÓN ASIGNATURAS'!K67)</f>
        <v/>
      </c>
      <c r="C10" s="290" t="str">
        <f>IF('ASIGNACIÓN ASIGNATURAS'!L67="","",'ASIGNACIÓN ASIGNATURAS'!L67)</f>
        <v/>
      </c>
      <c r="D10" s="290" t="str">
        <f>IF('ASIGNACIÓN ASIGNATURAS'!M67="","",'ASIGNACIÓN ASIGNATURAS'!M67)</f>
        <v/>
      </c>
      <c r="E10" s="290" t="str">
        <f>IF('ASIGNACIÓN ASIGNATURAS'!N67="","",'ASIGNACIÓN ASIGNATURAS'!N67)</f>
        <v/>
      </c>
      <c r="F10" s="290" t="str">
        <f>IF('ASIGNACIÓN ASIGNATURAS'!O67="","",'ASIGNACIÓN ASIGNATURAS'!O67)</f>
        <v/>
      </c>
      <c r="G10" s="290" t="str">
        <f>IF('ASIGNACIÓN ASIGNATURAS'!P67="","",'ASIGNACIÓN ASIGNATURAS'!P67)</f>
        <v/>
      </c>
      <c r="H10" s="290" t="str">
        <f>IF('ASIGNACIÓN ASIGNATURAS'!T67="","",'ASIGNACIÓN ASIGNATURAS'!T67)</f>
        <v/>
      </c>
      <c r="I10" s="290" t="str">
        <f>IF('ASIGNACIÓN ASIGNATURAS'!U67="","",'ASIGNACIÓN ASIGNATURAS'!U67)</f>
        <v/>
      </c>
      <c r="J10" s="290" t="str">
        <f>IF('ASIGNACIÓN ASIGNATURAS'!V67="","",'ASIGNACIÓN ASIGNATURAS'!V67)</f>
        <v/>
      </c>
      <c r="K10" s="301" t="str">
        <f>IF('ASIGNACIÓN ASIGNATURAS'!S67="","",'ASIGNACIÓN ASIGNATURAS'!S67)</f>
        <v/>
      </c>
      <c r="L10" s="244" t="str">
        <f>IF('ASIGNACIÓN ASIGNATURAS'!Q67="","",'ASIGNACIÓN ASIGNATURAS'!Q67)</f>
        <v/>
      </c>
      <c r="M10" s="244" t="str">
        <f>IF('ASIGNACIÓN ASIGNATURAS'!R67="","",'ASIGNACIÓN ASIGNATURAS'!R67)</f>
        <v/>
      </c>
      <c r="N10" s="244" t="str">
        <f>IF('ASIGNACIÓN ASIGNATURAS'!W67="","",'ASIGNACIÓN ASIGNATURAS'!W67)</f>
        <v/>
      </c>
      <c r="O10" s="244" t="str">
        <f>IF('ASIGNACIÓN ASIGNATURAS'!X67="","",'ASIGNACIÓN ASIGNATURAS'!X67)</f>
        <v/>
      </c>
      <c r="P10" s="244" t="str">
        <f>IF('ASIGNACIÓN ASIGNATURAS'!Y67="","",'ASIGNACIÓN ASIGNATURAS'!Y67)</f>
        <v/>
      </c>
      <c r="Q10" s="244" t="str">
        <f>IF('ASIGNACIÓN ASIGNATURAS'!Z67="","",'ASIGNACIÓN ASIGNATURAS'!Z67)</f>
        <v/>
      </c>
      <c r="R10" s="244" t="str">
        <f>IF('ASIGNACIÓN ASIGNATURAS'!AA67="","",'ASIGNACIÓN ASIGNATURAS'!AA67)</f>
        <v/>
      </c>
      <c r="S10" s="244" t="str">
        <f>IF('ASIGNACIÓN ASIGNATURAS'!AB67="","",'ASIGNACIÓN ASIGNATURAS'!AB67)</f>
        <v/>
      </c>
    </row>
    <row r="11" spans="1:19" x14ac:dyDescent="0.3">
      <c r="A11" s="290" t="str">
        <f>IF('ASIGNACIÓN ASIGNATURAS'!J91="","",'ASIGNACIÓN ASIGNATURAS'!J91)</f>
        <v/>
      </c>
      <c r="B11" s="290" t="str">
        <f>IF('ASIGNACIÓN ASIGNATURAS'!K91="","",'ASIGNACIÓN ASIGNATURAS'!K91)</f>
        <v/>
      </c>
      <c r="C11" s="290" t="str">
        <f>IF('ASIGNACIÓN ASIGNATURAS'!L91="","",'ASIGNACIÓN ASIGNATURAS'!L91)</f>
        <v/>
      </c>
      <c r="D11" s="290" t="str">
        <f>IF('ASIGNACIÓN ASIGNATURAS'!M91="","",'ASIGNACIÓN ASIGNATURAS'!M91)</f>
        <v/>
      </c>
      <c r="E11" s="290" t="str">
        <f>IF('ASIGNACIÓN ASIGNATURAS'!N91="","",'ASIGNACIÓN ASIGNATURAS'!N91)</f>
        <v/>
      </c>
      <c r="F11" s="290" t="str">
        <f>IF('ASIGNACIÓN ASIGNATURAS'!O91="","",'ASIGNACIÓN ASIGNATURAS'!O91)</f>
        <v/>
      </c>
      <c r="G11" s="290" t="str">
        <f>IF('ASIGNACIÓN ASIGNATURAS'!P91="","",'ASIGNACIÓN ASIGNATURAS'!P91)</f>
        <v/>
      </c>
      <c r="H11" s="290" t="str">
        <f>IF('ASIGNACIÓN ASIGNATURAS'!T91="","",'ASIGNACIÓN ASIGNATURAS'!T91)</f>
        <v/>
      </c>
      <c r="I11" s="290" t="str">
        <f>IF('ASIGNACIÓN ASIGNATURAS'!U91="","",'ASIGNACIÓN ASIGNATURAS'!U91)</f>
        <v/>
      </c>
      <c r="J11" s="290" t="str">
        <f>IF('ASIGNACIÓN ASIGNATURAS'!V91="","",'ASIGNACIÓN ASIGNATURAS'!V91)</f>
        <v/>
      </c>
      <c r="K11" s="301" t="str">
        <f>IF('ASIGNACIÓN ASIGNATURAS'!S91="","",'ASIGNACIÓN ASIGNATURAS'!S91)</f>
        <v/>
      </c>
      <c r="L11" s="244" t="str">
        <f>IF('ASIGNACIÓN ASIGNATURAS'!Q91="","",'ASIGNACIÓN ASIGNATURAS'!Q91)</f>
        <v/>
      </c>
      <c r="M11" s="244" t="str">
        <f>IF('ASIGNACIÓN ASIGNATURAS'!R91="","",'ASIGNACIÓN ASIGNATURAS'!R91)</f>
        <v/>
      </c>
      <c r="N11" s="244" t="str">
        <f>IF('ASIGNACIÓN ASIGNATURAS'!W91="","",'ASIGNACIÓN ASIGNATURAS'!W91)</f>
        <v/>
      </c>
      <c r="O11" s="244" t="str">
        <f>IF('ASIGNACIÓN ASIGNATURAS'!X91="","",'ASIGNACIÓN ASIGNATURAS'!X91)</f>
        <v/>
      </c>
      <c r="P11" s="244" t="str">
        <f>IF('ASIGNACIÓN ASIGNATURAS'!Y91="","",'ASIGNACIÓN ASIGNATURAS'!Y91)</f>
        <v/>
      </c>
      <c r="Q11" s="244" t="str">
        <f>IF('ASIGNACIÓN ASIGNATURAS'!Z91="","",'ASIGNACIÓN ASIGNATURAS'!Z91)</f>
        <v/>
      </c>
      <c r="R11" s="244" t="str">
        <f>IF('ASIGNACIÓN ASIGNATURAS'!AA91="","",'ASIGNACIÓN ASIGNATURAS'!AA91)</f>
        <v/>
      </c>
      <c r="S11" s="244" t="str">
        <f>IF('ASIGNACIÓN ASIGNATURAS'!AB91="","",'ASIGNACIÓN ASIGNATURAS'!AB91)</f>
        <v/>
      </c>
    </row>
    <row r="12" spans="1:19" x14ac:dyDescent="0.3">
      <c r="A12" s="290" t="str">
        <f>IF('ASIGNACIÓN ASIGNATURAS'!J111="","",'ASIGNACIÓN ASIGNATURAS'!J111)</f>
        <v/>
      </c>
      <c r="B12" s="290" t="str">
        <f>IF('ASIGNACIÓN ASIGNATURAS'!K111="","",'ASIGNACIÓN ASIGNATURAS'!K111)</f>
        <v/>
      </c>
      <c r="C12" s="290" t="str">
        <f>IF('ASIGNACIÓN ASIGNATURAS'!L111="","",'ASIGNACIÓN ASIGNATURAS'!L111)</f>
        <v/>
      </c>
      <c r="D12" s="290" t="str">
        <f>IF('ASIGNACIÓN ASIGNATURAS'!M111="","",'ASIGNACIÓN ASIGNATURAS'!M111)</f>
        <v/>
      </c>
      <c r="E12" s="290" t="str">
        <f>IF('ASIGNACIÓN ASIGNATURAS'!N111="","",'ASIGNACIÓN ASIGNATURAS'!N111)</f>
        <v/>
      </c>
      <c r="F12" s="290" t="str">
        <f>IF('ASIGNACIÓN ASIGNATURAS'!O111="","",'ASIGNACIÓN ASIGNATURAS'!O111)</f>
        <v/>
      </c>
      <c r="G12" s="290" t="str">
        <f>IF('ASIGNACIÓN ASIGNATURAS'!P111="","",'ASIGNACIÓN ASIGNATURAS'!P111)</f>
        <v/>
      </c>
      <c r="H12" s="290" t="str">
        <f>IF('ASIGNACIÓN ASIGNATURAS'!T111="","",'ASIGNACIÓN ASIGNATURAS'!T111)</f>
        <v/>
      </c>
      <c r="I12" s="290" t="str">
        <f>IF('ASIGNACIÓN ASIGNATURAS'!U111="","",'ASIGNACIÓN ASIGNATURAS'!U111)</f>
        <v/>
      </c>
      <c r="J12" s="290" t="str">
        <f>IF('ASIGNACIÓN ASIGNATURAS'!V111="","",'ASIGNACIÓN ASIGNATURAS'!V111)</f>
        <v/>
      </c>
      <c r="K12" s="301" t="str">
        <f>IF('ASIGNACIÓN ASIGNATURAS'!S111="","",'ASIGNACIÓN ASIGNATURAS'!S111)</f>
        <v/>
      </c>
      <c r="L12" s="244" t="str">
        <f>IF('ASIGNACIÓN ASIGNATURAS'!Q111="","",'ASIGNACIÓN ASIGNATURAS'!Q111)</f>
        <v/>
      </c>
      <c r="M12" s="244" t="str">
        <f>IF('ASIGNACIÓN ASIGNATURAS'!R111="","",'ASIGNACIÓN ASIGNATURAS'!R111)</f>
        <v/>
      </c>
      <c r="N12" s="244" t="str">
        <f>IF('ASIGNACIÓN ASIGNATURAS'!W111="","",'ASIGNACIÓN ASIGNATURAS'!W111)</f>
        <v/>
      </c>
      <c r="O12" s="244" t="str">
        <f>IF('ASIGNACIÓN ASIGNATURAS'!X111="","",'ASIGNACIÓN ASIGNATURAS'!X111)</f>
        <v/>
      </c>
      <c r="P12" s="244" t="str">
        <f>IF('ASIGNACIÓN ASIGNATURAS'!Y111="","",'ASIGNACIÓN ASIGNATURAS'!Y111)</f>
        <v/>
      </c>
      <c r="Q12" s="244" t="str">
        <f>IF('ASIGNACIÓN ASIGNATURAS'!Z111="","",'ASIGNACIÓN ASIGNATURAS'!Z111)</f>
        <v/>
      </c>
      <c r="R12" s="244" t="str">
        <f>IF('ASIGNACIÓN ASIGNATURAS'!AA111="","",'ASIGNACIÓN ASIGNATURAS'!AA111)</f>
        <v/>
      </c>
      <c r="S12" s="244" t="str">
        <f>IF('ASIGNACIÓN ASIGNATURAS'!AB111="","",'ASIGNACIÓN ASIGNATURAS'!AB111)</f>
        <v/>
      </c>
    </row>
    <row r="13" spans="1:19" x14ac:dyDescent="0.3">
      <c r="A13" s="290" t="str">
        <f>IF('ASIGNACIÓN ASIGNATURAS'!J135="","",'ASIGNACIÓN ASIGNATURAS'!J135)</f>
        <v/>
      </c>
      <c r="B13" s="290" t="str">
        <f>IF('ASIGNACIÓN ASIGNATURAS'!K135="","",'ASIGNACIÓN ASIGNATURAS'!K135)</f>
        <v/>
      </c>
      <c r="C13" s="290" t="str">
        <f>IF('ASIGNACIÓN ASIGNATURAS'!L135="","",'ASIGNACIÓN ASIGNATURAS'!L135)</f>
        <v/>
      </c>
      <c r="D13" s="290" t="str">
        <f>IF('ASIGNACIÓN ASIGNATURAS'!M135="","",'ASIGNACIÓN ASIGNATURAS'!M135)</f>
        <v/>
      </c>
      <c r="E13" s="290" t="str">
        <f>IF('ASIGNACIÓN ASIGNATURAS'!N135="","",'ASIGNACIÓN ASIGNATURAS'!N135)</f>
        <v/>
      </c>
      <c r="F13" s="290" t="str">
        <f>IF('ASIGNACIÓN ASIGNATURAS'!O135="","",'ASIGNACIÓN ASIGNATURAS'!O135)</f>
        <v/>
      </c>
      <c r="G13" s="290" t="str">
        <f>IF('ASIGNACIÓN ASIGNATURAS'!P135="","",'ASIGNACIÓN ASIGNATURAS'!P135)</f>
        <v/>
      </c>
      <c r="H13" s="290" t="str">
        <f>IF('ASIGNACIÓN ASIGNATURAS'!T135="","",'ASIGNACIÓN ASIGNATURAS'!T135)</f>
        <v/>
      </c>
      <c r="I13" s="290" t="str">
        <f>IF('ASIGNACIÓN ASIGNATURAS'!U135="","",'ASIGNACIÓN ASIGNATURAS'!U135)</f>
        <v/>
      </c>
      <c r="J13" s="290" t="str">
        <f>IF('ASIGNACIÓN ASIGNATURAS'!V135="","",'ASIGNACIÓN ASIGNATURAS'!V135)</f>
        <v/>
      </c>
      <c r="K13" s="301" t="str">
        <f>IF('ASIGNACIÓN ASIGNATURAS'!S135="","",'ASIGNACIÓN ASIGNATURAS'!S135)</f>
        <v/>
      </c>
      <c r="L13" s="244" t="str">
        <f>IF('ASIGNACIÓN ASIGNATURAS'!Q135="","",'ASIGNACIÓN ASIGNATURAS'!Q135)</f>
        <v/>
      </c>
      <c r="M13" s="244" t="str">
        <f>IF('ASIGNACIÓN ASIGNATURAS'!R135="","",'ASIGNACIÓN ASIGNATURAS'!R135)</f>
        <v/>
      </c>
      <c r="N13" s="244" t="str">
        <f>IF('ASIGNACIÓN ASIGNATURAS'!W135="","",'ASIGNACIÓN ASIGNATURAS'!W135)</f>
        <v/>
      </c>
      <c r="O13" s="244" t="str">
        <f>IF('ASIGNACIÓN ASIGNATURAS'!X135="","",'ASIGNACIÓN ASIGNATURAS'!X135)</f>
        <v/>
      </c>
      <c r="P13" s="244" t="str">
        <f>IF('ASIGNACIÓN ASIGNATURAS'!Y135="","",'ASIGNACIÓN ASIGNATURAS'!Y135)</f>
        <v/>
      </c>
      <c r="Q13" s="244" t="str">
        <f>IF('ASIGNACIÓN ASIGNATURAS'!Z135="","",'ASIGNACIÓN ASIGNATURAS'!Z135)</f>
        <v/>
      </c>
      <c r="R13" s="244" t="str">
        <f>IF('ASIGNACIÓN ASIGNATURAS'!AA135="","",'ASIGNACIÓN ASIGNATURAS'!AA135)</f>
        <v/>
      </c>
      <c r="S13" s="244" t="str">
        <f>IF('ASIGNACIÓN ASIGNATURAS'!AB135="","",'ASIGNACIÓN ASIGNATURAS'!AB135)</f>
        <v/>
      </c>
    </row>
    <row r="14" spans="1:19" x14ac:dyDescent="0.3">
      <c r="A14" s="290" t="str">
        <f>IF('ASIGNACIÓN ASIGNATURAS'!J160="","",'ASIGNACIÓN ASIGNATURAS'!J160)</f>
        <v/>
      </c>
      <c r="B14" s="290" t="str">
        <f>IF('ASIGNACIÓN ASIGNATURAS'!K160="","",'ASIGNACIÓN ASIGNATURAS'!K160)</f>
        <v/>
      </c>
      <c r="C14" s="290" t="str">
        <f>IF('ASIGNACIÓN ASIGNATURAS'!L160="","",'ASIGNACIÓN ASIGNATURAS'!L160)</f>
        <v/>
      </c>
      <c r="D14" s="290" t="str">
        <f>IF('ASIGNACIÓN ASIGNATURAS'!M160="","",'ASIGNACIÓN ASIGNATURAS'!M160)</f>
        <v/>
      </c>
      <c r="E14" s="290" t="str">
        <f>IF('ASIGNACIÓN ASIGNATURAS'!N160="","",'ASIGNACIÓN ASIGNATURAS'!N160)</f>
        <v/>
      </c>
      <c r="F14" s="290" t="str">
        <f>IF('ASIGNACIÓN ASIGNATURAS'!O160="","",'ASIGNACIÓN ASIGNATURAS'!O160)</f>
        <v/>
      </c>
      <c r="G14" s="290" t="str">
        <f>IF('ASIGNACIÓN ASIGNATURAS'!P160="","",'ASIGNACIÓN ASIGNATURAS'!P160)</f>
        <v/>
      </c>
      <c r="H14" s="290" t="str">
        <f>IF('ASIGNACIÓN ASIGNATURAS'!T160="","",'ASIGNACIÓN ASIGNATURAS'!T160)</f>
        <v/>
      </c>
      <c r="I14" s="290" t="str">
        <f>IF('ASIGNACIÓN ASIGNATURAS'!U160="","",'ASIGNACIÓN ASIGNATURAS'!U160)</f>
        <v/>
      </c>
      <c r="J14" s="290" t="str">
        <f>IF('ASIGNACIÓN ASIGNATURAS'!V160="","",'ASIGNACIÓN ASIGNATURAS'!V160)</f>
        <v/>
      </c>
      <c r="K14" s="301" t="str">
        <f>IF('ASIGNACIÓN ASIGNATURAS'!S160="","",'ASIGNACIÓN ASIGNATURAS'!S160)</f>
        <v/>
      </c>
      <c r="L14" s="244" t="str">
        <f>IF('ASIGNACIÓN ASIGNATURAS'!Q160="","",'ASIGNACIÓN ASIGNATURAS'!Q160)</f>
        <v/>
      </c>
      <c r="M14" s="244" t="str">
        <f>IF('ASIGNACIÓN ASIGNATURAS'!R160="","",'ASIGNACIÓN ASIGNATURAS'!R160)</f>
        <v/>
      </c>
      <c r="N14" s="244" t="str">
        <f>IF('ASIGNACIÓN ASIGNATURAS'!W160="","",'ASIGNACIÓN ASIGNATURAS'!W160)</f>
        <v/>
      </c>
      <c r="O14" s="244" t="str">
        <f>IF('ASIGNACIÓN ASIGNATURAS'!X160="","",'ASIGNACIÓN ASIGNATURAS'!X160)</f>
        <v/>
      </c>
      <c r="P14" s="244" t="str">
        <f>IF('ASIGNACIÓN ASIGNATURAS'!Y160="","",'ASIGNACIÓN ASIGNATURAS'!Y160)</f>
        <v/>
      </c>
      <c r="Q14" s="244" t="str">
        <f>IF('ASIGNACIÓN ASIGNATURAS'!Z160="","",'ASIGNACIÓN ASIGNATURAS'!Z160)</f>
        <v/>
      </c>
      <c r="R14" s="244" t="str">
        <f>IF('ASIGNACIÓN ASIGNATURAS'!AA160="","",'ASIGNACIÓN ASIGNATURAS'!AA160)</f>
        <v/>
      </c>
      <c r="S14" s="244" t="str">
        <f>IF('ASIGNACIÓN ASIGNATURAS'!AB160="","",'ASIGNACIÓN ASIGNATURAS'!AB160)</f>
        <v/>
      </c>
    </row>
    <row r="15" spans="1:19" x14ac:dyDescent="0.3">
      <c r="A15" s="290" t="str">
        <f>IF('ASIGNACIÓN ASIGNATURAS'!J44="","",'ASIGNACIÓN ASIGNATURAS'!J44)</f>
        <v/>
      </c>
      <c r="B15" s="290" t="str">
        <f>IF('ASIGNACIÓN ASIGNATURAS'!K44="","",'ASIGNACIÓN ASIGNATURAS'!K44)</f>
        <v/>
      </c>
      <c r="C15" s="290" t="str">
        <f>IF('ASIGNACIÓN ASIGNATURAS'!L44="","",'ASIGNACIÓN ASIGNATURAS'!L44)</f>
        <v/>
      </c>
      <c r="D15" s="290" t="str">
        <f>IF('ASIGNACIÓN ASIGNATURAS'!M44="","",'ASIGNACIÓN ASIGNATURAS'!M44)</f>
        <v/>
      </c>
      <c r="E15" s="290" t="str">
        <f>IF('ASIGNACIÓN ASIGNATURAS'!N44="","",'ASIGNACIÓN ASIGNATURAS'!N44)</f>
        <v/>
      </c>
      <c r="F15" s="290" t="str">
        <f>IF('ASIGNACIÓN ASIGNATURAS'!O44="","",'ASIGNACIÓN ASIGNATURAS'!O44)</f>
        <v/>
      </c>
      <c r="G15" s="290" t="str">
        <f>IF('ASIGNACIÓN ASIGNATURAS'!P44="","",'ASIGNACIÓN ASIGNATURAS'!P44)</f>
        <v/>
      </c>
      <c r="H15" s="290" t="str">
        <f>IF('ASIGNACIÓN ASIGNATURAS'!T44="","",'ASIGNACIÓN ASIGNATURAS'!T44)</f>
        <v/>
      </c>
      <c r="I15" s="290" t="str">
        <f>IF('ASIGNACIÓN ASIGNATURAS'!U44="","",'ASIGNACIÓN ASIGNATURAS'!U44)</f>
        <v/>
      </c>
      <c r="J15" s="290" t="str">
        <f>IF('ASIGNACIÓN ASIGNATURAS'!V44="","",'ASIGNACIÓN ASIGNATURAS'!V44)</f>
        <v/>
      </c>
      <c r="K15" s="301" t="str">
        <f>IF('ASIGNACIÓN ASIGNATURAS'!S44="","",'ASIGNACIÓN ASIGNATURAS'!S44)</f>
        <v/>
      </c>
      <c r="L15" s="244" t="str">
        <f>IF('ASIGNACIÓN ASIGNATURAS'!Q44="","",'ASIGNACIÓN ASIGNATURAS'!Q44)</f>
        <v/>
      </c>
      <c r="M15" s="244" t="str">
        <f>IF('ASIGNACIÓN ASIGNATURAS'!R44="","",'ASIGNACIÓN ASIGNATURAS'!R44)</f>
        <v/>
      </c>
      <c r="N15" s="244" t="str">
        <f>IF('ASIGNACIÓN ASIGNATURAS'!W44="","",'ASIGNACIÓN ASIGNATURAS'!W44)</f>
        <v/>
      </c>
      <c r="O15" s="244" t="str">
        <f>IF('ASIGNACIÓN ASIGNATURAS'!X44="","",'ASIGNACIÓN ASIGNATURAS'!X44)</f>
        <v/>
      </c>
      <c r="P15" s="244" t="str">
        <f>IF('ASIGNACIÓN ASIGNATURAS'!Y44="","",'ASIGNACIÓN ASIGNATURAS'!Y44)</f>
        <v/>
      </c>
      <c r="Q15" s="244" t="str">
        <f>IF('ASIGNACIÓN ASIGNATURAS'!Z44="","",'ASIGNACIÓN ASIGNATURAS'!Z44)</f>
        <v/>
      </c>
      <c r="R15" s="244" t="str">
        <f>IF('ASIGNACIÓN ASIGNATURAS'!AA44="","",'ASIGNACIÓN ASIGNATURAS'!AA44)</f>
        <v/>
      </c>
      <c r="S15" s="244" t="str">
        <f>IF('ASIGNACIÓN ASIGNATURAS'!AB44="","",'ASIGNACIÓN ASIGNATURAS'!AB44)</f>
        <v/>
      </c>
    </row>
    <row r="16" spans="1:19" x14ac:dyDescent="0.3">
      <c r="A16" s="290" t="str">
        <f>IF('ASIGNACIÓN ASIGNATURAS'!J68="","",'ASIGNACIÓN ASIGNATURAS'!J68)</f>
        <v/>
      </c>
      <c r="B16" s="290" t="str">
        <f>IF('ASIGNACIÓN ASIGNATURAS'!K68="","",'ASIGNACIÓN ASIGNATURAS'!K68)</f>
        <v/>
      </c>
      <c r="C16" s="290" t="str">
        <f>IF('ASIGNACIÓN ASIGNATURAS'!L68="","",'ASIGNACIÓN ASIGNATURAS'!L68)</f>
        <v/>
      </c>
      <c r="D16" s="290" t="str">
        <f>IF('ASIGNACIÓN ASIGNATURAS'!M68="","",'ASIGNACIÓN ASIGNATURAS'!M68)</f>
        <v/>
      </c>
      <c r="E16" s="290" t="str">
        <f>IF('ASIGNACIÓN ASIGNATURAS'!N68="","",'ASIGNACIÓN ASIGNATURAS'!N68)</f>
        <v/>
      </c>
      <c r="F16" s="290" t="str">
        <f>IF('ASIGNACIÓN ASIGNATURAS'!O68="","",'ASIGNACIÓN ASIGNATURAS'!O68)</f>
        <v/>
      </c>
      <c r="G16" s="290" t="str">
        <f>IF('ASIGNACIÓN ASIGNATURAS'!P68="","",'ASIGNACIÓN ASIGNATURAS'!P68)</f>
        <v/>
      </c>
      <c r="H16" s="290" t="str">
        <f>IF('ASIGNACIÓN ASIGNATURAS'!T68="","",'ASIGNACIÓN ASIGNATURAS'!T68)</f>
        <v/>
      </c>
      <c r="I16" s="290" t="str">
        <f>IF('ASIGNACIÓN ASIGNATURAS'!U68="","",'ASIGNACIÓN ASIGNATURAS'!U68)</f>
        <v/>
      </c>
      <c r="J16" s="290" t="str">
        <f>IF('ASIGNACIÓN ASIGNATURAS'!V68="","",'ASIGNACIÓN ASIGNATURAS'!V68)</f>
        <v/>
      </c>
      <c r="K16" s="301" t="str">
        <f>IF('ASIGNACIÓN ASIGNATURAS'!S68="","",'ASIGNACIÓN ASIGNATURAS'!S68)</f>
        <v/>
      </c>
      <c r="L16" s="244" t="str">
        <f>IF('ASIGNACIÓN ASIGNATURAS'!Q68="","",'ASIGNACIÓN ASIGNATURAS'!Q68)</f>
        <v/>
      </c>
      <c r="M16" s="244" t="str">
        <f>IF('ASIGNACIÓN ASIGNATURAS'!R68="","",'ASIGNACIÓN ASIGNATURAS'!R68)</f>
        <v/>
      </c>
      <c r="N16" s="244" t="str">
        <f>IF('ASIGNACIÓN ASIGNATURAS'!W68="","",'ASIGNACIÓN ASIGNATURAS'!W68)</f>
        <v/>
      </c>
      <c r="O16" s="244" t="str">
        <f>IF('ASIGNACIÓN ASIGNATURAS'!X68="","",'ASIGNACIÓN ASIGNATURAS'!X68)</f>
        <v/>
      </c>
      <c r="P16" s="244" t="str">
        <f>IF('ASIGNACIÓN ASIGNATURAS'!Y68="","",'ASIGNACIÓN ASIGNATURAS'!Y68)</f>
        <v/>
      </c>
      <c r="Q16" s="244" t="str">
        <f>IF('ASIGNACIÓN ASIGNATURAS'!Z68="","",'ASIGNACIÓN ASIGNATURAS'!Z68)</f>
        <v/>
      </c>
      <c r="R16" s="244" t="str">
        <f>IF('ASIGNACIÓN ASIGNATURAS'!AA68="","",'ASIGNACIÓN ASIGNATURAS'!AA68)</f>
        <v/>
      </c>
      <c r="S16" s="244" t="str">
        <f>IF('ASIGNACIÓN ASIGNATURAS'!AB68="","",'ASIGNACIÓN ASIGNATURAS'!AB68)</f>
        <v/>
      </c>
    </row>
    <row r="17" spans="1:19" x14ac:dyDescent="0.3">
      <c r="A17" s="290" t="str">
        <f>IF('ASIGNACIÓN ASIGNATURAS'!J88="","",'ASIGNACIÓN ASIGNATURAS'!J88)</f>
        <v/>
      </c>
      <c r="B17" s="290" t="str">
        <f>IF('ASIGNACIÓN ASIGNATURAS'!K88="","",'ASIGNACIÓN ASIGNATURAS'!K88)</f>
        <v/>
      </c>
      <c r="C17" s="290" t="str">
        <f>IF('ASIGNACIÓN ASIGNATURAS'!L88="","",'ASIGNACIÓN ASIGNATURAS'!L88)</f>
        <v/>
      </c>
      <c r="D17" s="290" t="str">
        <f>IF('ASIGNACIÓN ASIGNATURAS'!M88="","",'ASIGNACIÓN ASIGNATURAS'!M88)</f>
        <v/>
      </c>
      <c r="E17" s="290" t="str">
        <f>IF('ASIGNACIÓN ASIGNATURAS'!N88="","",'ASIGNACIÓN ASIGNATURAS'!N88)</f>
        <v/>
      </c>
      <c r="F17" s="290" t="str">
        <f>IF('ASIGNACIÓN ASIGNATURAS'!O88="","",'ASIGNACIÓN ASIGNATURAS'!O88)</f>
        <v/>
      </c>
      <c r="G17" s="290" t="str">
        <f>IF('ASIGNACIÓN ASIGNATURAS'!P88="","",'ASIGNACIÓN ASIGNATURAS'!P88)</f>
        <v/>
      </c>
      <c r="H17" s="290" t="str">
        <f>IF('ASIGNACIÓN ASIGNATURAS'!T88="","",'ASIGNACIÓN ASIGNATURAS'!T88)</f>
        <v/>
      </c>
      <c r="I17" s="290" t="str">
        <f>IF('ASIGNACIÓN ASIGNATURAS'!U88="","",'ASIGNACIÓN ASIGNATURAS'!U88)</f>
        <v/>
      </c>
      <c r="J17" s="290" t="str">
        <f>IF('ASIGNACIÓN ASIGNATURAS'!V88="","",'ASIGNACIÓN ASIGNATURAS'!V88)</f>
        <v/>
      </c>
      <c r="K17" s="301" t="str">
        <f>IF('ASIGNACIÓN ASIGNATURAS'!S88="","",'ASIGNACIÓN ASIGNATURAS'!S88)</f>
        <v/>
      </c>
      <c r="L17" s="244" t="str">
        <f>IF('ASIGNACIÓN ASIGNATURAS'!Q88="","",'ASIGNACIÓN ASIGNATURAS'!Q88)</f>
        <v/>
      </c>
      <c r="M17" s="244" t="str">
        <f>IF('ASIGNACIÓN ASIGNATURAS'!R88="","",'ASIGNACIÓN ASIGNATURAS'!R88)</f>
        <v/>
      </c>
      <c r="N17" s="244" t="str">
        <f>IF('ASIGNACIÓN ASIGNATURAS'!W88="","",'ASIGNACIÓN ASIGNATURAS'!W88)</f>
        <v/>
      </c>
      <c r="O17" s="244" t="str">
        <f>IF('ASIGNACIÓN ASIGNATURAS'!X88="","",'ASIGNACIÓN ASIGNATURAS'!X88)</f>
        <v/>
      </c>
      <c r="P17" s="244" t="str">
        <f>IF('ASIGNACIÓN ASIGNATURAS'!Y88="","",'ASIGNACIÓN ASIGNATURAS'!Y88)</f>
        <v/>
      </c>
      <c r="Q17" s="244" t="str">
        <f>IF('ASIGNACIÓN ASIGNATURAS'!Z88="","",'ASIGNACIÓN ASIGNATURAS'!Z88)</f>
        <v/>
      </c>
      <c r="R17" s="244" t="str">
        <f>IF('ASIGNACIÓN ASIGNATURAS'!AA88="","",'ASIGNACIÓN ASIGNATURAS'!AA88)</f>
        <v/>
      </c>
      <c r="S17" s="244" t="str">
        <f>IF('ASIGNACIÓN ASIGNATURAS'!AB88="","",'ASIGNACIÓN ASIGNATURAS'!AB88)</f>
        <v/>
      </c>
    </row>
    <row r="18" spans="1:19" x14ac:dyDescent="0.3">
      <c r="A18" s="290" t="str">
        <f>IF('ASIGNACIÓN ASIGNATURAS'!J112="","",'ASIGNACIÓN ASIGNATURAS'!J112)</f>
        <v/>
      </c>
      <c r="B18" s="290" t="str">
        <f>IF('ASIGNACIÓN ASIGNATURAS'!K112="","",'ASIGNACIÓN ASIGNATURAS'!K112)</f>
        <v/>
      </c>
      <c r="C18" s="290" t="str">
        <f>IF('ASIGNACIÓN ASIGNATURAS'!L112="","",'ASIGNACIÓN ASIGNATURAS'!L112)</f>
        <v/>
      </c>
      <c r="D18" s="290" t="str">
        <f>IF('ASIGNACIÓN ASIGNATURAS'!M112="","",'ASIGNACIÓN ASIGNATURAS'!M112)</f>
        <v/>
      </c>
      <c r="E18" s="290" t="str">
        <f>IF('ASIGNACIÓN ASIGNATURAS'!N112="","",'ASIGNACIÓN ASIGNATURAS'!N112)</f>
        <v/>
      </c>
      <c r="F18" s="290" t="str">
        <f>IF('ASIGNACIÓN ASIGNATURAS'!O112="","",'ASIGNACIÓN ASIGNATURAS'!O112)</f>
        <v/>
      </c>
      <c r="G18" s="290" t="str">
        <f>IF('ASIGNACIÓN ASIGNATURAS'!P112="","",'ASIGNACIÓN ASIGNATURAS'!P112)</f>
        <v/>
      </c>
      <c r="H18" s="290" t="str">
        <f>IF('ASIGNACIÓN ASIGNATURAS'!T112="","",'ASIGNACIÓN ASIGNATURAS'!T112)</f>
        <v/>
      </c>
      <c r="I18" s="290" t="str">
        <f>IF('ASIGNACIÓN ASIGNATURAS'!U112="","",'ASIGNACIÓN ASIGNATURAS'!U112)</f>
        <v/>
      </c>
      <c r="J18" s="290" t="str">
        <f>IF('ASIGNACIÓN ASIGNATURAS'!V112="","",'ASIGNACIÓN ASIGNATURAS'!V112)</f>
        <v/>
      </c>
      <c r="K18" s="301" t="str">
        <f>IF('ASIGNACIÓN ASIGNATURAS'!S112="","",'ASIGNACIÓN ASIGNATURAS'!S112)</f>
        <v/>
      </c>
      <c r="L18" s="244" t="str">
        <f>IF('ASIGNACIÓN ASIGNATURAS'!Q112="","",'ASIGNACIÓN ASIGNATURAS'!Q112)</f>
        <v/>
      </c>
      <c r="M18" s="244" t="str">
        <f>IF('ASIGNACIÓN ASIGNATURAS'!R112="","",'ASIGNACIÓN ASIGNATURAS'!R112)</f>
        <v/>
      </c>
      <c r="N18" s="244" t="str">
        <f>IF('ASIGNACIÓN ASIGNATURAS'!W112="","",'ASIGNACIÓN ASIGNATURAS'!W112)</f>
        <v/>
      </c>
      <c r="O18" s="244" t="str">
        <f>IF('ASIGNACIÓN ASIGNATURAS'!X112="","",'ASIGNACIÓN ASIGNATURAS'!X112)</f>
        <v/>
      </c>
      <c r="P18" s="244" t="str">
        <f>IF('ASIGNACIÓN ASIGNATURAS'!Y112="","",'ASIGNACIÓN ASIGNATURAS'!Y112)</f>
        <v/>
      </c>
      <c r="Q18" s="244" t="str">
        <f>IF('ASIGNACIÓN ASIGNATURAS'!Z112="","",'ASIGNACIÓN ASIGNATURAS'!Z112)</f>
        <v/>
      </c>
      <c r="R18" s="244" t="str">
        <f>IF('ASIGNACIÓN ASIGNATURAS'!AA112="","",'ASIGNACIÓN ASIGNATURAS'!AA112)</f>
        <v/>
      </c>
      <c r="S18" s="244" t="str">
        <f>IF('ASIGNACIÓN ASIGNATURAS'!AB112="","",'ASIGNACIÓN ASIGNATURAS'!AB112)</f>
        <v/>
      </c>
    </row>
    <row r="19" spans="1:19" x14ac:dyDescent="0.3">
      <c r="A19" s="290" t="str">
        <f>IF('ASIGNACIÓN ASIGNATURAS'!J136="","",'ASIGNACIÓN ASIGNATURAS'!J136)</f>
        <v/>
      </c>
      <c r="B19" s="290" t="str">
        <f>IF('ASIGNACIÓN ASIGNATURAS'!K136="","",'ASIGNACIÓN ASIGNATURAS'!K136)</f>
        <v/>
      </c>
      <c r="C19" s="290" t="str">
        <f>IF('ASIGNACIÓN ASIGNATURAS'!L136="","",'ASIGNACIÓN ASIGNATURAS'!L136)</f>
        <v/>
      </c>
      <c r="D19" s="290" t="str">
        <f>IF('ASIGNACIÓN ASIGNATURAS'!M136="","",'ASIGNACIÓN ASIGNATURAS'!M136)</f>
        <v/>
      </c>
      <c r="E19" s="290" t="str">
        <f>IF('ASIGNACIÓN ASIGNATURAS'!N136="","",'ASIGNACIÓN ASIGNATURAS'!N136)</f>
        <v/>
      </c>
      <c r="F19" s="290" t="str">
        <f>IF('ASIGNACIÓN ASIGNATURAS'!O136="","",'ASIGNACIÓN ASIGNATURAS'!O136)</f>
        <v/>
      </c>
      <c r="G19" s="290" t="str">
        <f>IF('ASIGNACIÓN ASIGNATURAS'!P136="","",'ASIGNACIÓN ASIGNATURAS'!P136)</f>
        <v/>
      </c>
      <c r="H19" s="290" t="str">
        <f>IF('ASIGNACIÓN ASIGNATURAS'!T136="","",'ASIGNACIÓN ASIGNATURAS'!T136)</f>
        <v/>
      </c>
      <c r="I19" s="290" t="str">
        <f>IF('ASIGNACIÓN ASIGNATURAS'!U136="","",'ASIGNACIÓN ASIGNATURAS'!U136)</f>
        <v/>
      </c>
      <c r="J19" s="290" t="str">
        <f>IF('ASIGNACIÓN ASIGNATURAS'!V136="","",'ASIGNACIÓN ASIGNATURAS'!V136)</f>
        <v/>
      </c>
      <c r="K19" s="301" t="str">
        <f>IF('ASIGNACIÓN ASIGNATURAS'!S136="","",'ASIGNACIÓN ASIGNATURAS'!S136)</f>
        <v/>
      </c>
      <c r="L19" s="244" t="str">
        <f>IF('ASIGNACIÓN ASIGNATURAS'!Q136="","",'ASIGNACIÓN ASIGNATURAS'!Q136)</f>
        <v/>
      </c>
      <c r="M19" s="244" t="str">
        <f>IF('ASIGNACIÓN ASIGNATURAS'!R136="","",'ASIGNACIÓN ASIGNATURAS'!R136)</f>
        <v/>
      </c>
      <c r="N19" s="244" t="str">
        <f>IF('ASIGNACIÓN ASIGNATURAS'!W136="","",'ASIGNACIÓN ASIGNATURAS'!W136)</f>
        <v/>
      </c>
      <c r="O19" s="244" t="str">
        <f>IF('ASIGNACIÓN ASIGNATURAS'!X136="","",'ASIGNACIÓN ASIGNATURAS'!X136)</f>
        <v/>
      </c>
      <c r="P19" s="244" t="str">
        <f>IF('ASIGNACIÓN ASIGNATURAS'!Y136="","",'ASIGNACIÓN ASIGNATURAS'!Y136)</f>
        <v/>
      </c>
      <c r="Q19" s="244" t="str">
        <f>IF('ASIGNACIÓN ASIGNATURAS'!Z136="","",'ASIGNACIÓN ASIGNATURAS'!Z136)</f>
        <v/>
      </c>
      <c r="R19" s="244" t="str">
        <f>IF('ASIGNACIÓN ASIGNATURAS'!AA136="","",'ASIGNACIÓN ASIGNATURAS'!AA136)</f>
        <v/>
      </c>
      <c r="S19" s="244" t="str">
        <f>IF('ASIGNACIÓN ASIGNATURAS'!AB136="","",'ASIGNACIÓN ASIGNATURAS'!AB136)</f>
        <v/>
      </c>
    </row>
    <row r="20" spans="1:19" x14ac:dyDescent="0.3">
      <c r="A20" s="290" t="str">
        <f>IF('ASIGNACIÓN ASIGNATURAS'!J158="","",'ASIGNACIÓN ASIGNATURAS'!J158)</f>
        <v/>
      </c>
      <c r="B20" s="290" t="str">
        <f>IF('ASIGNACIÓN ASIGNATURAS'!K158="","",'ASIGNACIÓN ASIGNATURAS'!K158)</f>
        <v/>
      </c>
      <c r="C20" s="290" t="str">
        <f>IF('ASIGNACIÓN ASIGNATURAS'!L158="","",'ASIGNACIÓN ASIGNATURAS'!L158)</f>
        <v/>
      </c>
      <c r="D20" s="290" t="str">
        <f>IF('ASIGNACIÓN ASIGNATURAS'!M158="","",'ASIGNACIÓN ASIGNATURAS'!M158)</f>
        <v/>
      </c>
      <c r="E20" s="290" t="str">
        <f>IF('ASIGNACIÓN ASIGNATURAS'!N158="","",'ASIGNACIÓN ASIGNATURAS'!N158)</f>
        <v/>
      </c>
      <c r="F20" s="290" t="str">
        <f>IF('ASIGNACIÓN ASIGNATURAS'!O158="","",'ASIGNACIÓN ASIGNATURAS'!O158)</f>
        <v/>
      </c>
      <c r="G20" s="290" t="str">
        <f>IF('ASIGNACIÓN ASIGNATURAS'!P158="","",'ASIGNACIÓN ASIGNATURAS'!P158)</f>
        <v/>
      </c>
      <c r="H20" s="290" t="str">
        <f>IF('ASIGNACIÓN ASIGNATURAS'!T158="","",'ASIGNACIÓN ASIGNATURAS'!T158)</f>
        <v/>
      </c>
      <c r="I20" s="290" t="str">
        <f>IF('ASIGNACIÓN ASIGNATURAS'!U158="","",'ASIGNACIÓN ASIGNATURAS'!U158)</f>
        <v/>
      </c>
      <c r="J20" s="290" t="str">
        <f>IF('ASIGNACIÓN ASIGNATURAS'!V158="","",'ASIGNACIÓN ASIGNATURAS'!V158)</f>
        <v/>
      </c>
      <c r="K20" s="301" t="str">
        <f>IF('ASIGNACIÓN ASIGNATURAS'!S158="","",'ASIGNACIÓN ASIGNATURAS'!S158)</f>
        <v/>
      </c>
      <c r="L20" s="244" t="str">
        <f>IF('ASIGNACIÓN ASIGNATURAS'!Q158="","",'ASIGNACIÓN ASIGNATURAS'!Q158)</f>
        <v/>
      </c>
      <c r="M20" s="244" t="str">
        <f>IF('ASIGNACIÓN ASIGNATURAS'!R158="","",'ASIGNACIÓN ASIGNATURAS'!R158)</f>
        <v/>
      </c>
      <c r="N20" s="244" t="str">
        <f>IF('ASIGNACIÓN ASIGNATURAS'!W158="","",'ASIGNACIÓN ASIGNATURAS'!W158)</f>
        <v/>
      </c>
      <c r="O20" s="244" t="str">
        <f>IF('ASIGNACIÓN ASIGNATURAS'!X158="","",'ASIGNACIÓN ASIGNATURAS'!X158)</f>
        <v/>
      </c>
      <c r="P20" s="244" t="str">
        <f>IF('ASIGNACIÓN ASIGNATURAS'!Y158="","",'ASIGNACIÓN ASIGNATURAS'!Y158)</f>
        <v/>
      </c>
      <c r="Q20" s="244" t="str">
        <f>IF('ASIGNACIÓN ASIGNATURAS'!Z158="","",'ASIGNACIÓN ASIGNATURAS'!Z158)</f>
        <v/>
      </c>
      <c r="R20" s="244" t="str">
        <f>IF('ASIGNACIÓN ASIGNATURAS'!AA158="","",'ASIGNACIÓN ASIGNATURAS'!AA158)</f>
        <v/>
      </c>
      <c r="S20" s="244" t="str">
        <f>IF('ASIGNACIÓN ASIGNATURAS'!AB158="","",'ASIGNACIÓN ASIGNATURAS'!AB158)</f>
        <v/>
      </c>
    </row>
    <row r="21" spans="1:19" x14ac:dyDescent="0.3">
      <c r="A21" s="290" t="str">
        <f>IF('ASIGNACIÓN ASIGNATURAS'!J42="","",'ASIGNACIÓN ASIGNATURAS'!J42)</f>
        <v/>
      </c>
      <c r="B21" s="290" t="str">
        <f>IF('ASIGNACIÓN ASIGNATURAS'!K42="","",'ASIGNACIÓN ASIGNATURAS'!K42)</f>
        <v/>
      </c>
      <c r="C21" s="290" t="str">
        <f>IF('ASIGNACIÓN ASIGNATURAS'!L42="","",'ASIGNACIÓN ASIGNATURAS'!L42)</f>
        <v/>
      </c>
      <c r="D21" s="290" t="str">
        <f>IF('ASIGNACIÓN ASIGNATURAS'!M42="","",'ASIGNACIÓN ASIGNATURAS'!M42)</f>
        <v/>
      </c>
      <c r="E21" s="290" t="str">
        <f>IF('ASIGNACIÓN ASIGNATURAS'!N42="","",'ASIGNACIÓN ASIGNATURAS'!N42)</f>
        <v/>
      </c>
      <c r="F21" s="290" t="str">
        <f>IF('ASIGNACIÓN ASIGNATURAS'!O42="","",'ASIGNACIÓN ASIGNATURAS'!O42)</f>
        <v/>
      </c>
      <c r="G21" s="290" t="str">
        <f>IF('ASIGNACIÓN ASIGNATURAS'!P42="","",'ASIGNACIÓN ASIGNATURAS'!P42)</f>
        <v/>
      </c>
      <c r="H21" s="290" t="str">
        <f>IF('ASIGNACIÓN ASIGNATURAS'!T42="","",'ASIGNACIÓN ASIGNATURAS'!T42)</f>
        <v/>
      </c>
      <c r="I21" s="290" t="str">
        <f>IF('ASIGNACIÓN ASIGNATURAS'!U42="","",'ASIGNACIÓN ASIGNATURAS'!U42)</f>
        <v/>
      </c>
      <c r="J21" s="290" t="str">
        <f>IF('ASIGNACIÓN ASIGNATURAS'!V42="","",'ASIGNACIÓN ASIGNATURAS'!V42)</f>
        <v/>
      </c>
      <c r="K21" s="301" t="str">
        <f>IF('ASIGNACIÓN ASIGNATURAS'!S42="","",'ASIGNACIÓN ASIGNATURAS'!S42)</f>
        <v/>
      </c>
      <c r="L21" s="244" t="str">
        <f>IF('ASIGNACIÓN ASIGNATURAS'!Q42="","",'ASIGNACIÓN ASIGNATURAS'!Q42)</f>
        <v/>
      </c>
      <c r="M21" s="244" t="str">
        <f>IF('ASIGNACIÓN ASIGNATURAS'!R42="","",'ASIGNACIÓN ASIGNATURAS'!R42)</f>
        <v/>
      </c>
      <c r="N21" s="244" t="str">
        <f>IF('ASIGNACIÓN ASIGNATURAS'!W42="","",'ASIGNACIÓN ASIGNATURAS'!W42)</f>
        <v/>
      </c>
      <c r="O21" s="244" t="str">
        <f>IF('ASIGNACIÓN ASIGNATURAS'!X42="","",'ASIGNACIÓN ASIGNATURAS'!X42)</f>
        <v/>
      </c>
      <c r="P21" s="244" t="str">
        <f>IF('ASIGNACIÓN ASIGNATURAS'!Y42="","",'ASIGNACIÓN ASIGNATURAS'!Y42)</f>
        <v/>
      </c>
      <c r="Q21" s="244" t="str">
        <f>IF('ASIGNACIÓN ASIGNATURAS'!Z42="","",'ASIGNACIÓN ASIGNATURAS'!Z42)</f>
        <v/>
      </c>
      <c r="R21" s="244" t="str">
        <f>IF('ASIGNACIÓN ASIGNATURAS'!AA42="","",'ASIGNACIÓN ASIGNATURAS'!AA42)</f>
        <v/>
      </c>
      <c r="S21" s="244" t="str">
        <f>IF('ASIGNACIÓN ASIGNATURAS'!AB42="","",'ASIGNACIÓN ASIGNATURAS'!AB42)</f>
        <v/>
      </c>
    </row>
    <row r="22" spans="1:19" x14ac:dyDescent="0.3">
      <c r="A22" s="290" t="str">
        <f>IF('ASIGNACIÓN ASIGNATURAS'!J66="","",'ASIGNACIÓN ASIGNATURAS'!J66)</f>
        <v/>
      </c>
      <c r="B22" s="290" t="str">
        <f>IF('ASIGNACIÓN ASIGNATURAS'!K66="","",'ASIGNACIÓN ASIGNATURAS'!K66)</f>
        <v/>
      </c>
      <c r="C22" s="290" t="str">
        <f>IF('ASIGNACIÓN ASIGNATURAS'!L66="","",'ASIGNACIÓN ASIGNATURAS'!L66)</f>
        <v/>
      </c>
      <c r="D22" s="290" t="str">
        <f>IF('ASIGNACIÓN ASIGNATURAS'!M66="","",'ASIGNACIÓN ASIGNATURAS'!M66)</f>
        <v/>
      </c>
      <c r="E22" s="290" t="str">
        <f>IF('ASIGNACIÓN ASIGNATURAS'!N66="","",'ASIGNACIÓN ASIGNATURAS'!N66)</f>
        <v/>
      </c>
      <c r="F22" s="290" t="str">
        <f>IF('ASIGNACIÓN ASIGNATURAS'!O66="","",'ASIGNACIÓN ASIGNATURAS'!O66)</f>
        <v/>
      </c>
      <c r="G22" s="290" t="str">
        <f>IF('ASIGNACIÓN ASIGNATURAS'!P66="","",'ASIGNACIÓN ASIGNATURAS'!P66)</f>
        <v/>
      </c>
      <c r="H22" s="290" t="str">
        <f>IF('ASIGNACIÓN ASIGNATURAS'!T66="","",'ASIGNACIÓN ASIGNATURAS'!T66)</f>
        <v/>
      </c>
      <c r="I22" s="290" t="str">
        <f>IF('ASIGNACIÓN ASIGNATURAS'!U66="","",'ASIGNACIÓN ASIGNATURAS'!U66)</f>
        <v/>
      </c>
      <c r="J22" s="290" t="str">
        <f>IF('ASIGNACIÓN ASIGNATURAS'!V66="","",'ASIGNACIÓN ASIGNATURAS'!V66)</f>
        <v/>
      </c>
      <c r="K22" s="301" t="str">
        <f>IF('ASIGNACIÓN ASIGNATURAS'!S66="","",'ASIGNACIÓN ASIGNATURAS'!S66)</f>
        <v/>
      </c>
      <c r="L22" s="244" t="str">
        <f>IF('ASIGNACIÓN ASIGNATURAS'!Q66="","",'ASIGNACIÓN ASIGNATURAS'!Q66)</f>
        <v/>
      </c>
      <c r="M22" s="244" t="str">
        <f>IF('ASIGNACIÓN ASIGNATURAS'!R66="","",'ASIGNACIÓN ASIGNATURAS'!R66)</f>
        <v/>
      </c>
      <c r="N22" s="244" t="str">
        <f>IF('ASIGNACIÓN ASIGNATURAS'!W66="","",'ASIGNACIÓN ASIGNATURAS'!W66)</f>
        <v/>
      </c>
      <c r="O22" s="244" t="str">
        <f>IF('ASIGNACIÓN ASIGNATURAS'!X66="","",'ASIGNACIÓN ASIGNATURAS'!X66)</f>
        <v/>
      </c>
      <c r="P22" s="244" t="str">
        <f>IF('ASIGNACIÓN ASIGNATURAS'!Y66="","",'ASIGNACIÓN ASIGNATURAS'!Y66)</f>
        <v/>
      </c>
      <c r="Q22" s="244" t="str">
        <f>IF('ASIGNACIÓN ASIGNATURAS'!Z66="","",'ASIGNACIÓN ASIGNATURAS'!Z66)</f>
        <v/>
      </c>
      <c r="R22" s="244" t="str">
        <f>IF('ASIGNACIÓN ASIGNATURAS'!AA66="","",'ASIGNACIÓN ASIGNATURAS'!AA66)</f>
        <v/>
      </c>
      <c r="S22" s="244" t="str">
        <f>IF('ASIGNACIÓN ASIGNATURAS'!AB66="","",'ASIGNACIÓN ASIGNATURAS'!AB66)</f>
        <v/>
      </c>
    </row>
    <row r="23" spans="1:19" x14ac:dyDescent="0.3">
      <c r="A23" s="290" t="str">
        <f>IF('ASIGNACIÓN ASIGNATURAS'!J90="","",'ASIGNACIÓN ASIGNATURAS'!J90)</f>
        <v/>
      </c>
      <c r="B23" s="290" t="str">
        <f>IF('ASIGNACIÓN ASIGNATURAS'!K90="","",'ASIGNACIÓN ASIGNATURAS'!K90)</f>
        <v/>
      </c>
      <c r="C23" s="290" t="str">
        <f>IF('ASIGNACIÓN ASIGNATURAS'!L90="","",'ASIGNACIÓN ASIGNATURAS'!L90)</f>
        <v/>
      </c>
      <c r="D23" s="290" t="str">
        <f>IF('ASIGNACIÓN ASIGNATURAS'!M90="","",'ASIGNACIÓN ASIGNATURAS'!M90)</f>
        <v/>
      </c>
      <c r="E23" s="290" t="str">
        <f>IF('ASIGNACIÓN ASIGNATURAS'!N90="","",'ASIGNACIÓN ASIGNATURAS'!N90)</f>
        <v/>
      </c>
      <c r="F23" s="290" t="str">
        <f>IF('ASIGNACIÓN ASIGNATURAS'!O90="","",'ASIGNACIÓN ASIGNATURAS'!O90)</f>
        <v/>
      </c>
      <c r="G23" s="290" t="str">
        <f>IF('ASIGNACIÓN ASIGNATURAS'!P90="","",'ASIGNACIÓN ASIGNATURAS'!P90)</f>
        <v/>
      </c>
      <c r="H23" s="290" t="str">
        <f>IF('ASIGNACIÓN ASIGNATURAS'!T90="","",'ASIGNACIÓN ASIGNATURAS'!T90)</f>
        <v/>
      </c>
      <c r="I23" s="290" t="str">
        <f>IF('ASIGNACIÓN ASIGNATURAS'!U90="","",'ASIGNACIÓN ASIGNATURAS'!U90)</f>
        <v/>
      </c>
      <c r="J23" s="290" t="str">
        <f>IF('ASIGNACIÓN ASIGNATURAS'!V90="","",'ASIGNACIÓN ASIGNATURAS'!V90)</f>
        <v/>
      </c>
      <c r="K23" s="301" t="str">
        <f>IF('ASIGNACIÓN ASIGNATURAS'!S90="","",'ASIGNACIÓN ASIGNATURAS'!S90)</f>
        <v/>
      </c>
      <c r="L23" s="244" t="str">
        <f>IF('ASIGNACIÓN ASIGNATURAS'!Q90="","",'ASIGNACIÓN ASIGNATURAS'!Q90)</f>
        <v/>
      </c>
      <c r="M23" s="244" t="str">
        <f>IF('ASIGNACIÓN ASIGNATURAS'!R90="","",'ASIGNACIÓN ASIGNATURAS'!R90)</f>
        <v/>
      </c>
      <c r="N23" s="244" t="str">
        <f>IF('ASIGNACIÓN ASIGNATURAS'!W90="","",'ASIGNACIÓN ASIGNATURAS'!W90)</f>
        <v/>
      </c>
      <c r="O23" s="244" t="str">
        <f>IF('ASIGNACIÓN ASIGNATURAS'!X90="","",'ASIGNACIÓN ASIGNATURAS'!X90)</f>
        <v/>
      </c>
      <c r="P23" s="244" t="str">
        <f>IF('ASIGNACIÓN ASIGNATURAS'!Y90="","",'ASIGNACIÓN ASIGNATURAS'!Y90)</f>
        <v/>
      </c>
      <c r="Q23" s="244" t="str">
        <f>IF('ASIGNACIÓN ASIGNATURAS'!Z90="","",'ASIGNACIÓN ASIGNATURAS'!Z90)</f>
        <v/>
      </c>
      <c r="R23" s="244" t="str">
        <f>IF('ASIGNACIÓN ASIGNATURAS'!AA90="","",'ASIGNACIÓN ASIGNATURAS'!AA90)</f>
        <v/>
      </c>
      <c r="S23" s="244" t="str">
        <f>IF('ASIGNACIÓN ASIGNATURAS'!AB90="","",'ASIGNACIÓN ASIGNATURAS'!AB90)</f>
        <v/>
      </c>
    </row>
    <row r="24" spans="1:19" x14ac:dyDescent="0.3">
      <c r="A24" s="290" t="str">
        <f>IF('ASIGNACIÓN ASIGNATURAS'!J114="","",'ASIGNACIÓN ASIGNATURAS'!J114)</f>
        <v/>
      </c>
      <c r="B24" s="290" t="str">
        <f>IF('ASIGNACIÓN ASIGNATURAS'!K114="","",'ASIGNACIÓN ASIGNATURAS'!K114)</f>
        <v/>
      </c>
      <c r="C24" s="290" t="str">
        <f>IF('ASIGNACIÓN ASIGNATURAS'!L114="","",'ASIGNACIÓN ASIGNATURAS'!L114)</f>
        <v/>
      </c>
      <c r="D24" s="290" t="str">
        <f>IF('ASIGNACIÓN ASIGNATURAS'!M114="","",'ASIGNACIÓN ASIGNATURAS'!M114)</f>
        <v/>
      </c>
      <c r="E24" s="290" t="str">
        <f>IF('ASIGNACIÓN ASIGNATURAS'!N114="","",'ASIGNACIÓN ASIGNATURAS'!N114)</f>
        <v/>
      </c>
      <c r="F24" s="290" t="str">
        <f>IF('ASIGNACIÓN ASIGNATURAS'!O114="","",'ASIGNACIÓN ASIGNATURAS'!O114)</f>
        <v/>
      </c>
      <c r="G24" s="290" t="str">
        <f>IF('ASIGNACIÓN ASIGNATURAS'!P114="","",'ASIGNACIÓN ASIGNATURAS'!P114)</f>
        <v/>
      </c>
      <c r="H24" s="290" t="str">
        <f>IF('ASIGNACIÓN ASIGNATURAS'!T114="","",'ASIGNACIÓN ASIGNATURAS'!T114)</f>
        <v/>
      </c>
      <c r="I24" s="290" t="str">
        <f>IF('ASIGNACIÓN ASIGNATURAS'!U114="","",'ASIGNACIÓN ASIGNATURAS'!U114)</f>
        <v/>
      </c>
      <c r="J24" s="290" t="str">
        <f>IF('ASIGNACIÓN ASIGNATURAS'!V114="","",'ASIGNACIÓN ASIGNATURAS'!V114)</f>
        <v/>
      </c>
      <c r="K24" s="301" t="str">
        <f>IF('ASIGNACIÓN ASIGNATURAS'!S114="","",'ASIGNACIÓN ASIGNATURAS'!S114)</f>
        <v/>
      </c>
      <c r="L24" s="244" t="str">
        <f>IF('ASIGNACIÓN ASIGNATURAS'!Q114="","",'ASIGNACIÓN ASIGNATURAS'!Q114)</f>
        <v/>
      </c>
      <c r="M24" s="244" t="str">
        <f>IF('ASIGNACIÓN ASIGNATURAS'!R114="","",'ASIGNACIÓN ASIGNATURAS'!R114)</f>
        <v/>
      </c>
      <c r="N24" s="244" t="str">
        <f>IF('ASIGNACIÓN ASIGNATURAS'!W114="","",'ASIGNACIÓN ASIGNATURAS'!W114)</f>
        <v/>
      </c>
      <c r="O24" s="244" t="str">
        <f>IF('ASIGNACIÓN ASIGNATURAS'!X114="","",'ASIGNACIÓN ASIGNATURAS'!X114)</f>
        <v/>
      </c>
      <c r="P24" s="244" t="str">
        <f>IF('ASIGNACIÓN ASIGNATURAS'!Y114="","",'ASIGNACIÓN ASIGNATURAS'!Y114)</f>
        <v/>
      </c>
      <c r="Q24" s="244" t="str">
        <f>IF('ASIGNACIÓN ASIGNATURAS'!Z114="","",'ASIGNACIÓN ASIGNATURAS'!Z114)</f>
        <v/>
      </c>
      <c r="R24" s="244" t="str">
        <f>IF('ASIGNACIÓN ASIGNATURAS'!AA114="","",'ASIGNACIÓN ASIGNATURAS'!AA114)</f>
        <v/>
      </c>
      <c r="S24" s="244" t="str">
        <f>IF('ASIGNACIÓN ASIGNATURAS'!AB114="","",'ASIGNACIÓN ASIGNATURAS'!AB114)</f>
        <v/>
      </c>
    </row>
    <row r="25" spans="1:19" x14ac:dyDescent="0.3">
      <c r="A25" s="290" t="str">
        <f>IF('ASIGNACIÓN ASIGNATURAS'!J134="","",'ASIGNACIÓN ASIGNATURAS'!J134)</f>
        <v/>
      </c>
      <c r="B25" s="290" t="str">
        <f>IF('ASIGNACIÓN ASIGNATURAS'!K134="","",'ASIGNACIÓN ASIGNATURAS'!K134)</f>
        <v/>
      </c>
      <c r="C25" s="290" t="str">
        <f>IF('ASIGNACIÓN ASIGNATURAS'!L134="","",'ASIGNACIÓN ASIGNATURAS'!L134)</f>
        <v/>
      </c>
      <c r="D25" s="290" t="str">
        <f>IF('ASIGNACIÓN ASIGNATURAS'!M134="","",'ASIGNACIÓN ASIGNATURAS'!M134)</f>
        <v/>
      </c>
      <c r="E25" s="290" t="str">
        <f>IF('ASIGNACIÓN ASIGNATURAS'!N134="","",'ASIGNACIÓN ASIGNATURAS'!N134)</f>
        <v/>
      </c>
      <c r="F25" s="290" t="str">
        <f>IF('ASIGNACIÓN ASIGNATURAS'!O134="","",'ASIGNACIÓN ASIGNATURAS'!O134)</f>
        <v/>
      </c>
      <c r="G25" s="290" t="str">
        <f>IF('ASIGNACIÓN ASIGNATURAS'!P134="","",'ASIGNACIÓN ASIGNATURAS'!P134)</f>
        <v/>
      </c>
      <c r="H25" s="290" t="str">
        <f>IF('ASIGNACIÓN ASIGNATURAS'!T134="","",'ASIGNACIÓN ASIGNATURAS'!T134)</f>
        <v/>
      </c>
      <c r="I25" s="290" t="str">
        <f>IF('ASIGNACIÓN ASIGNATURAS'!U134="","",'ASIGNACIÓN ASIGNATURAS'!U134)</f>
        <v/>
      </c>
      <c r="J25" s="290" t="str">
        <f>IF('ASIGNACIÓN ASIGNATURAS'!V134="","",'ASIGNACIÓN ASIGNATURAS'!V134)</f>
        <v/>
      </c>
      <c r="K25" s="301" t="str">
        <f>IF('ASIGNACIÓN ASIGNATURAS'!S134="","",'ASIGNACIÓN ASIGNATURAS'!S134)</f>
        <v/>
      </c>
      <c r="L25" s="244" t="str">
        <f>IF('ASIGNACIÓN ASIGNATURAS'!Q134="","",'ASIGNACIÓN ASIGNATURAS'!Q134)</f>
        <v/>
      </c>
      <c r="M25" s="244" t="str">
        <f>IF('ASIGNACIÓN ASIGNATURAS'!R134="","",'ASIGNACIÓN ASIGNATURAS'!R134)</f>
        <v/>
      </c>
      <c r="N25" s="244" t="str">
        <f>IF('ASIGNACIÓN ASIGNATURAS'!W134="","",'ASIGNACIÓN ASIGNATURAS'!W134)</f>
        <v/>
      </c>
      <c r="O25" s="244" t="str">
        <f>IF('ASIGNACIÓN ASIGNATURAS'!X134="","",'ASIGNACIÓN ASIGNATURAS'!X134)</f>
        <v/>
      </c>
      <c r="P25" s="244" t="str">
        <f>IF('ASIGNACIÓN ASIGNATURAS'!Y134="","",'ASIGNACIÓN ASIGNATURAS'!Y134)</f>
        <v/>
      </c>
      <c r="Q25" s="244" t="str">
        <f>IF('ASIGNACIÓN ASIGNATURAS'!Z134="","",'ASIGNACIÓN ASIGNATURAS'!Z134)</f>
        <v/>
      </c>
      <c r="R25" s="244" t="str">
        <f>IF('ASIGNACIÓN ASIGNATURAS'!AA134="","",'ASIGNACIÓN ASIGNATURAS'!AA134)</f>
        <v/>
      </c>
      <c r="S25" s="244" t="str">
        <f>IF('ASIGNACIÓN ASIGNATURAS'!AB134="","",'ASIGNACIÓN ASIGNATURAS'!AB134)</f>
        <v/>
      </c>
    </row>
    <row r="26" spans="1:19" x14ac:dyDescent="0.3">
      <c r="A26" s="290" t="str">
        <f>IF('ASIGNACIÓN ASIGNATURAS'!J21="","",'ASIGNACIÓN ASIGNATURAS'!J21)</f>
        <v/>
      </c>
      <c r="B26" s="290" t="str">
        <f>IF('ASIGNACIÓN ASIGNATURAS'!K21="","",'ASIGNACIÓN ASIGNATURAS'!K21)</f>
        <v/>
      </c>
      <c r="C26" s="290" t="str">
        <f>IF('ASIGNACIÓN ASIGNATURAS'!L21="","",'ASIGNACIÓN ASIGNATURAS'!L21)</f>
        <v/>
      </c>
      <c r="D26" s="290" t="str">
        <f>IF('ASIGNACIÓN ASIGNATURAS'!M21="","",'ASIGNACIÓN ASIGNATURAS'!M21)</f>
        <v/>
      </c>
      <c r="E26" s="290" t="str">
        <f>IF('ASIGNACIÓN ASIGNATURAS'!N21="","",'ASIGNACIÓN ASIGNATURAS'!N21)</f>
        <v/>
      </c>
      <c r="F26" s="290" t="str">
        <f>IF('ASIGNACIÓN ASIGNATURAS'!O21="","",'ASIGNACIÓN ASIGNATURAS'!O21)</f>
        <v/>
      </c>
      <c r="G26" s="290" t="str">
        <f>IF('ASIGNACIÓN ASIGNATURAS'!P21="","",'ASIGNACIÓN ASIGNATURAS'!P21)</f>
        <v/>
      </c>
      <c r="H26" s="290" t="str">
        <f>IF('ASIGNACIÓN ASIGNATURAS'!T21="","",'ASIGNACIÓN ASIGNATURAS'!T21)</f>
        <v/>
      </c>
      <c r="I26" s="290" t="str">
        <f>IF('ASIGNACIÓN ASIGNATURAS'!U21="","",'ASIGNACIÓN ASIGNATURAS'!U21)</f>
        <v/>
      </c>
      <c r="J26" s="290" t="str">
        <f>IF('ASIGNACIÓN ASIGNATURAS'!V21="","",'ASIGNACIÓN ASIGNATURAS'!V21)</f>
        <v/>
      </c>
      <c r="K26" s="301" t="str">
        <f>IF('ASIGNACIÓN ASIGNATURAS'!S21="","",'ASIGNACIÓN ASIGNATURAS'!S21)</f>
        <v/>
      </c>
      <c r="L26" s="244" t="str">
        <f>IF('ASIGNACIÓN ASIGNATURAS'!Q21="","",'ASIGNACIÓN ASIGNATURAS'!Q21)</f>
        <v/>
      </c>
      <c r="M26" s="244" t="str">
        <f>IF('ASIGNACIÓN ASIGNATURAS'!R21="","",'ASIGNACIÓN ASIGNATURAS'!R21)</f>
        <v/>
      </c>
      <c r="N26" s="244" t="str">
        <f>IF('ASIGNACIÓN ASIGNATURAS'!W21="","",'ASIGNACIÓN ASIGNATURAS'!W21)</f>
        <v/>
      </c>
      <c r="O26" s="244" t="str">
        <f>IF('ASIGNACIÓN ASIGNATURAS'!X21="","",'ASIGNACIÓN ASIGNATURAS'!X21)</f>
        <v/>
      </c>
      <c r="P26" s="244" t="str">
        <f>IF('ASIGNACIÓN ASIGNATURAS'!Y21="","",'ASIGNACIÓN ASIGNATURAS'!Y21)</f>
        <v/>
      </c>
      <c r="Q26" s="244" t="str">
        <f>IF('ASIGNACIÓN ASIGNATURAS'!Z21="","",'ASIGNACIÓN ASIGNATURAS'!Z21)</f>
        <v/>
      </c>
      <c r="R26" s="244" t="str">
        <f>IF('ASIGNACIÓN ASIGNATURAS'!AA21="","",'ASIGNACIÓN ASIGNATURAS'!AA21)</f>
        <v/>
      </c>
      <c r="S26" s="244" t="str">
        <f>IF('ASIGNACIÓN ASIGNATURAS'!AB21="","",'ASIGNACIÓN ASIGNATURAS'!AB21)</f>
        <v/>
      </c>
    </row>
    <row r="27" spans="1:19" x14ac:dyDescent="0.3">
      <c r="A27" s="290" t="str">
        <f>IF('ASIGNACIÓN ASIGNATURAS'!J20="","",'ASIGNACIÓN ASIGNATURAS'!J20)</f>
        <v/>
      </c>
      <c r="B27" s="290" t="str">
        <f>IF('ASIGNACIÓN ASIGNATURAS'!K20="","",'ASIGNACIÓN ASIGNATURAS'!K20)</f>
        <v/>
      </c>
      <c r="C27" s="290" t="str">
        <f>IF('ASIGNACIÓN ASIGNATURAS'!L20="","",'ASIGNACIÓN ASIGNATURAS'!L20)</f>
        <v/>
      </c>
      <c r="D27" s="290" t="str">
        <f>IF('ASIGNACIÓN ASIGNATURAS'!M20="","",'ASIGNACIÓN ASIGNATURAS'!M20)</f>
        <v/>
      </c>
      <c r="E27" s="290" t="str">
        <f>IF('ASIGNACIÓN ASIGNATURAS'!N20="","",'ASIGNACIÓN ASIGNATURAS'!N20)</f>
        <v/>
      </c>
      <c r="F27" s="290" t="str">
        <f>IF('ASIGNACIÓN ASIGNATURAS'!O20="","",'ASIGNACIÓN ASIGNATURAS'!O20)</f>
        <v/>
      </c>
      <c r="G27" s="290" t="str">
        <f>IF('ASIGNACIÓN ASIGNATURAS'!P20="","",'ASIGNACIÓN ASIGNATURAS'!P20)</f>
        <v/>
      </c>
      <c r="H27" s="290" t="str">
        <f>IF('ASIGNACIÓN ASIGNATURAS'!T20="","",'ASIGNACIÓN ASIGNATURAS'!T20)</f>
        <v/>
      </c>
      <c r="I27" s="290" t="str">
        <f>IF('ASIGNACIÓN ASIGNATURAS'!U20="","",'ASIGNACIÓN ASIGNATURAS'!U20)</f>
        <v/>
      </c>
      <c r="J27" s="290" t="str">
        <f>IF('ASIGNACIÓN ASIGNATURAS'!V20="","",'ASIGNACIÓN ASIGNATURAS'!V20)</f>
        <v/>
      </c>
      <c r="K27" s="301" t="str">
        <f>IF('ASIGNACIÓN ASIGNATURAS'!S20="","",'ASIGNACIÓN ASIGNATURAS'!S20)</f>
        <v/>
      </c>
      <c r="L27" s="244" t="str">
        <f>IF('ASIGNACIÓN ASIGNATURAS'!Q20="","",'ASIGNACIÓN ASIGNATURAS'!Q20)</f>
        <v/>
      </c>
      <c r="M27" s="244" t="str">
        <f>IF('ASIGNACIÓN ASIGNATURAS'!R20="","",'ASIGNACIÓN ASIGNATURAS'!R20)</f>
        <v/>
      </c>
      <c r="N27" s="244" t="str">
        <f>IF('ASIGNACIÓN ASIGNATURAS'!W20="","",'ASIGNACIÓN ASIGNATURAS'!W20)</f>
        <v/>
      </c>
      <c r="O27" s="244" t="str">
        <f>IF('ASIGNACIÓN ASIGNATURAS'!X20="","",'ASIGNACIÓN ASIGNATURAS'!X20)</f>
        <v/>
      </c>
      <c r="P27" s="244" t="str">
        <f>IF('ASIGNACIÓN ASIGNATURAS'!Y20="","",'ASIGNACIÓN ASIGNATURAS'!Y20)</f>
        <v/>
      </c>
      <c r="Q27" s="244" t="str">
        <f>IF('ASIGNACIÓN ASIGNATURAS'!Z20="","",'ASIGNACIÓN ASIGNATURAS'!Z20)</f>
        <v/>
      </c>
      <c r="R27" s="244" t="str">
        <f>IF('ASIGNACIÓN ASIGNATURAS'!AA20="","",'ASIGNACIÓN ASIGNATURAS'!AA20)</f>
        <v/>
      </c>
      <c r="S27" s="244" t="str">
        <f>IF('ASIGNACIÓN ASIGNATURAS'!AB20="","",'ASIGNACIÓN ASIGNATURAS'!AB20)</f>
        <v/>
      </c>
    </row>
    <row r="28" spans="1:19" x14ac:dyDescent="0.3">
      <c r="A28" s="290" t="str">
        <f>IF('ASIGNACIÓN ASIGNATURAS'!J22="","",'ASIGNACIÓN ASIGNATURAS'!J22)</f>
        <v/>
      </c>
      <c r="B28" s="290" t="str">
        <f>IF('ASIGNACIÓN ASIGNATURAS'!K22="","",'ASIGNACIÓN ASIGNATURAS'!K22)</f>
        <v/>
      </c>
      <c r="C28" s="290" t="str">
        <f>IF('ASIGNACIÓN ASIGNATURAS'!L22="","",'ASIGNACIÓN ASIGNATURAS'!L22)</f>
        <v/>
      </c>
      <c r="D28" s="290" t="str">
        <f>IF('ASIGNACIÓN ASIGNATURAS'!M22="","",'ASIGNACIÓN ASIGNATURAS'!M22)</f>
        <v/>
      </c>
      <c r="E28" s="290" t="str">
        <f>IF('ASIGNACIÓN ASIGNATURAS'!N22="","",'ASIGNACIÓN ASIGNATURAS'!N22)</f>
        <v/>
      </c>
      <c r="F28" s="290" t="str">
        <f>IF('ASIGNACIÓN ASIGNATURAS'!O22="","",'ASIGNACIÓN ASIGNATURAS'!O22)</f>
        <v/>
      </c>
      <c r="G28" s="290" t="str">
        <f>IF('ASIGNACIÓN ASIGNATURAS'!P22="","",'ASIGNACIÓN ASIGNATURAS'!P22)</f>
        <v/>
      </c>
      <c r="H28" s="290" t="str">
        <f>IF('ASIGNACIÓN ASIGNATURAS'!T22="","",'ASIGNACIÓN ASIGNATURAS'!T22)</f>
        <v/>
      </c>
      <c r="I28" s="290" t="str">
        <f>IF('ASIGNACIÓN ASIGNATURAS'!U22="","",'ASIGNACIÓN ASIGNATURAS'!U22)</f>
        <v/>
      </c>
      <c r="J28" s="290" t="str">
        <f>IF('ASIGNACIÓN ASIGNATURAS'!V22="","",'ASIGNACIÓN ASIGNATURAS'!V22)</f>
        <v/>
      </c>
      <c r="K28" s="301" t="str">
        <f>IF('ASIGNACIÓN ASIGNATURAS'!S22="","",'ASIGNACIÓN ASIGNATURAS'!S22)</f>
        <v/>
      </c>
      <c r="L28" s="244" t="str">
        <f>IF('ASIGNACIÓN ASIGNATURAS'!Q22="","",'ASIGNACIÓN ASIGNATURAS'!Q22)</f>
        <v/>
      </c>
      <c r="M28" s="244" t="str">
        <f>IF('ASIGNACIÓN ASIGNATURAS'!R22="","",'ASIGNACIÓN ASIGNATURAS'!R22)</f>
        <v/>
      </c>
      <c r="N28" s="244" t="str">
        <f>IF('ASIGNACIÓN ASIGNATURAS'!W22="","",'ASIGNACIÓN ASIGNATURAS'!W22)</f>
        <v/>
      </c>
      <c r="O28" s="244" t="str">
        <f>IF('ASIGNACIÓN ASIGNATURAS'!X22="","",'ASIGNACIÓN ASIGNATURAS'!X22)</f>
        <v/>
      </c>
      <c r="P28" s="244" t="str">
        <f>IF('ASIGNACIÓN ASIGNATURAS'!Y22="","",'ASIGNACIÓN ASIGNATURAS'!Y22)</f>
        <v/>
      </c>
      <c r="Q28" s="244" t="str">
        <f>IF('ASIGNACIÓN ASIGNATURAS'!Z22="","",'ASIGNACIÓN ASIGNATURAS'!Z22)</f>
        <v/>
      </c>
      <c r="R28" s="244" t="str">
        <f>IF('ASIGNACIÓN ASIGNATURAS'!AA22="","",'ASIGNACIÓN ASIGNATURAS'!AA22)</f>
        <v/>
      </c>
      <c r="S28" s="244" t="str">
        <f>IF('ASIGNACIÓN ASIGNATURAS'!AB22="","",'ASIGNACIÓN ASIGNATURAS'!AB22)</f>
        <v/>
      </c>
    </row>
    <row r="29" spans="1:19" x14ac:dyDescent="0.3">
      <c r="A29" s="290" t="str">
        <f>IF('ASIGNACIÓN ASIGNATURAS'!J19="","",'ASIGNACIÓN ASIGNATURAS'!J19)</f>
        <v/>
      </c>
      <c r="B29" s="290" t="str">
        <f>IF('ASIGNACIÓN ASIGNATURAS'!K19="","",'ASIGNACIÓN ASIGNATURAS'!K19)</f>
        <v/>
      </c>
      <c r="C29" s="290" t="str">
        <f>IF('ASIGNACIÓN ASIGNATURAS'!L19="","",'ASIGNACIÓN ASIGNATURAS'!L19)</f>
        <v/>
      </c>
      <c r="D29" s="290" t="str">
        <f>IF('ASIGNACIÓN ASIGNATURAS'!M19="","",'ASIGNACIÓN ASIGNATURAS'!M19)</f>
        <v/>
      </c>
      <c r="E29" s="290" t="str">
        <f>IF('ASIGNACIÓN ASIGNATURAS'!N19="","",'ASIGNACIÓN ASIGNATURAS'!N19)</f>
        <v/>
      </c>
      <c r="F29" s="290" t="str">
        <f>IF('ASIGNACIÓN ASIGNATURAS'!O19="","",'ASIGNACIÓN ASIGNATURAS'!O19)</f>
        <v/>
      </c>
      <c r="G29" s="290" t="str">
        <f>IF('ASIGNACIÓN ASIGNATURAS'!P19="","",'ASIGNACIÓN ASIGNATURAS'!P19)</f>
        <v/>
      </c>
      <c r="H29" s="290" t="str">
        <f>IF('ASIGNACIÓN ASIGNATURAS'!T19="","",'ASIGNACIÓN ASIGNATURAS'!T19)</f>
        <v/>
      </c>
      <c r="I29" s="290" t="str">
        <f>IF('ASIGNACIÓN ASIGNATURAS'!U19="","",'ASIGNACIÓN ASIGNATURAS'!U19)</f>
        <v/>
      </c>
      <c r="J29" s="290" t="str">
        <f>IF('ASIGNACIÓN ASIGNATURAS'!V19="","",'ASIGNACIÓN ASIGNATURAS'!V19)</f>
        <v/>
      </c>
      <c r="K29" s="301" t="str">
        <f>IF('ASIGNACIÓN ASIGNATURAS'!S19="","",'ASIGNACIÓN ASIGNATURAS'!S19)</f>
        <v/>
      </c>
      <c r="L29" s="244" t="str">
        <f>IF('ASIGNACIÓN ASIGNATURAS'!Q19="","",'ASIGNACIÓN ASIGNATURAS'!Q19)</f>
        <v/>
      </c>
      <c r="M29" s="244" t="str">
        <f>IF('ASIGNACIÓN ASIGNATURAS'!R19="","",'ASIGNACIÓN ASIGNATURAS'!R19)</f>
        <v/>
      </c>
      <c r="N29" s="244" t="str">
        <f>IF('ASIGNACIÓN ASIGNATURAS'!W19="","",'ASIGNACIÓN ASIGNATURAS'!W19)</f>
        <v/>
      </c>
      <c r="O29" s="244" t="str">
        <f>IF('ASIGNACIÓN ASIGNATURAS'!X19="","",'ASIGNACIÓN ASIGNATURAS'!X19)</f>
        <v/>
      </c>
      <c r="P29" s="244" t="str">
        <f>IF('ASIGNACIÓN ASIGNATURAS'!Y19="","",'ASIGNACIÓN ASIGNATURAS'!Y19)</f>
        <v/>
      </c>
      <c r="Q29" s="244" t="str">
        <f>IF('ASIGNACIÓN ASIGNATURAS'!Z19="","",'ASIGNACIÓN ASIGNATURAS'!Z19)</f>
        <v/>
      </c>
      <c r="R29" s="244" t="str">
        <f>IF('ASIGNACIÓN ASIGNATURAS'!AA19="","",'ASIGNACIÓN ASIGNATURAS'!AA19)</f>
        <v/>
      </c>
      <c r="S29" s="244" t="str">
        <f>IF('ASIGNACIÓN ASIGNATURAS'!AB19="","",'ASIGNACIÓN ASIGNATURAS'!AB19)</f>
        <v/>
      </c>
    </row>
    <row r="30" spans="1:19" x14ac:dyDescent="0.3">
      <c r="A30" s="290" t="str">
        <f>IF('ASIGNACIÓN ASIGNATURAS'!J165="","",'ASIGNACIÓN ASIGNATURAS'!J165)</f>
        <v/>
      </c>
      <c r="B30" s="290" t="str">
        <f>IF('ASIGNACIÓN ASIGNATURAS'!K165="","",'ASIGNACIÓN ASIGNATURAS'!K165)</f>
        <v/>
      </c>
      <c r="C30" s="290" t="str">
        <f>IF('ASIGNACIÓN ASIGNATURAS'!L165="","",'ASIGNACIÓN ASIGNATURAS'!L165)</f>
        <v/>
      </c>
      <c r="D30" s="290" t="str">
        <f>IF('ASIGNACIÓN ASIGNATURAS'!M165="","",'ASIGNACIÓN ASIGNATURAS'!M165)</f>
        <v/>
      </c>
      <c r="E30" s="290" t="str">
        <f>IF('ASIGNACIÓN ASIGNATURAS'!N165="","",'ASIGNACIÓN ASIGNATURAS'!N165)</f>
        <v/>
      </c>
      <c r="F30" s="290" t="str">
        <f>IF('ASIGNACIÓN ASIGNATURAS'!O165="","",'ASIGNACIÓN ASIGNATURAS'!O165)</f>
        <v/>
      </c>
      <c r="G30" s="290" t="str">
        <f>IF('ASIGNACIÓN ASIGNATURAS'!P165="","",'ASIGNACIÓN ASIGNATURAS'!P165)</f>
        <v/>
      </c>
      <c r="H30" s="290" t="str">
        <f>IF('ASIGNACIÓN ASIGNATURAS'!T165="","",'ASIGNACIÓN ASIGNATURAS'!T165)</f>
        <v/>
      </c>
      <c r="I30" s="290" t="str">
        <f>IF('ASIGNACIÓN ASIGNATURAS'!U165="","",'ASIGNACIÓN ASIGNATURAS'!U165)</f>
        <v/>
      </c>
      <c r="J30" s="290" t="str">
        <f>IF('ASIGNACIÓN ASIGNATURAS'!V165="","",'ASIGNACIÓN ASIGNATURAS'!V165)</f>
        <v/>
      </c>
      <c r="K30" s="301" t="str">
        <f>IF('ASIGNACIÓN ASIGNATURAS'!S165="","",'ASIGNACIÓN ASIGNATURAS'!S165)</f>
        <v/>
      </c>
      <c r="L30" s="244" t="str">
        <f>IF('ASIGNACIÓN ASIGNATURAS'!Q165="","",'ASIGNACIÓN ASIGNATURAS'!Q165)</f>
        <v/>
      </c>
      <c r="M30" s="244" t="str">
        <f>IF('ASIGNACIÓN ASIGNATURAS'!R165="","",'ASIGNACIÓN ASIGNATURAS'!R165)</f>
        <v/>
      </c>
      <c r="N30" s="244" t="str">
        <f>IF('ASIGNACIÓN ASIGNATURAS'!W165="","",'ASIGNACIÓN ASIGNATURAS'!W165)</f>
        <v/>
      </c>
      <c r="O30" s="244" t="str">
        <f>IF('ASIGNACIÓN ASIGNATURAS'!X165="","",'ASIGNACIÓN ASIGNATURAS'!X165)</f>
        <v/>
      </c>
      <c r="P30" s="244" t="str">
        <f>IF('ASIGNACIÓN ASIGNATURAS'!Y165="","",'ASIGNACIÓN ASIGNATURAS'!Y165)</f>
        <v/>
      </c>
      <c r="Q30" s="244" t="str">
        <f>IF('ASIGNACIÓN ASIGNATURAS'!Z165="","",'ASIGNACIÓN ASIGNATURAS'!Z165)</f>
        <v/>
      </c>
      <c r="R30" s="244" t="str">
        <f>IF('ASIGNACIÓN ASIGNATURAS'!AA165="","",'ASIGNACIÓN ASIGNATURAS'!AA165)</f>
        <v/>
      </c>
      <c r="S30" s="244" t="str">
        <f>IF('ASIGNACIÓN ASIGNATURAS'!AB165="","",'ASIGNACIÓN ASIGNATURAS'!AB165)</f>
        <v/>
      </c>
    </row>
    <row r="31" spans="1:19" x14ac:dyDescent="0.3">
      <c r="A31" s="290" t="str">
        <f>IF('ASIGNACIÓN ASIGNATURAS'!J163="","",'ASIGNACIÓN ASIGNATURAS'!J163)</f>
        <v/>
      </c>
      <c r="B31" s="290" t="str">
        <f>IF('ASIGNACIÓN ASIGNATURAS'!K163="","",'ASIGNACIÓN ASIGNATURAS'!K163)</f>
        <v/>
      </c>
      <c r="C31" s="290" t="str">
        <f>IF('ASIGNACIÓN ASIGNATURAS'!L163="","",'ASIGNACIÓN ASIGNATURAS'!L163)</f>
        <v/>
      </c>
      <c r="D31" s="290" t="str">
        <f>IF('ASIGNACIÓN ASIGNATURAS'!M163="","",'ASIGNACIÓN ASIGNATURAS'!M163)</f>
        <v/>
      </c>
      <c r="E31" s="290" t="str">
        <f>IF('ASIGNACIÓN ASIGNATURAS'!N163="","",'ASIGNACIÓN ASIGNATURAS'!N163)</f>
        <v/>
      </c>
      <c r="F31" s="290" t="str">
        <f>IF('ASIGNACIÓN ASIGNATURAS'!O163="","",'ASIGNACIÓN ASIGNATURAS'!O163)</f>
        <v/>
      </c>
      <c r="G31" s="290" t="str">
        <f>IF('ASIGNACIÓN ASIGNATURAS'!P163="","",'ASIGNACIÓN ASIGNATURAS'!P163)</f>
        <v/>
      </c>
      <c r="H31" s="290" t="str">
        <f>IF('ASIGNACIÓN ASIGNATURAS'!T163="","",'ASIGNACIÓN ASIGNATURAS'!T163)</f>
        <v/>
      </c>
      <c r="I31" s="290" t="str">
        <f>IF('ASIGNACIÓN ASIGNATURAS'!U163="","",'ASIGNACIÓN ASIGNATURAS'!U163)</f>
        <v/>
      </c>
      <c r="J31" s="290" t="str">
        <f>IF('ASIGNACIÓN ASIGNATURAS'!V163="","",'ASIGNACIÓN ASIGNATURAS'!V163)</f>
        <v/>
      </c>
      <c r="K31" s="301" t="str">
        <f>IF('ASIGNACIÓN ASIGNATURAS'!S163="","",'ASIGNACIÓN ASIGNATURAS'!S163)</f>
        <v/>
      </c>
      <c r="L31" s="244" t="str">
        <f>IF('ASIGNACIÓN ASIGNATURAS'!Q163="","",'ASIGNACIÓN ASIGNATURAS'!Q163)</f>
        <v/>
      </c>
      <c r="M31" s="244" t="str">
        <f>IF('ASIGNACIÓN ASIGNATURAS'!R163="","",'ASIGNACIÓN ASIGNATURAS'!R163)</f>
        <v/>
      </c>
      <c r="N31" s="244" t="str">
        <f>IF('ASIGNACIÓN ASIGNATURAS'!W163="","",'ASIGNACIÓN ASIGNATURAS'!W163)</f>
        <v/>
      </c>
      <c r="O31" s="244" t="str">
        <f>IF('ASIGNACIÓN ASIGNATURAS'!X163="","",'ASIGNACIÓN ASIGNATURAS'!X163)</f>
        <v/>
      </c>
      <c r="P31" s="244" t="str">
        <f>IF('ASIGNACIÓN ASIGNATURAS'!Y163="","",'ASIGNACIÓN ASIGNATURAS'!Y163)</f>
        <v/>
      </c>
      <c r="Q31" s="244" t="str">
        <f>IF('ASIGNACIÓN ASIGNATURAS'!Z163="","",'ASIGNACIÓN ASIGNATURAS'!Z163)</f>
        <v/>
      </c>
      <c r="R31" s="244" t="str">
        <f>IF('ASIGNACIÓN ASIGNATURAS'!AA163="","",'ASIGNACIÓN ASIGNATURAS'!AA163)</f>
        <v/>
      </c>
      <c r="S31" s="244" t="str">
        <f>IF('ASIGNACIÓN ASIGNATURAS'!AB163="","",'ASIGNACIÓN ASIGNATURAS'!AB163)</f>
        <v/>
      </c>
    </row>
    <row r="32" spans="1:19" x14ac:dyDescent="0.3">
      <c r="A32" s="290" t="str">
        <f>IF('ASIGNACIÓN ASIGNATURAS'!J164="","",'ASIGNACIÓN ASIGNATURAS'!J164)</f>
        <v/>
      </c>
      <c r="B32" s="290" t="str">
        <f>IF('ASIGNACIÓN ASIGNATURAS'!K164="","",'ASIGNACIÓN ASIGNATURAS'!K164)</f>
        <v/>
      </c>
      <c r="C32" s="290" t="str">
        <f>IF('ASIGNACIÓN ASIGNATURAS'!L164="","",'ASIGNACIÓN ASIGNATURAS'!L164)</f>
        <v/>
      </c>
      <c r="D32" s="290" t="str">
        <f>IF('ASIGNACIÓN ASIGNATURAS'!M164="","",'ASIGNACIÓN ASIGNATURAS'!M164)</f>
        <v/>
      </c>
      <c r="E32" s="290" t="str">
        <f>IF('ASIGNACIÓN ASIGNATURAS'!N164="","",'ASIGNACIÓN ASIGNATURAS'!N164)</f>
        <v/>
      </c>
      <c r="F32" s="290" t="str">
        <f>IF('ASIGNACIÓN ASIGNATURAS'!O164="","",'ASIGNACIÓN ASIGNATURAS'!O164)</f>
        <v/>
      </c>
      <c r="G32" s="290" t="str">
        <f>IF('ASIGNACIÓN ASIGNATURAS'!P164="","",'ASIGNACIÓN ASIGNATURAS'!P164)</f>
        <v/>
      </c>
      <c r="H32" s="290" t="str">
        <f>IF('ASIGNACIÓN ASIGNATURAS'!T164="","",'ASIGNACIÓN ASIGNATURAS'!T164)</f>
        <v/>
      </c>
      <c r="I32" s="290" t="str">
        <f>IF('ASIGNACIÓN ASIGNATURAS'!U164="","",'ASIGNACIÓN ASIGNATURAS'!U164)</f>
        <v/>
      </c>
      <c r="J32" s="290" t="str">
        <f>IF('ASIGNACIÓN ASIGNATURAS'!V164="","",'ASIGNACIÓN ASIGNATURAS'!V164)</f>
        <v/>
      </c>
      <c r="K32" s="301" t="str">
        <f>IF('ASIGNACIÓN ASIGNATURAS'!S164="","",'ASIGNACIÓN ASIGNATURAS'!S164)</f>
        <v/>
      </c>
      <c r="L32" s="244" t="str">
        <f>IF('ASIGNACIÓN ASIGNATURAS'!Q164="","",'ASIGNACIÓN ASIGNATURAS'!Q164)</f>
        <v/>
      </c>
      <c r="M32" s="244" t="str">
        <f>IF('ASIGNACIÓN ASIGNATURAS'!R164="","",'ASIGNACIÓN ASIGNATURAS'!R164)</f>
        <v/>
      </c>
      <c r="N32" s="244" t="str">
        <f>IF('ASIGNACIÓN ASIGNATURAS'!W164="","",'ASIGNACIÓN ASIGNATURAS'!W164)</f>
        <v/>
      </c>
      <c r="O32" s="244" t="str">
        <f>IF('ASIGNACIÓN ASIGNATURAS'!X164="","",'ASIGNACIÓN ASIGNATURAS'!X164)</f>
        <v/>
      </c>
      <c r="P32" s="244" t="str">
        <f>IF('ASIGNACIÓN ASIGNATURAS'!Y164="","",'ASIGNACIÓN ASIGNATURAS'!Y164)</f>
        <v/>
      </c>
      <c r="Q32" s="244" t="str">
        <f>IF('ASIGNACIÓN ASIGNATURAS'!Z164="","",'ASIGNACIÓN ASIGNATURAS'!Z164)</f>
        <v/>
      </c>
      <c r="R32" s="244" t="str">
        <f>IF('ASIGNACIÓN ASIGNATURAS'!AA164="","",'ASIGNACIÓN ASIGNATURAS'!AA164)</f>
        <v/>
      </c>
      <c r="S32" s="244" t="str">
        <f>IF('ASIGNACIÓN ASIGNATURAS'!AB164="","",'ASIGNACIÓN ASIGNATURAS'!AB164)</f>
        <v/>
      </c>
    </row>
    <row r="33" spans="1:19" x14ac:dyDescent="0.3">
      <c r="A33" s="290" t="str">
        <f>IF('ASIGNACIÓN ASIGNATURAS'!J166="","",'ASIGNACIÓN ASIGNATURAS'!J166)</f>
        <v/>
      </c>
      <c r="B33" s="290" t="str">
        <f>IF('ASIGNACIÓN ASIGNATURAS'!K166="","",'ASIGNACIÓN ASIGNATURAS'!K166)</f>
        <v/>
      </c>
      <c r="C33" s="290" t="str">
        <f>IF('ASIGNACIÓN ASIGNATURAS'!L166="","",'ASIGNACIÓN ASIGNATURAS'!L166)</f>
        <v/>
      </c>
      <c r="D33" s="290" t="str">
        <f>IF('ASIGNACIÓN ASIGNATURAS'!M166="","",'ASIGNACIÓN ASIGNATURAS'!M166)</f>
        <v/>
      </c>
      <c r="E33" s="290" t="str">
        <f>IF('ASIGNACIÓN ASIGNATURAS'!N166="","",'ASIGNACIÓN ASIGNATURAS'!N166)</f>
        <v/>
      </c>
      <c r="F33" s="290" t="str">
        <f>IF('ASIGNACIÓN ASIGNATURAS'!O166="","",'ASIGNACIÓN ASIGNATURAS'!O166)</f>
        <v/>
      </c>
      <c r="G33" s="290" t="str">
        <f>IF('ASIGNACIÓN ASIGNATURAS'!P166="","",'ASIGNACIÓN ASIGNATURAS'!P166)</f>
        <v/>
      </c>
      <c r="H33" s="290" t="str">
        <f>IF('ASIGNACIÓN ASIGNATURAS'!T166="","",'ASIGNACIÓN ASIGNATURAS'!T166)</f>
        <v/>
      </c>
      <c r="I33" s="290" t="str">
        <f>IF('ASIGNACIÓN ASIGNATURAS'!U166="","",'ASIGNACIÓN ASIGNATURAS'!U166)</f>
        <v/>
      </c>
      <c r="J33" s="290" t="str">
        <f>IF('ASIGNACIÓN ASIGNATURAS'!V166="","",'ASIGNACIÓN ASIGNATURAS'!V166)</f>
        <v/>
      </c>
      <c r="K33" s="301" t="str">
        <f>IF('ASIGNACIÓN ASIGNATURAS'!S166="","",'ASIGNACIÓN ASIGNATURAS'!S166)</f>
        <v/>
      </c>
      <c r="L33" s="244" t="str">
        <f>IF('ASIGNACIÓN ASIGNATURAS'!Q166="","",'ASIGNACIÓN ASIGNATURAS'!Q166)</f>
        <v/>
      </c>
      <c r="M33" s="244" t="str">
        <f>IF('ASIGNACIÓN ASIGNATURAS'!R166="","",'ASIGNACIÓN ASIGNATURAS'!R166)</f>
        <v/>
      </c>
      <c r="N33" s="244" t="str">
        <f>IF('ASIGNACIÓN ASIGNATURAS'!W166="","",'ASIGNACIÓN ASIGNATURAS'!W166)</f>
        <v/>
      </c>
      <c r="O33" s="244" t="str">
        <f>IF('ASIGNACIÓN ASIGNATURAS'!X166="","",'ASIGNACIÓN ASIGNATURAS'!X166)</f>
        <v/>
      </c>
      <c r="P33" s="244" t="str">
        <f>IF('ASIGNACIÓN ASIGNATURAS'!Y166="","",'ASIGNACIÓN ASIGNATURAS'!Y166)</f>
        <v/>
      </c>
      <c r="Q33" s="244" t="str">
        <f>IF('ASIGNACIÓN ASIGNATURAS'!Z166="","",'ASIGNACIÓN ASIGNATURAS'!Z166)</f>
        <v/>
      </c>
      <c r="R33" s="244" t="str">
        <f>IF('ASIGNACIÓN ASIGNATURAS'!AA166="","",'ASIGNACIÓN ASIGNATURAS'!AA166)</f>
        <v/>
      </c>
      <c r="S33" s="244" t="str">
        <f>IF('ASIGNACIÓN ASIGNATURAS'!AB166="","",'ASIGNACIÓN ASIGNATURAS'!AB166)</f>
        <v/>
      </c>
    </row>
    <row r="34" spans="1:19" x14ac:dyDescent="0.3">
      <c r="A34" s="290" t="str">
        <f>IF('ASIGNACIÓN ASIGNATURAS'!J37="","",'ASIGNACIÓN ASIGNATURAS'!J37)</f>
        <v/>
      </c>
      <c r="B34" s="290" t="str">
        <f>IF('ASIGNACIÓN ASIGNATURAS'!K37="","",'ASIGNACIÓN ASIGNATURAS'!K37)</f>
        <v/>
      </c>
      <c r="C34" s="290" t="str">
        <f>IF('ASIGNACIÓN ASIGNATURAS'!L37="","",'ASIGNACIÓN ASIGNATURAS'!L37)</f>
        <v/>
      </c>
      <c r="D34" s="290" t="str">
        <f>IF('ASIGNACIÓN ASIGNATURAS'!M37="","",'ASIGNACIÓN ASIGNATURAS'!M37)</f>
        <v/>
      </c>
      <c r="E34" s="290" t="str">
        <f>IF('ASIGNACIÓN ASIGNATURAS'!N37="","",'ASIGNACIÓN ASIGNATURAS'!N37)</f>
        <v/>
      </c>
      <c r="F34" s="290" t="str">
        <f>IF('ASIGNACIÓN ASIGNATURAS'!O37="","",'ASIGNACIÓN ASIGNATURAS'!O37)</f>
        <v/>
      </c>
      <c r="G34" s="290" t="str">
        <f>IF('ASIGNACIÓN ASIGNATURAS'!P37="","",'ASIGNACIÓN ASIGNATURAS'!P37)</f>
        <v/>
      </c>
      <c r="H34" s="290" t="str">
        <f>IF('ASIGNACIÓN ASIGNATURAS'!T37="","",'ASIGNACIÓN ASIGNATURAS'!T37)</f>
        <v/>
      </c>
      <c r="I34" s="290" t="str">
        <f>IF('ASIGNACIÓN ASIGNATURAS'!U37="","",'ASIGNACIÓN ASIGNATURAS'!U37)</f>
        <v/>
      </c>
      <c r="J34" s="290" t="str">
        <f>IF('ASIGNACIÓN ASIGNATURAS'!V37="","",'ASIGNACIÓN ASIGNATURAS'!V37)</f>
        <v/>
      </c>
      <c r="K34" s="301" t="str">
        <f>IF('ASIGNACIÓN ASIGNATURAS'!S37="","",'ASIGNACIÓN ASIGNATURAS'!S37)</f>
        <v/>
      </c>
      <c r="L34" s="244" t="str">
        <f>IF('ASIGNACIÓN ASIGNATURAS'!Q37="","",'ASIGNACIÓN ASIGNATURAS'!Q37)</f>
        <v/>
      </c>
      <c r="M34" s="244" t="str">
        <f>IF('ASIGNACIÓN ASIGNATURAS'!R37="","",'ASIGNACIÓN ASIGNATURAS'!R37)</f>
        <v/>
      </c>
      <c r="N34" s="244" t="str">
        <f>IF('ASIGNACIÓN ASIGNATURAS'!W37="","",'ASIGNACIÓN ASIGNATURAS'!W37)</f>
        <v/>
      </c>
      <c r="O34" s="244" t="str">
        <f>IF('ASIGNACIÓN ASIGNATURAS'!X37="","",'ASIGNACIÓN ASIGNATURAS'!X37)</f>
        <v/>
      </c>
      <c r="P34" s="244" t="str">
        <f>IF('ASIGNACIÓN ASIGNATURAS'!Y37="","",'ASIGNACIÓN ASIGNATURAS'!Y37)</f>
        <v/>
      </c>
      <c r="Q34" s="244" t="str">
        <f>IF('ASIGNACIÓN ASIGNATURAS'!Z37="","",'ASIGNACIÓN ASIGNATURAS'!Z37)</f>
        <v/>
      </c>
      <c r="R34" s="244" t="str">
        <f>IF('ASIGNACIÓN ASIGNATURAS'!AA37="","",'ASIGNACIÓN ASIGNATURAS'!AA37)</f>
        <v/>
      </c>
      <c r="S34" s="244" t="str">
        <f>IF('ASIGNACIÓN ASIGNATURAS'!AB37="","",'ASIGNACIÓN ASIGNATURAS'!AB37)</f>
        <v/>
      </c>
    </row>
    <row r="35" spans="1:19" x14ac:dyDescent="0.3">
      <c r="A35" s="290" t="str">
        <f>IF('ASIGNACIÓN ASIGNATURAS'!J41="","",'ASIGNACIÓN ASIGNATURAS'!J41)</f>
        <v/>
      </c>
      <c r="B35" s="290" t="str">
        <f>IF('ASIGNACIÓN ASIGNATURAS'!K41="","",'ASIGNACIÓN ASIGNATURAS'!K41)</f>
        <v/>
      </c>
      <c r="C35" s="290" t="str">
        <f>IF('ASIGNACIÓN ASIGNATURAS'!L41="","",'ASIGNACIÓN ASIGNATURAS'!L41)</f>
        <v/>
      </c>
      <c r="D35" s="290" t="str">
        <f>IF('ASIGNACIÓN ASIGNATURAS'!M41="","",'ASIGNACIÓN ASIGNATURAS'!M41)</f>
        <v/>
      </c>
      <c r="E35" s="290" t="str">
        <f>IF('ASIGNACIÓN ASIGNATURAS'!N41="","",'ASIGNACIÓN ASIGNATURAS'!N41)</f>
        <v/>
      </c>
      <c r="F35" s="290" t="str">
        <f>IF('ASIGNACIÓN ASIGNATURAS'!O41="","",'ASIGNACIÓN ASIGNATURAS'!O41)</f>
        <v/>
      </c>
      <c r="G35" s="290" t="str">
        <f>IF('ASIGNACIÓN ASIGNATURAS'!P41="","",'ASIGNACIÓN ASIGNATURAS'!P41)</f>
        <v/>
      </c>
      <c r="H35" s="290" t="str">
        <f>IF('ASIGNACIÓN ASIGNATURAS'!T41="","",'ASIGNACIÓN ASIGNATURAS'!T41)</f>
        <v/>
      </c>
      <c r="I35" s="290" t="str">
        <f>IF('ASIGNACIÓN ASIGNATURAS'!U41="","",'ASIGNACIÓN ASIGNATURAS'!U41)</f>
        <v/>
      </c>
      <c r="J35" s="290" t="str">
        <f>IF('ASIGNACIÓN ASIGNATURAS'!V41="","",'ASIGNACIÓN ASIGNATURAS'!V41)</f>
        <v/>
      </c>
      <c r="K35" s="301" t="str">
        <f>IF('ASIGNACIÓN ASIGNATURAS'!S41="","",'ASIGNACIÓN ASIGNATURAS'!S41)</f>
        <v/>
      </c>
      <c r="L35" s="244" t="str">
        <f>IF('ASIGNACIÓN ASIGNATURAS'!Q41="","",'ASIGNACIÓN ASIGNATURAS'!Q41)</f>
        <v/>
      </c>
      <c r="M35" s="244" t="str">
        <f>IF('ASIGNACIÓN ASIGNATURAS'!R41="","",'ASIGNACIÓN ASIGNATURAS'!R41)</f>
        <v/>
      </c>
      <c r="N35" s="244" t="str">
        <f>IF('ASIGNACIÓN ASIGNATURAS'!W41="","",'ASIGNACIÓN ASIGNATURAS'!W41)</f>
        <v/>
      </c>
      <c r="O35" s="244" t="str">
        <f>IF('ASIGNACIÓN ASIGNATURAS'!X41="","",'ASIGNACIÓN ASIGNATURAS'!X41)</f>
        <v/>
      </c>
      <c r="P35" s="244" t="str">
        <f>IF('ASIGNACIÓN ASIGNATURAS'!Y41="","",'ASIGNACIÓN ASIGNATURAS'!Y41)</f>
        <v/>
      </c>
      <c r="Q35" s="244" t="str">
        <f>IF('ASIGNACIÓN ASIGNATURAS'!Z41="","",'ASIGNACIÓN ASIGNATURAS'!Z41)</f>
        <v/>
      </c>
      <c r="R35" s="244" t="str">
        <f>IF('ASIGNACIÓN ASIGNATURAS'!AA41="","",'ASIGNACIÓN ASIGNATURAS'!AA41)</f>
        <v/>
      </c>
      <c r="S35" s="244" t="str">
        <f>IF('ASIGNACIÓN ASIGNATURAS'!AB41="","",'ASIGNACIÓN ASIGNATURAS'!AB41)</f>
        <v/>
      </c>
    </row>
    <row r="36" spans="1:19" x14ac:dyDescent="0.3">
      <c r="A36" s="290" t="str">
        <f>IF('ASIGNACIÓN ASIGNATURAS'!J49="","",'ASIGNACIÓN ASIGNATURAS'!J49)</f>
        <v/>
      </c>
      <c r="B36" s="290" t="str">
        <f>IF('ASIGNACIÓN ASIGNATURAS'!K49="","",'ASIGNACIÓN ASIGNATURAS'!K49)</f>
        <v/>
      </c>
      <c r="C36" s="290" t="str">
        <f>IF('ASIGNACIÓN ASIGNATURAS'!L49="","",'ASIGNACIÓN ASIGNATURAS'!L49)</f>
        <v/>
      </c>
      <c r="D36" s="290" t="str">
        <f>IF('ASIGNACIÓN ASIGNATURAS'!M49="","",'ASIGNACIÓN ASIGNATURAS'!M49)</f>
        <v/>
      </c>
      <c r="E36" s="290" t="str">
        <f>IF('ASIGNACIÓN ASIGNATURAS'!N49="","",'ASIGNACIÓN ASIGNATURAS'!N49)</f>
        <v/>
      </c>
      <c r="F36" s="290" t="str">
        <f>IF('ASIGNACIÓN ASIGNATURAS'!O49="","",'ASIGNACIÓN ASIGNATURAS'!O49)</f>
        <v/>
      </c>
      <c r="G36" s="290" t="str">
        <f>IF('ASIGNACIÓN ASIGNATURAS'!P49="","",'ASIGNACIÓN ASIGNATURAS'!P49)</f>
        <v/>
      </c>
      <c r="H36" s="290" t="str">
        <f>IF('ASIGNACIÓN ASIGNATURAS'!T49="","",'ASIGNACIÓN ASIGNATURAS'!T49)</f>
        <v/>
      </c>
      <c r="I36" s="290" t="str">
        <f>IF('ASIGNACIÓN ASIGNATURAS'!U49="","",'ASIGNACIÓN ASIGNATURAS'!U49)</f>
        <v/>
      </c>
      <c r="J36" s="290" t="str">
        <f>IF('ASIGNACIÓN ASIGNATURAS'!V49="","",'ASIGNACIÓN ASIGNATURAS'!V49)</f>
        <v/>
      </c>
      <c r="K36" s="301" t="str">
        <f>IF('ASIGNACIÓN ASIGNATURAS'!S49="","",'ASIGNACIÓN ASIGNATURAS'!S49)</f>
        <v/>
      </c>
      <c r="L36" s="244" t="str">
        <f>IF('ASIGNACIÓN ASIGNATURAS'!Q49="","",'ASIGNACIÓN ASIGNATURAS'!Q49)</f>
        <v/>
      </c>
      <c r="M36" s="244" t="str">
        <f>IF('ASIGNACIÓN ASIGNATURAS'!R49="","",'ASIGNACIÓN ASIGNATURAS'!R49)</f>
        <v/>
      </c>
      <c r="N36" s="244" t="str">
        <f>IF('ASIGNACIÓN ASIGNATURAS'!W49="","",'ASIGNACIÓN ASIGNATURAS'!W49)</f>
        <v/>
      </c>
      <c r="O36" s="244" t="str">
        <f>IF('ASIGNACIÓN ASIGNATURAS'!X49="","",'ASIGNACIÓN ASIGNATURAS'!X49)</f>
        <v/>
      </c>
      <c r="P36" s="244" t="str">
        <f>IF('ASIGNACIÓN ASIGNATURAS'!Y49="","",'ASIGNACIÓN ASIGNATURAS'!Y49)</f>
        <v/>
      </c>
      <c r="Q36" s="244" t="str">
        <f>IF('ASIGNACIÓN ASIGNATURAS'!Z49="","",'ASIGNACIÓN ASIGNATURAS'!Z49)</f>
        <v/>
      </c>
      <c r="R36" s="244" t="str">
        <f>IF('ASIGNACIÓN ASIGNATURAS'!AA49="","",'ASIGNACIÓN ASIGNATURAS'!AA49)</f>
        <v/>
      </c>
      <c r="S36" s="244" t="str">
        <f>IF('ASIGNACIÓN ASIGNATURAS'!AB49="","",'ASIGNACIÓN ASIGNATURAS'!AB49)</f>
        <v/>
      </c>
    </row>
    <row r="37" spans="1:19" x14ac:dyDescent="0.3">
      <c r="A37" s="290" t="str">
        <f>IF('ASIGNACIÓN ASIGNATURAS'!J53="","",'ASIGNACIÓN ASIGNATURAS'!J53)</f>
        <v/>
      </c>
      <c r="B37" s="290" t="str">
        <f>IF('ASIGNACIÓN ASIGNATURAS'!K53="","",'ASIGNACIÓN ASIGNATURAS'!K53)</f>
        <v/>
      </c>
      <c r="C37" s="290" t="str">
        <f>IF('ASIGNACIÓN ASIGNATURAS'!L53="","",'ASIGNACIÓN ASIGNATURAS'!L53)</f>
        <v/>
      </c>
      <c r="D37" s="290" t="str">
        <f>IF('ASIGNACIÓN ASIGNATURAS'!M53="","",'ASIGNACIÓN ASIGNATURAS'!M53)</f>
        <v/>
      </c>
      <c r="E37" s="290" t="str">
        <f>IF('ASIGNACIÓN ASIGNATURAS'!N53="","",'ASIGNACIÓN ASIGNATURAS'!N53)</f>
        <v/>
      </c>
      <c r="F37" s="290" t="str">
        <f>IF('ASIGNACIÓN ASIGNATURAS'!O53="","",'ASIGNACIÓN ASIGNATURAS'!O53)</f>
        <v/>
      </c>
      <c r="G37" s="290" t="str">
        <f>IF('ASIGNACIÓN ASIGNATURAS'!P53="","",'ASIGNACIÓN ASIGNATURAS'!P53)</f>
        <v/>
      </c>
      <c r="H37" s="290" t="str">
        <f>IF('ASIGNACIÓN ASIGNATURAS'!T53="","",'ASIGNACIÓN ASIGNATURAS'!T53)</f>
        <v/>
      </c>
      <c r="I37" s="290" t="str">
        <f>IF('ASIGNACIÓN ASIGNATURAS'!U53="","",'ASIGNACIÓN ASIGNATURAS'!U53)</f>
        <v/>
      </c>
      <c r="J37" s="290" t="str">
        <f>IF('ASIGNACIÓN ASIGNATURAS'!V53="","",'ASIGNACIÓN ASIGNATURAS'!V53)</f>
        <v/>
      </c>
      <c r="K37" s="301" t="str">
        <f>IF('ASIGNACIÓN ASIGNATURAS'!S53="","",'ASIGNACIÓN ASIGNATURAS'!S53)</f>
        <v/>
      </c>
      <c r="L37" s="244" t="str">
        <f>IF('ASIGNACIÓN ASIGNATURAS'!Q53="","",'ASIGNACIÓN ASIGNATURAS'!Q53)</f>
        <v/>
      </c>
      <c r="M37" s="244" t="str">
        <f>IF('ASIGNACIÓN ASIGNATURAS'!R53="","",'ASIGNACIÓN ASIGNATURAS'!R53)</f>
        <v/>
      </c>
      <c r="N37" s="244" t="str">
        <f>IF('ASIGNACIÓN ASIGNATURAS'!W53="","",'ASIGNACIÓN ASIGNATURAS'!W53)</f>
        <v/>
      </c>
      <c r="O37" s="244" t="str">
        <f>IF('ASIGNACIÓN ASIGNATURAS'!X53="","",'ASIGNACIÓN ASIGNATURAS'!X53)</f>
        <v/>
      </c>
      <c r="P37" s="244" t="str">
        <f>IF('ASIGNACIÓN ASIGNATURAS'!Y53="","",'ASIGNACIÓN ASIGNATURAS'!Y53)</f>
        <v/>
      </c>
      <c r="Q37" s="244" t="str">
        <f>IF('ASIGNACIÓN ASIGNATURAS'!Z53="","",'ASIGNACIÓN ASIGNATURAS'!Z53)</f>
        <v/>
      </c>
      <c r="R37" s="244" t="str">
        <f>IF('ASIGNACIÓN ASIGNATURAS'!AA53="","",'ASIGNACIÓN ASIGNATURAS'!AA53)</f>
        <v/>
      </c>
      <c r="S37" s="244" t="str">
        <f>IF('ASIGNACIÓN ASIGNATURAS'!AB53="","",'ASIGNACIÓN ASIGNATURAS'!AB53)</f>
        <v/>
      </c>
    </row>
    <row r="38" spans="1:19" x14ac:dyDescent="0.3">
      <c r="A38" s="290" t="str">
        <f>IF('ASIGNACIÓN ASIGNATURAS'!J57="","",'ASIGNACIÓN ASIGNATURAS'!J57)</f>
        <v/>
      </c>
      <c r="B38" s="290" t="str">
        <f>IF('ASIGNACIÓN ASIGNATURAS'!K57="","",'ASIGNACIÓN ASIGNATURAS'!K57)</f>
        <v/>
      </c>
      <c r="C38" s="290" t="str">
        <f>IF('ASIGNACIÓN ASIGNATURAS'!L57="","",'ASIGNACIÓN ASIGNATURAS'!L57)</f>
        <v/>
      </c>
      <c r="D38" s="290" t="str">
        <f>IF('ASIGNACIÓN ASIGNATURAS'!M57="","",'ASIGNACIÓN ASIGNATURAS'!M57)</f>
        <v/>
      </c>
      <c r="E38" s="290" t="str">
        <f>IF('ASIGNACIÓN ASIGNATURAS'!N57="","",'ASIGNACIÓN ASIGNATURAS'!N57)</f>
        <v/>
      </c>
      <c r="F38" s="290" t="str">
        <f>IF('ASIGNACIÓN ASIGNATURAS'!O57="","",'ASIGNACIÓN ASIGNATURAS'!O57)</f>
        <v/>
      </c>
      <c r="G38" s="290" t="str">
        <f>IF('ASIGNACIÓN ASIGNATURAS'!P57="","",'ASIGNACIÓN ASIGNATURAS'!P57)</f>
        <v/>
      </c>
      <c r="H38" s="290" t="str">
        <f>IF('ASIGNACIÓN ASIGNATURAS'!T57="","",'ASIGNACIÓN ASIGNATURAS'!T57)</f>
        <v/>
      </c>
      <c r="I38" s="290" t="str">
        <f>IF('ASIGNACIÓN ASIGNATURAS'!U57="","",'ASIGNACIÓN ASIGNATURAS'!U57)</f>
        <v/>
      </c>
      <c r="J38" s="290" t="str">
        <f>IF('ASIGNACIÓN ASIGNATURAS'!V57="","",'ASIGNACIÓN ASIGNATURAS'!V57)</f>
        <v/>
      </c>
      <c r="K38" s="301" t="str">
        <f>IF('ASIGNACIÓN ASIGNATURAS'!S57="","",'ASIGNACIÓN ASIGNATURAS'!S57)</f>
        <v/>
      </c>
      <c r="L38" s="244" t="str">
        <f>IF('ASIGNACIÓN ASIGNATURAS'!Q57="","",'ASIGNACIÓN ASIGNATURAS'!Q57)</f>
        <v/>
      </c>
      <c r="M38" s="244" t="str">
        <f>IF('ASIGNACIÓN ASIGNATURAS'!R57="","",'ASIGNACIÓN ASIGNATURAS'!R57)</f>
        <v/>
      </c>
      <c r="N38" s="244" t="str">
        <f>IF('ASIGNACIÓN ASIGNATURAS'!W57="","",'ASIGNACIÓN ASIGNATURAS'!W57)</f>
        <v/>
      </c>
      <c r="O38" s="244" t="str">
        <f>IF('ASIGNACIÓN ASIGNATURAS'!X57="","",'ASIGNACIÓN ASIGNATURAS'!X57)</f>
        <v/>
      </c>
      <c r="P38" s="244" t="str">
        <f>IF('ASIGNACIÓN ASIGNATURAS'!Y57="","",'ASIGNACIÓN ASIGNATURAS'!Y57)</f>
        <v/>
      </c>
      <c r="Q38" s="244" t="str">
        <f>IF('ASIGNACIÓN ASIGNATURAS'!Z57="","",'ASIGNACIÓN ASIGNATURAS'!Z57)</f>
        <v/>
      </c>
      <c r="R38" s="244" t="str">
        <f>IF('ASIGNACIÓN ASIGNATURAS'!AA57="","",'ASIGNACIÓN ASIGNATURAS'!AA57)</f>
        <v/>
      </c>
      <c r="S38" s="244" t="str">
        <f>IF('ASIGNACIÓN ASIGNATURAS'!AB57="","",'ASIGNACIÓN ASIGNATURAS'!AB57)</f>
        <v/>
      </c>
    </row>
    <row r="39" spans="1:19" x14ac:dyDescent="0.3">
      <c r="A39" s="290" t="str">
        <f>IF('ASIGNACIÓN ASIGNATURAS'!J73="","",'ASIGNACIÓN ASIGNATURAS'!J73)</f>
        <v/>
      </c>
      <c r="B39" s="290" t="str">
        <f>IF('ASIGNACIÓN ASIGNATURAS'!K73="","",'ASIGNACIÓN ASIGNATURAS'!K73)</f>
        <v/>
      </c>
      <c r="C39" s="290" t="str">
        <f>IF('ASIGNACIÓN ASIGNATURAS'!L73="","",'ASIGNACIÓN ASIGNATURAS'!L73)</f>
        <v/>
      </c>
      <c r="D39" s="290" t="str">
        <f>IF('ASIGNACIÓN ASIGNATURAS'!M73="","",'ASIGNACIÓN ASIGNATURAS'!M73)</f>
        <v/>
      </c>
      <c r="E39" s="290" t="str">
        <f>IF('ASIGNACIÓN ASIGNATURAS'!N73="","",'ASIGNACIÓN ASIGNATURAS'!N73)</f>
        <v/>
      </c>
      <c r="F39" s="290" t="str">
        <f>IF('ASIGNACIÓN ASIGNATURAS'!O73="","",'ASIGNACIÓN ASIGNATURAS'!O73)</f>
        <v/>
      </c>
      <c r="G39" s="290" t="str">
        <f>IF('ASIGNACIÓN ASIGNATURAS'!P73="","",'ASIGNACIÓN ASIGNATURAS'!P73)</f>
        <v/>
      </c>
      <c r="H39" s="290" t="str">
        <f>IF('ASIGNACIÓN ASIGNATURAS'!T73="","",'ASIGNACIÓN ASIGNATURAS'!T73)</f>
        <v/>
      </c>
      <c r="I39" s="290" t="str">
        <f>IF('ASIGNACIÓN ASIGNATURAS'!U73="","",'ASIGNACIÓN ASIGNATURAS'!U73)</f>
        <v/>
      </c>
      <c r="J39" s="290" t="str">
        <f>IF('ASIGNACIÓN ASIGNATURAS'!V73="","",'ASIGNACIÓN ASIGNATURAS'!V73)</f>
        <v/>
      </c>
      <c r="K39" s="301" t="str">
        <f>IF('ASIGNACIÓN ASIGNATURAS'!S73="","",'ASIGNACIÓN ASIGNATURAS'!S73)</f>
        <v/>
      </c>
      <c r="L39" s="244" t="str">
        <f>IF('ASIGNACIÓN ASIGNATURAS'!Q73="","",'ASIGNACIÓN ASIGNATURAS'!Q73)</f>
        <v/>
      </c>
      <c r="M39" s="244" t="str">
        <f>IF('ASIGNACIÓN ASIGNATURAS'!R73="","",'ASIGNACIÓN ASIGNATURAS'!R73)</f>
        <v/>
      </c>
      <c r="N39" s="244" t="str">
        <f>IF('ASIGNACIÓN ASIGNATURAS'!W73="","",'ASIGNACIÓN ASIGNATURAS'!W73)</f>
        <v/>
      </c>
      <c r="O39" s="244" t="str">
        <f>IF('ASIGNACIÓN ASIGNATURAS'!X73="","",'ASIGNACIÓN ASIGNATURAS'!X73)</f>
        <v/>
      </c>
      <c r="P39" s="244" t="str">
        <f>IF('ASIGNACIÓN ASIGNATURAS'!Y73="","",'ASIGNACIÓN ASIGNATURAS'!Y73)</f>
        <v/>
      </c>
      <c r="Q39" s="244" t="str">
        <f>IF('ASIGNACIÓN ASIGNATURAS'!Z73="","",'ASIGNACIÓN ASIGNATURAS'!Z73)</f>
        <v/>
      </c>
      <c r="R39" s="244" t="str">
        <f>IF('ASIGNACIÓN ASIGNATURAS'!AA73="","",'ASIGNACIÓN ASIGNATURAS'!AA73)</f>
        <v/>
      </c>
      <c r="S39" s="244" t="str">
        <f>IF('ASIGNACIÓN ASIGNATURAS'!AB73="","",'ASIGNACIÓN ASIGNATURAS'!AB73)</f>
        <v/>
      </c>
    </row>
    <row r="40" spans="1:19" x14ac:dyDescent="0.3">
      <c r="A40" s="290" t="str">
        <f>IF('ASIGNACIÓN ASIGNATURAS'!J77="","",'ASIGNACIÓN ASIGNATURAS'!J77)</f>
        <v/>
      </c>
      <c r="B40" s="290" t="str">
        <f>IF('ASIGNACIÓN ASIGNATURAS'!K77="","",'ASIGNACIÓN ASIGNATURAS'!K77)</f>
        <v/>
      </c>
      <c r="C40" s="290" t="str">
        <f>IF('ASIGNACIÓN ASIGNATURAS'!L77="","",'ASIGNACIÓN ASIGNATURAS'!L77)</f>
        <v/>
      </c>
      <c r="D40" s="290" t="str">
        <f>IF('ASIGNACIÓN ASIGNATURAS'!M77="","",'ASIGNACIÓN ASIGNATURAS'!M77)</f>
        <v/>
      </c>
      <c r="E40" s="290" t="str">
        <f>IF('ASIGNACIÓN ASIGNATURAS'!N77="","",'ASIGNACIÓN ASIGNATURAS'!N77)</f>
        <v/>
      </c>
      <c r="F40" s="290" t="str">
        <f>IF('ASIGNACIÓN ASIGNATURAS'!O77="","",'ASIGNACIÓN ASIGNATURAS'!O77)</f>
        <v/>
      </c>
      <c r="G40" s="290" t="str">
        <f>IF('ASIGNACIÓN ASIGNATURAS'!P77="","",'ASIGNACIÓN ASIGNATURAS'!P77)</f>
        <v/>
      </c>
      <c r="H40" s="290" t="str">
        <f>IF('ASIGNACIÓN ASIGNATURAS'!T77="","",'ASIGNACIÓN ASIGNATURAS'!T77)</f>
        <v/>
      </c>
      <c r="I40" s="290" t="str">
        <f>IF('ASIGNACIÓN ASIGNATURAS'!U77="","",'ASIGNACIÓN ASIGNATURAS'!U77)</f>
        <v/>
      </c>
      <c r="J40" s="290" t="str">
        <f>IF('ASIGNACIÓN ASIGNATURAS'!V77="","",'ASIGNACIÓN ASIGNATURAS'!V77)</f>
        <v/>
      </c>
      <c r="K40" s="301" t="str">
        <f>IF('ASIGNACIÓN ASIGNATURAS'!S77="","",'ASIGNACIÓN ASIGNATURAS'!S77)</f>
        <v/>
      </c>
      <c r="L40" s="244" t="str">
        <f>IF('ASIGNACIÓN ASIGNATURAS'!Q77="","",'ASIGNACIÓN ASIGNATURAS'!Q77)</f>
        <v/>
      </c>
      <c r="M40" s="244" t="str">
        <f>IF('ASIGNACIÓN ASIGNATURAS'!R77="","",'ASIGNACIÓN ASIGNATURAS'!R77)</f>
        <v/>
      </c>
      <c r="N40" s="244" t="str">
        <f>IF('ASIGNACIÓN ASIGNATURAS'!W77="","",'ASIGNACIÓN ASIGNATURAS'!W77)</f>
        <v/>
      </c>
      <c r="O40" s="244" t="str">
        <f>IF('ASIGNACIÓN ASIGNATURAS'!X77="","",'ASIGNACIÓN ASIGNATURAS'!X77)</f>
        <v/>
      </c>
      <c r="P40" s="244" t="str">
        <f>IF('ASIGNACIÓN ASIGNATURAS'!Y77="","",'ASIGNACIÓN ASIGNATURAS'!Y77)</f>
        <v/>
      </c>
      <c r="Q40" s="244" t="str">
        <f>IF('ASIGNACIÓN ASIGNATURAS'!Z77="","",'ASIGNACIÓN ASIGNATURAS'!Z77)</f>
        <v/>
      </c>
      <c r="R40" s="244" t="str">
        <f>IF('ASIGNACIÓN ASIGNATURAS'!AA77="","",'ASIGNACIÓN ASIGNATURAS'!AA77)</f>
        <v/>
      </c>
      <c r="S40" s="244" t="str">
        <f>IF('ASIGNACIÓN ASIGNATURAS'!AB77="","",'ASIGNACIÓN ASIGNATURAS'!AB77)</f>
        <v/>
      </c>
    </row>
    <row r="41" spans="1:19" x14ac:dyDescent="0.3">
      <c r="A41" s="290" t="str">
        <f>IF('ASIGNACIÓN ASIGNATURAS'!J97="","",'ASIGNACIÓN ASIGNATURAS'!J97)</f>
        <v/>
      </c>
      <c r="B41" s="290" t="str">
        <f>IF('ASIGNACIÓN ASIGNATURAS'!K97="","",'ASIGNACIÓN ASIGNATURAS'!K97)</f>
        <v/>
      </c>
      <c r="C41" s="290" t="str">
        <f>IF('ASIGNACIÓN ASIGNATURAS'!L97="","",'ASIGNACIÓN ASIGNATURAS'!L97)</f>
        <v/>
      </c>
      <c r="D41" s="290" t="str">
        <f>IF('ASIGNACIÓN ASIGNATURAS'!M97="","",'ASIGNACIÓN ASIGNATURAS'!M97)</f>
        <v/>
      </c>
      <c r="E41" s="290" t="str">
        <f>IF('ASIGNACIÓN ASIGNATURAS'!N97="","",'ASIGNACIÓN ASIGNATURAS'!N97)</f>
        <v/>
      </c>
      <c r="F41" s="290" t="str">
        <f>IF('ASIGNACIÓN ASIGNATURAS'!O97="","",'ASIGNACIÓN ASIGNATURAS'!O97)</f>
        <v/>
      </c>
      <c r="G41" s="290" t="str">
        <f>IF('ASIGNACIÓN ASIGNATURAS'!P97="","",'ASIGNACIÓN ASIGNATURAS'!P97)</f>
        <v/>
      </c>
      <c r="H41" s="290" t="str">
        <f>IF('ASIGNACIÓN ASIGNATURAS'!T97="","",'ASIGNACIÓN ASIGNATURAS'!T97)</f>
        <v/>
      </c>
      <c r="I41" s="290" t="str">
        <f>IF('ASIGNACIÓN ASIGNATURAS'!U97="","",'ASIGNACIÓN ASIGNATURAS'!U97)</f>
        <v/>
      </c>
      <c r="J41" s="290" t="str">
        <f>IF('ASIGNACIÓN ASIGNATURAS'!V97="","",'ASIGNACIÓN ASIGNATURAS'!V97)</f>
        <v/>
      </c>
      <c r="K41" s="301" t="str">
        <f>IF('ASIGNACIÓN ASIGNATURAS'!S97="","",'ASIGNACIÓN ASIGNATURAS'!S97)</f>
        <v/>
      </c>
      <c r="L41" s="244" t="str">
        <f>IF('ASIGNACIÓN ASIGNATURAS'!Q97="","",'ASIGNACIÓN ASIGNATURAS'!Q97)</f>
        <v/>
      </c>
      <c r="M41" s="244" t="str">
        <f>IF('ASIGNACIÓN ASIGNATURAS'!R97="","",'ASIGNACIÓN ASIGNATURAS'!R97)</f>
        <v/>
      </c>
      <c r="N41" s="244" t="str">
        <f>IF('ASIGNACIÓN ASIGNATURAS'!W97="","",'ASIGNACIÓN ASIGNATURAS'!W97)</f>
        <v/>
      </c>
      <c r="O41" s="244" t="str">
        <f>IF('ASIGNACIÓN ASIGNATURAS'!X97="","",'ASIGNACIÓN ASIGNATURAS'!X97)</f>
        <v/>
      </c>
      <c r="P41" s="244" t="str">
        <f>IF('ASIGNACIÓN ASIGNATURAS'!Y97="","",'ASIGNACIÓN ASIGNATURAS'!Y97)</f>
        <v/>
      </c>
      <c r="Q41" s="244" t="str">
        <f>IF('ASIGNACIÓN ASIGNATURAS'!Z97="","",'ASIGNACIÓN ASIGNATURAS'!Z97)</f>
        <v/>
      </c>
      <c r="R41" s="244" t="str">
        <f>IF('ASIGNACIÓN ASIGNATURAS'!AA97="","",'ASIGNACIÓN ASIGNATURAS'!AA97)</f>
        <v/>
      </c>
      <c r="S41" s="244" t="str">
        <f>IF('ASIGNACIÓN ASIGNATURAS'!AB97="","",'ASIGNACIÓN ASIGNATURAS'!AB97)</f>
        <v/>
      </c>
    </row>
    <row r="42" spans="1:19" x14ac:dyDescent="0.3">
      <c r="A42" s="290" t="str">
        <f>IF('ASIGNACIÓN ASIGNATURAS'!J117="","",'ASIGNACIÓN ASIGNATURAS'!J117)</f>
        <v/>
      </c>
      <c r="B42" s="290" t="str">
        <f>IF('ASIGNACIÓN ASIGNATURAS'!K117="","",'ASIGNACIÓN ASIGNATURAS'!K117)</f>
        <v/>
      </c>
      <c r="C42" s="290" t="str">
        <f>IF('ASIGNACIÓN ASIGNATURAS'!L117="","",'ASIGNACIÓN ASIGNATURAS'!L117)</f>
        <v/>
      </c>
      <c r="D42" s="290" t="str">
        <f>IF('ASIGNACIÓN ASIGNATURAS'!M117="","",'ASIGNACIÓN ASIGNATURAS'!M117)</f>
        <v/>
      </c>
      <c r="E42" s="290" t="str">
        <f>IF('ASIGNACIÓN ASIGNATURAS'!N117="","",'ASIGNACIÓN ASIGNATURAS'!N117)</f>
        <v/>
      </c>
      <c r="F42" s="290" t="str">
        <f>IF('ASIGNACIÓN ASIGNATURAS'!O117="","",'ASIGNACIÓN ASIGNATURAS'!O117)</f>
        <v/>
      </c>
      <c r="G42" s="290" t="str">
        <f>IF('ASIGNACIÓN ASIGNATURAS'!P117="","",'ASIGNACIÓN ASIGNATURAS'!P117)</f>
        <v/>
      </c>
      <c r="H42" s="290" t="str">
        <f>IF('ASIGNACIÓN ASIGNATURAS'!T117="","",'ASIGNACIÓN ASIGNATURAS'!T117)</f>
        <v/>
      </c>
      <c r="I42" s="290" t="str">
        <f>IF('ASIGNACIÓN ASIGNATURAS'!U117="","",'ASIGNACIÓN ASIGNATURAS'!U117)</f>
        <v/>
      </c>
      <c r="J42" s="290" t="str">
        <f>IF('ASIGNACIÓN ASIGNATURAS'!V117="","",'ASIGNACIÓN ASIGNATURAS'!V117)</f>
        <v/>
      </c>
      <c r="K42" s="301" t="str">
        <f>IF('ASIGNACIÓN ASIGNATURAS'!S117="","",'ASIGNACIÓN ASIGNATURAS'!S117)</f>
        <v/>
      </c>
      <c r="L42" s="244" t="str">
        <f>IF('ASIGNACIÓN ASIGNATURAS'!Q117="","",'ASIGNACIÓN ASIGNATURAS'!Q117)</f>
        <v/>
      </c>
      <c r="M42" s="244" t="str">
        <f>IF('ASIGNACIÓN ASIGNATURAS'!R117="","",'ASIGNACIÓN ASIGNATURAS'!R117)</f>
        <v/>
      </c>
      <c r="N42" s="244" t="str">
        <f>IF('ASIGNACIÓN ASIGNATURAS'!W117="","",'ASIGNACIÓN ASIGNATURAS'!W117)</f>
        <v/>
      </c>
      <c r="O42" s="244" t="str">
        <f>IF('ASIGNACIÓN ASIGNATURAS'!X117="","",'ASIGNACIÓN ASIGNATURAS'!X117)</f>
        <v/>
      </c>
      <c r="P42" s="244" t="str">
        <f>IF('ASIGNACIÓN ASIGNATURAS'!Y117="","",'ASIGNACIÓN ASIGNATURAS'!Y117)</f>
        <v/>
      </c>
      <c r="Q42" s="244" t="str">
        <f>IF('ASIGNACIÓN ASIGNATURAS'!Z117="","",'ASIGNACIÓN ASIGNATURAS'!Z117)</f>
        <v/>
      </c>
      <c r="R42" s="244" t="str">
        <f>IF('ASIGNACIÓN ASIGNATURAS'!AA117="","",'ASIGNACIÓN ASIGNATURAS'!AA117)</f>
        <v/>
      </c>
      <c r="S42" s="244" t="str">
        <f>IF('ASIGNACIÓN ASIGNATURAS'!AB117="","",'ASIGNACIÓN ASIGNATURAS'!AB117)</f>
        <v/>
      </c>
    </row>
    <row r="43" spans="1:19" x14ac:dyDescent="0.3">
      <c r="A43" s="290" t="str">
        <f>IF('ASIGNACIÓN ASIGNATURAS'!J121="","",'ASIGNACIÓN ASIGNATURAS'!J121)</f>
        <v/>
      </c>
      <c r="B43" s="290" t="str">
        <f>IF('ASIGNACIÓN ASIGNATURAS'!K121="","",'ASIGNACIÓN ASIGNATURAS'!K121)</f>
        <v/>
      </c>
      <c r="C43" s="290" t="str">
        <f>IF('ASIGNACIÓN ASIGNATURAS'!L121="","",'ASIGNACIÓN ASIGNATURAS'!L121)</f>
        <v/>
      </c>
      <c r="D43" s="290" t="str">
        <f>IF('ASIGNACIÓN ASIGNATURAS'!M121="","",'ASIGNACIÓN ASIGNATURAS'!M121)</f>
        <v/>
      </c>
      <c r="E43" s="290" t="str">
        <f>IF('ASIGNACIÓN ASIGNATURAS'!N121="","",'ASIGNACIÓN ASIGNATURAS'!N121)</f>
        <v/>
      </c>
      <c r="F43" s="290" t="str">
        <f>IF('ASIGNACIÓN ASIGNATURAS'!O121="","",'ASIGNACIÓN ASIGNATURAS'!O121)</f>
        <v/>
      </c>
      <c r="G43" s="290" t="str">
        <f>IF('ASIGNACIÓN ASIGNATURAS'!P121="","",'ASIGNACIÓN ASIGNATURAS'!P121)</f>
        <v/>
      </c>
      <c r="H43" s="290" t="str">
        <f>IF('ASIGNACIÓN ASIGNATURAS'!T121="","",'ASIGNACIÓN ASIGNATURAS'!T121)</f>
        <v/>
      </c>
      <c r="I43" s="290" t="str">
        <f>IF('ASIGNACIÓN ASIGNATURAS'!U121="","",'ASIGNACIÓN ASIGNATURAS'!U121)</f>
        <v/>
      </c>
      <c r="J43" s="290" t="str">
        <f>IF('ASIGNACIÓN ASIGNATURAS'!V121="","",'ASIGNACIÓN ASIGNATURAS'!V121)</f>
        <v/>
      </c>
      <c r="K43" s="301" t="str">
        <f>IF('ASIGNACIÓN ASIGNATURAS'!S121="","",'ASIGNACIÓN ASIGNATURAS'!S121)</f>
        <v/>
      </c>
      <c r="L43" s="244" t="str">
        <f>IF('ASIGNACIÓN ASIGNATURAS'!Q121="","",'ASIGNACIÓN ASIGNATURAS'!Q121)</f>
        <v/>
      </c>
      <c r="M43" s="244" t="str">
        <f>IF('ASIGNACIÓN ASIGNATURAS'!R121="","",'ASIGNACIÓN ASIGNATURAS'!R121)</f>
        <v/>
      </c>
      <c r="N43" s="244" t="str">
        <f>IF('ASIGNACIÓN ASIGNATURAS'!W121="","",'ASIGNACIÓN ASIGNATURAS'!W121)</f>
        <v/>
      </c>
      <c r="O43" s="244" t="str">
        <f>IF('ASIGNACIÓN ASIGNATURAS'!X121="","",'ASIGNACIÓN ASIGNATURAS'!X121)</f>
        <v/>
      </c>
      <c r="P43" s="244" t="str">
        <f>IF('ASIGNACIÓN ASIGNATURAS'!Y121="","",'ASIGNACIÓN ASIGNATURAS'!Y121)</f>
        <v/>
      </c>
      <c r="Q43" s="244" t="str">
        <f>IF('ASIGNACIÓN ASIGNATURAS'!Z121="","",'ASIGNACIÓN ASIGNATURAS'!Z121)</f>
        <v/>
      </c>
      <c r="R43" s="244" t="str">
        <f>IF('ASIGNACIÓN ASIGNATURAS'!AA121="","",'ASIGNACIÓN ASIGNATURAS'!AA121)</f>
        <v/>
      </c>
      <c r="S43" s="244" t="str">
        <f>IF('ASIGNACIÓN ASIGNATURAS'!AB121="","",'ASIGNACIÓN ASIGNATURAS'!AB121)</f>
        <v/>
      </c>
    </row>
    <row r="44" spans="1:19" x14ac:dyDescent="0.3">
      <c r="A44" s="290" t="str">
        <f>IF('ASIGNACIÓN ASIGNATURAS'!J125="","",'ASIGNACIÓN ASIGNATURAS'!J125)</f>
        <v/>
      </c>
      <c r="B44" s="290" t="str">
        <f>IF('ASIGNACIÓN ASIGNATURAS'!K125="","",'ASIGNACIÓN ASIGNATURAS'!K125)</f>
        <v/>
      </c>
      <c r="C44" s="290" t="str">
        <f>IF('ASIGNACIÓN ASIGNATURAS'!L125="","",'ASIGNACIÓN ASIGNATURAS'!L125)</f>
        <v/>
      </c>
      <c r="D44" s="290" t="str">
        <f>IF('ASIGNACIÓN ASIGNATURAS'!M125="","",'ASIGNACIÓN ASIGNATURAS'!M125)</f>
        <v/>
      </c>
      <c r="E44" s="290" t="str">
        <f>IF('ASIGNACIÓN ASIGNATURAS'!N125="","",'ASIGNACIÓN ASIGNATURAS'!N125)</f>
        <v/>
      </c>
      <c r="F44" s="290" t="str">
        <f>IF('ASIGNACIÓN ASIGNATURAS'!O125="","",'ASIGNACIÓN ASIGNATURAS'!O125)</f>
        <v/>
      </c>
      <c r="G44" s="290" t="str">
        <f>IF('ASIGNACIÓN ASIGNATURAS'!P125="","",'ASIGNACIÓN ASIGNATURAS'!P125)</f>
        <v/>
      </c>
      <c r="H44" s="290" t="str">
        <f>IF('ASIGNACIÓN ASIGNATURAS'!T125="","",'ASIGNACIÓN ASIGNATURAS'!T125)</f>
        <v/>
      </c>
      <c r="I44" s="290" t="str">
        <f>IF('ASIGNACIÓN ASIGNATURAS'!U125="","",'ASIGNACIÓN ASIGNATURAS'!U125)</f>
        <v/>
      </c>
      <c r="J44" s="290" t="str">
        <f>IF('ASIGNACIÓN ASIGNATURAS'!V125="","",'ASIGNACIÓN ASIGNATURAS'!V125)</f>
        <v/>
      </c>
      <c r="K44" s="301" t="str">
        <f>IF('ASIGNACIÓN ASIGNATURAS'!S125="","",'ASIGNACIÓN ASIGNATURAS'!S125)</f>
        <v/>
      </c>
      <c r="L44" s="244" t="str">
        <f>IF('ASIGNACIÓN ASIGNATURAS'!Q125="","",'ASIGNACIÓN ASIGNATURAS'!Q125)</f>
        <v/>
      </c>
      <c r="M44" s="244" t="str">
        <f>IF('ASIGNACIÓN ASIGNATURAS'!R125="","",'ASIGNACIÓN ASIGNATURAS'!R125)</f>
        <v/>
      </c>
      <c r="N44" s="244" t="str">
        <f>IF('ASIGNACIÓN ASIGNATURAS'!W125="","",'ASIGNACIÓN ASIGNATURAS'!W125)</f>
        <v/>
      </c>
      <c r="O44" s="244" t="str">
        <f>IF('ASIGNACIÓN ASIGNATURAS'!X125="","",'ASIGNACIÓN ASIGNATURAS'!X125)</f>
        <v/>
      </c>
      <c r="P44" s="244" t="str">
        <f>IF('ASIGNACIÓN ASIGNATURAS'!Y125="","",'ASIGNACIÓN ASIGNATURAS'!Y125)</f>
        <v/>
      </c>
      <c r="Q44" s="244" t="str">
        <f>IF('ASIGNACIÓN ASIGNATURAS'!Z125="","",'ASIGNACIÓN ASIGNATURAS'!Z125)</f>
        <v/>
      </c>
      <c r="R44" s="244" t="str">
        <f>IF('ASIGNACIÓN ASIGNATURAS'!AA125="","",'ASIGNACIÓN ASIGNATURAS'!AA125)</f>
        <v/>
      </c>
      <c r="S44" s="244" t="str">
        <f>IF('ASIGNACIÓN ASIGNATURAS'!AB125="","",'ASIGNACIÓN ASIGNATURAS'!AB125)</f>
        <v/>
      </c>
    </row>
    <row r="45" spans="1:19" x14ac:dyDescent="0.3">
      <c r="A45" s="290" t="str">
        <f>IF('ASIGNACIÓN ASIGNATURAS'!J129="","",'ASIGNACIÓN ASIGNATURAS'!J129)</f>
        <v/>
      </c>
      <c r="B45" s="290" t="str">
        <f>IF('ASIGNACIÓN ASIGNATURAS'!K129="","",'ASIGNACIÓN ASIGNATURAS'!K129)</f>
        <v/>
      </c>
      <c r="C45" s="290" t="str">
        <f>IF('ASIGNACIÓN ASIGNATURAS'!L129="","",'ASIGNACIÓN ASIGNATURAS'!L129)</f>
        <v/>
      </c>
      <c r="D45" s="290" t="str">
        <f>IF('ASIGNACIÓN ASIGNATURAS'!M129="","",'ASIGNACIÓN ASIGNATURAS'!M129)</f>
        <v/>
      </c>
      <c r="E45" s="290" t="str">
        <f>IF('ASIGNACIÓN ASIGNATURAS'!N129="","",'ASIGNACIÓN ASIGNATURAS'!N129)</f>
        <v/>
      </c>
      <c r="F45" s="290" t="str">
        <f>IF('ASIGNACIÓN ASIGNATURAS'!O129="","",'ASIGNACIÓN ASIGNATURAS'!O129)</f>
        <v/>
      </c>
      <c r="G45" s="290" t="str">
        <f>IF('ASIGNACIÓN ASIGNATURAS'!P129="","",'ASIGNACIÓN ASIGNATURAS'!P129)</f>
        <v/>
      </c>
      <c r="H45" s="290" t="str">
        <f>IF('ASIGNACIÓN ASIGNATURAS'!T129="","",'ASIGNACIÓN ASIGNATURAS'!T129)</f>
        <v/>
      </c>
      <c r="I45" s="290" t="str">
        <f>IF('ASIGNACIÓN ASIGNATURAS'!U129="","",'ASIGNACIÓN ASIGNATURAS'!U129)</f>
        <v/>
      </c>
      <c r="J45" s="290" t="str">
        <f>IF('ASIGNACIÓN ASIGNATURAS'!V129="","",'ASIGNACIÓN ASIGNATURAS'!V129)</f>
        <v/>
      </c>
      <c r="K45" s="301" t="str">
        <f>IF('ASIGNACIÓN ASIGNATURAS'!S129="","",'ASIGNACIÓN ASIGNATURAS'!S129)</f>
        <v/>
      </c>
      <c r="L45" s="244" t="str">
        <f>IF('ASIGNACIÓN ASIGNATURAS'!Q129="","",'ASIGNACIÓN ASIGNATURAS'!Q129)</f>
        <v/>
      </c>
      <c r="M45" s="244" t="str">
        <f>IF('ASIGNACIÓN ASIGNATURAS'!R129="","",'ASIGNACIÓN ASIGNATURAS'!R129)</f>
        <v/>
      </c>
      <c r="N45" s="244" t="str">
        <f>IF('ASIGNACIÓN ASIGNATURAS'!W129="","",'ASIGNACIÓN ASIGNATURAS'!W129)</f>
        <v/>
      </c>
      <c r="O45" s="244" t="str">
        <f>IF('ASIGNACIÓN ASIGNATURAS'!X129="","",'ASIGNACIÓN ASIGNATURAS'!X129)</f>
        <v/>
      </c>
      <c r="P45" s="244" t="str">
        <f>IF('ASIGNACIÓN ASIGNATURAS'!Y129="","",'ASIGNACIÓN ASIGNATURAS'!Y129)</f>
        <v/>
      </c>
      <c r="Q45" s="244" t="str">
        <f>IF('ASIGNACIÓN ASIGNATURAS'!Z129="","",'ASIGNACIÓN ASIGNATURAS'!Z129)</f>
        <v/>
      </c>
      <c r="R45" s="244" t="str">
        <f>IF('ASIGNACIÓN ASIGNATURAS'!AA129="","",'ASIGNACIÓN ASIGNATURAS'!AA129)</f>
        <v/>
      </c>
      <c r="S45" s="244" t="str">
        <f>IF('ASIGNACIÓN ASIGNATURAS'!AB129="","",'ASIGNACIÓN ASIGNATURAS'!AB129)</f>
        <v/>
      </c>
    </row>
    <row r="46" spans="1:19" x14ac:dyDescent="0.3">
      <c r="A46" s="290" t="str">
        <f>IF('ASIGNACIÓN ASIGNATURAS'!J133="","",'ASIGNACIÓN ASIGNATURAS'!J133)</f>
        <v/>
      </c>
      <c r="B46" s="290" t="str">
        <f>IF('ASIGNACIÓN ASIGNATURAS'!K133="","",'ASIGNACIÓN ASIGNATURAS'!K133)</f>
        <v/>
      </c>
      <c r="C46" s="290" t="str">
        <f>IF('ASIGNACIÓN ASIGNATURAS'!L133="","",'ASIGNACIÓN ASIGNATURAS'!L133)</f>
        <v/>
      </c>
      <c r="D46" s="290" t="str">
        <f>IF('ASIGNACIÓN ASIGNATURAS'!M133="","",'ASIGNACIÓN ASIGNATURAS'!M133)</f>
        <v/>
      </c>
      <c r="E46" s="290" t="str">
        <f>IF('ASIGNACIÓN ASIGNATURAS'!N133="","",'ASIGNACIÓN ASIGNATURAS'!N133)</f>
        <v/>
      </c>
      <c r="F46" s="290" t="str">
        <f>IF('ASIGNACIÓN ASIGNATURAS'!O133="","",'ASIGNACIÓN ASIGNATURAS'!O133)</f>
        <v/>
      </c>
      <c r="G46" s="290" t="str">
        <f>IF('ASIGNACIÓN ASIGNATURAS'!P133="","",'ASIGNACIÓN ASIGNATURAS'!P133)</f>
        <v/>
      </c>
      <c r="H46" s="290" t="str">
        <f>IF('ASIGNACIÓN ASIGNATURAS'!T133="","",'ASIGNACIÓN ASIGNATURAS'!T133)</f>
        <v/>
      </c>
      <c r="I46" s="290" t="str">
        <f>IF('ASIGNACIÓN ASIGNATURAS'!U133="","",'ASIGNACIÓN ASIGNATURAS'!U133)</f>
        <v/>
      </c>
      <c r="J46" s="290" t="str">
        <f>IF('ASIGNACIÓN ASIGNATURAS'!V133="","",'ASIGNACIÓN ASIGNATURAS'!V133)</f>
        <v/>
      </c>
      <c r="K46" s="301" t="str">
        <f>IF('ASIGNACIÓN ASIGNATURAS'!S133="","",'ASIGNACIÓN ASIGNATURAS'!S133)</f>
        <v/>
      </c>
      <c r="L46" s="244" t="str">
        <f>IF('ASIGNACIÓN ASIGNATURAS'!Q133="","",'ASIGNACIÓN ASIGNATURAS'!Q133)</f>
        <v/>
      </c>
      <c r="M46" s="244" t="str">
        <f>IF('ASIGNACIÓN ASIGNATURAS'!R133="","",'ASIGNACIÓN ASIGNATURAS'!R133)</f>
        <v/>
      </c>
      <c r="N46" s="244" t="str">
        <f>IF('ASIGNACIÓN ASIGNATURAS'!W133="","",'ASIGNACIÓN ASIGNATURAS'!W133)</f>
        <v/>
      </c>
      <c r="O46" s="244" t="str">
        <f>IF('ASIGNACIÓN ASIGNATURAS'!X133="","",'ASIGNACIÓN ASIGNATURAS'!X133)</f>
        <v/>
      </c>
      <c r="P46" s="244" t="str">
        <f>IF('ASIGNACIÓN ASIGNATURAS'!Y133="","",'ASIGNACIÓN ASIGNATURAS'!Y133)</f>
        <v/>
      </c>
      <c r="Q46" s="244" t="str">
        <f>IF('ASIGNACIÓN ASIGNATURAS'!Z133="","",'ASIGNACIÓN ASIGNATURAS'!Z133)</f>
        <v/>
      </c>
      <c r="R46" s="244" t="str">
        <f>IF('ASIGNACIÓN ASIGNATURAS'!AA133="","",'ASIGNACIÓN ASIGNATURAS'!AA133)</f>
        <v/>
      </c>
      <c r="S46" s="244" t="str">
        <f>IF('ASIGNACIÓN ASIGNATURAS'!AB133="","",'ASIGNACIÓN ASIGNATURAS'!AB133)</f>
        <v/>
      </c>
    </row>
    <row r="47" spans="1:19" x14ac:dyDescent="0.3">
      <c r="A47" s="290" t="str">
        <f>IF('ASIGNACIÓN ASIGNATURAS'!J141="","",'ASIGNACIÓN ASIGNATURAS'!J141)</f>
        <v/>
      </c>
      <c r="B47" s="290" t="str">
        <f>IF('ASIGNACIÓN ASIGNATURAS'!K141="","",'ASIGNACIÓN ASIGNATURAS'!K141)</f>
        <v/>
      </c>
      <c r="C47" s="290" t="str">
        <f>IF('ASIGNACIÓN ASIGNATURAS'!L141="","",'ASIGNACIÓN ASIGNATURAS'!L141)</f>
        <v/>
      </c>
      <c r="D47" s="290" t="str">
        <f>IF('ASIGNACIÓN ASIGNATURAS'!M141="","",'ASIGNACIÓN ASIGNATURAS'!M141)</f>
        <v/>
      </c>
      <c r="E47" s="290" t="str">
        <f>IF('ASIGNACIÓN ASIGNATURAS'!N141="","",'ASIGNACIÓN ASIGNATURAS'!N141)</f>
        <v/>
      </c>
      <c r="F47" s="290" t="str">
        <f>IF('ASIGNACIÓN ASIGNATURAS'!O141="","",'ASIGNACIÓN ASIGNATURAS'!O141)</f>
        <v/>
      </c>
      <c r="G47" s="290" t="str">
        <f>IF('ASIGNACIÓN ASIGNATURAS'!P141="","",'ASIGNACIÓN ASIGNATURAS'!P141)</f>
        <v/>
      </c>
      <c r="H47" s="290" t="str">
        <f>IF('ASIGNACIÓN ASIGNATURAS'!T141="","",'ASIGNACIÓN ASIGNATURAS'!T141)</f>
        <v/>
      </c>
      <c r="I47" s="290" t="str">
        <f>IF('ASIGNACIÓN ASIGNATURAS'!U141="","",'ASIGNACIÓN ASIGNATURAS'!U141)</f>
        <v/>
      </c>
      <c r="J47" s="290" t="str">
        <f>IF('ASIGNACIÓN ASIGNATURAS'!V141="","",'ASIGNACIÓN ASIGNATURAS'!V141)</f>
        <v/>
      </c>
      <c r="K47" s="301" t="str">
        <f>IF('ASIGNACIÓN ASIGNATURAS'!S141="","",'ASIGNACIÓN ASIGNATURAS'!S141)</f>
        <v/>
      </c>
      <c r="L47" s="244" t="str">
        <f>IF('ASIGNACIÓN ASIGNATURAS'!Q141="","",'ASIGNACIÓN ASIGNATURAS'!Q141)</f>
        <v/>
      </c>
      <c r="M47" s="244" t="str">
        <f>IF('ASIGNACIÓN ASIGNATURAS'!R141="","",'ASIGNACIÓN ASIGNATURAS'!R141)</f>
        <v/>
      </c>
      <c r="N47" s="244" t="str">
        <f>IF('ASIGNACIÓN ASIGNATURAS'!W141="","",'ASIGNACIÓN ASIGNATURAS'!W141)</f>
        <v/>
      </c>
      <c r="O47" s="244" t="str">
        <f>IF('ASIGNACIÓN ASIGNATURAS'!X141="","",'ASIGNACIÓN ASIGNATURAS'!X141)</f>
        <v/>
      </c>
      <c r="P47" s="244" t="str">
        <f>IF('ASIGNACIÓN ASIGNATURAS'!Y141="","",'ASIGNACIÓN ASIGNATURAS'!Y141)</f>
        <v/>
      </c>
      <c r="Q47" s="244" t="str">
        <f>IF('ASIGNACIÓN ASIGNATURAS'!Z141="","",'ASIGNACIÓN ASIGNATURAS'!Z141)</f>
        <v/>
      </c>
      <c r="R47" s="244" t="str">
        <f>IF('ASIGNACIÓN ASIGNATURAS'!AA141="","",'ASIGNACIÓN ASIGNATURAS'!AA141)</f>
        <v/>
      </c>
      <c r="S47" s="244" t="str">
        <f>IF('ASIGNACIÓN ASIGNATURAS'!AB141="","",'ASIGNACIÓN ASIGNATURAS'!AB141)</f>
        <v/>
      </c>
    </row>
    <row r="48" spans="1:19" x14ac:dyDescent="0.3">
      <c r="A48" s="290" t="str">
        <f>IF('ASIGNACIÓN ASIGNATURAS'!J145="","",'ASIGNACIÓN ASIGNATURAS'!J145)</f>
        <v/>
      </c>
      <c r="B48" s="290" t="str">
        <f>IF('ASIGNACIÓN ASIGNATURAS'!K145="","",'ASIGNACIÓN ASIGNATURAS'!K145)</f>
        <v/>
      </c>
      <c r="C48" s="290" t="str">
        <f>IF('ASIGNACIÓN ASIGNATURAS'!L145="","",'ASIGNACIÓN ASIGNATURAS'!L145)</f>
        <v/>
      </c>
      <c r="D48" s="290" t="str">
        <f>IF('ASIGNACIÓN ASIGNATURAS'!M145="","",'ASIGNACIÓN ASIGNATURAS'!M145)</f>
        <v/>
      </c>
      <c r="E48" s="290" t="str">
        <f>IF('ASIGNACIÓN ASIGNATURAS'!N145="","",'ASIGNACIÓN ASIGNATURAS'!N145)</f>
        <v/>
      </c>
      <c r="F48" s="290" t="str">
        <f>IF('ASIGNACIÓN ASIGNATURAS'!O145="","",'ASIGNACIÓN ASIGNATURAS'!O145)</f>
        <v/>
      </c>
      <c r="G48" s="290" t="str">
        <f>IF('ASIGNACIÓN ASIGNATURAS'!P145="","",'ASIGNACIÓN ASIGNATURAS'!P145)</f>
        <v/>
      </c>
      <c r="H48" s="290" t="str">
        <f>IF('ASIGNACIÓN ASIGNATURAS'!T145="","",'ASIGNACIÓN ASIGNATURAS'!T145)</f>
        <v/>
      </c>
      <c r="I48" s="290" t="str">
        <f>IF('ASIGNACIÓN ASIGNATURAS'!U145="","",'ASIGNACIÓN ASIGNATURAS'!U145)</f>
        <v/>
      </c>
      <c r="J48" s="290" t="str">
        <f>IF('ASIGNACIÓN ASIGNATURAS'!V145="","",'ASIGNACIÓN ASIGNATURAS'!V145)</f>
        <v/>
      </c>
      <c r="K48" s="301" t="str">
        <f>IF('ASIGNACIÓN ASIGNATURAS'!S145="","",'ASIGNACIÓN ASIGNATURAS'!S145)</f>
        <v/>
      </c>
      <c r="L48" s="244" t="str">
        <f>IF('ASIGNACIÓN ASIGNATURAS'!Q145="","",'ASIGNACIÓN ASIGNATURAS'!Q145)</f>
        <v/>
      </c>
      <c r="M48" s="244" t="str">
        <f>IF('ASIGNACIÓN ASIGNATURAS'!R145="","",'ASIGNACIÓN ASIGNATURAS'!R145)</f>
        <v/>
      </c>
      <c r="N48" s="244" t="str">
        <f>IF('ASIGNACIÓN ASIGNATURAS'!W145="","",'ASIGNACIÓN ASIGNATURAS'!W145)</f>
        <v/>
      </c>
      <c r="O48" s="244" t="str">
        <f>IF('ASIGNACIÓN ASIGNATURAS'!X145="","",'ASIGNACIÓN ASIGNATURAS'!X145)</f>
        <v/>
      </c>
      <c r="P48" s="244" t="str">
        <f>IF('ASIGNACIÓN ASIGNATURAS'!Y145="","",'ASIGNACIÓN ASIGNATURAS'!Y145)</f>
        <v/>
      </c>
      <c r="Q48" s="244" t="str">
        <f>IF('ASIGNACIÓN ASIGNATURAS'!Z145="","",'ASIGNACIÓN ASIGNATURAS'!Z145)</f>
        <v/>
      </c>
      <c r="R48" s="244" t="str">
        <f>IF('ASIGNACIÓN ASIGNATURAS'!AA145="","",'ASIGNACIÓN ASIGNATURAS'!AA145)</f>
        <v/>
      </c>
      <c r="S48" s="244" t="str">
        <f>IF('ASIGNACIÓN ASIGNATURAS'!AB145="","",'ASIGNACIÓN ASIGNATURAS'!AB145)</f>
        <v/>
      </c>
    </row>
    <row r="49" spans="1:19" x14ac:dyDescent="0.3">
      <c r="A49" s="290" t="str">
        <f>IF('ASIGNACIÓN ASIGNATURAS'!J149="","",'ASIGNACIÓN ASIGNATURAS'!J149)</f>
        <v/>
      </c>
      <c r="B49" s="290" t="str">
        <f>IF('ASIGNACIÓN ASIGNATURAS'!K149="","",'ASIGNACIÓN ASIGNATURAS'!K149)</f>
        <v/>
      </c>
      <c r="C49" s="290" t="str">
        <f>IF('ASIGNACIÓN ASIGNATURAS'!L149="","",'ASIGNACIÓN ASIGNATURAS'!L149)</f>
        <v/>
      </c>
      <c r="D49" s="290" t="str">
        <f>IF('ASIGNACIÓN ASIGNATURAS'!M149="","",'ASIGNACIÓN ASIGNATURAS'!M149)</f>
        <v/>
      </c>
      <c r="E49" s="290" t="str">
        <f>IF('ASIGNACIÓN ASIGNATURAS'!N149="","",'ASIGNACIÓN ASIGNATURAS'!N149)</f>
        <v/>
      </c>
      <c r="F49" s="290" t="str">
        <f>IF('ASIGNACIÓN ASIGNATURAS'!O149="","",'ASIGNACIÓN ASIGNATURAS'!O149)</f>
        <v/>
      </c>
      <c r="G49" s="290" t="str">
        <f>IF('ASIGNACIÓN ASIGNATURAS'!P149="","",'ASIGNACIÓN ASIGNATURAS'!P149)</f>
        <v/>
      </c>
      <c r="H49" s="290" t="str">
        <f>IF('ASIGNACIÓN ASIGNATURAS'!T149="","",'ASIGNACIÓN ASIGNATURAS'!T149)</f>
        <v/>
      </c>
      <c r="I49" s="290" t="str">
        <f>IF('ASIGNACIÓN ASIGNATURAS'!U149="","",'ASIGNACIÓN ASIGNATURAS'!U149)</f>
        <v/>
      </c>
      <c r="J49" s="290" t="str">
        <f>IF('ASIGNACIÓN ASIGNATURAS'!V149="","",'ASIGNACIÓN ASIGNATURAS'!V149)</f>
        <v/>
      </c>
      <c r="K49" s="301" t="str">
        <f>IF('ASIGNACIÓN ASIGNATURAS'!S149="","",'ASIGNACIÓN ASIGNATURAS'!S149)</f>
        <v/>
      </c>
      <c r="L49" s="244" t="str">
        <f>IF('ASIGNACIÓN ASIGNATURAS'!Q149="","",'ASIGNACIÓN ASIGNATURAS'!Q149)</f>
        <v/>
      </c>
      <c r="M49" s="244" t="str">
        <f>IF('ASIGNACIÓN ASIGNATURAS'!R149="","",'ASIGNACIÓN ASIGNATURAS'!R149)</f>
        <v/>
      </c>
      <c r="N49" s="244" t="str">
        <f>IF('ASIGNACIÓN ASIGNATURAS'!W149="","",'ASIGNACIÓN ASIGNATURAS'!W149)</f>
        <v/>
      </c>
      <c r="O49" s="244" t="str">
        <f>IF('ASIGNACIÓN ASIGNATURAS'!X149="","",'ASIGNACIÓN ASIGNATURAS'!X149)</f>
        <v/>
      </c>
      <c r="P49" s="244" t="str">
        <f>IF('ASIGNACIÓN ASIGNATURAS'!Y149="","",'ASIGNACIÓN ASIGNATURAS'!Y149)</f>
        <v/>
      </c>
      <c r="Q49" s="244" t="str">
        <f>IF('ASIGNACIÓN ASIGNATURAS'!Z149="","",'ASIGNACIÓN ASIGNATURAS'!Z149)</f>
        <v/>
      </c>
      <c r="R49" s="244" t="str">
        <f>IF('ASIGNACIÓN ASIGNATURAS'!AA149="","",'ASIGNACIÓN ASIGNATURAS'!AA149)</f>
        <v/>
      </c>
      <c r="S49" s="244" t="str">
        <f>IF('ASIGNACIÓN ASIGNATURAS'!AB149="","",'ASIGNACIÓN ASIGNATURAS'!AB149)</f>
        <v/>
      </c>
    </row>
    <row r="50" spans="1:19" x14ac:dyDescent="0.3">
      <c r="A50" s="290" t="str">
        <f>IF('ASIGNACIÓN ASIGNATURAS'!J51="","",'ASIGNACIÓN ASIGNATURAS'!J51)</f>
        <v/>
      </c>
      <c r="B50" s="290" t="str">
        <f>IF('ASIGNACIÓN ASIGNATURAS'!K51="","",'ASIGNACIÓN ASIGNATURAS'!K51)</f>
        <v/>
      </c>
      <c r="C50" s="290" t="str">
        <f>IF('ASIGNACIÓN ASIGNATURAS'!L51="","",'ASIGNACIÓN ASIGNATURAS'!L51)</f>
        <v/>
      </c>
      <c r="D50" s="290" t="str">
        <f>IF('ASIGNACIÓN ASIGNATURAS'!M51="","",'ASIGNACIÓN ASIGNATURAS'!M51)</f>
        <v/>
      </c>
      <c r="E50" s="290" t="str">
        <f>IF('ASIGNACIÓN ASIGNATURAS'!N51="","",'ASIGNACIÓN ASIGNATURAS'!N51)</f>
        <v/>
      </c>
      <c r="F50" s="290" t="str">
        <f>IF('ASIGNACIÓN ASIGNATURAS'!O51="","",'ASIGNACIÓN ASIGNATURAS'!O51)</f>
        <v/>
      </c>
      <c r="G50" s="290" t="str">
        <f>IF('ASIGNACIÓN ASIGNATURAS'!P51="","",'ASIGNACIÓN ASIGNATURAS'!P51)</f>
        <v/>
      </c>
      <c r="H50" s="290" t="str">
        <f>IF('ASIGNACIÓN ASIGNATURAS'!T51="","",'ASIGNACIÓN ASIGNATURAS'!T51)</f>
        <v/>
      </c>
      <c r="I50" s="290" t="str">
        <f>IF('ASIGNACIÓN ASIGNATURAS'!U51="","",'ASIGNACIÓN ASIGNATURAS'!U51)</f>
        <v/>
      </c>
      <c r="J50" s="290" t="str">
        <f>IF('ASIGNACIÓN ASIGNATURAS'!V51="","",'ASIGNACIÓN ASIGNATURAS'!V51)</f>
        <v/>
      </c>
      <c r="K50" s="301" t="str">
        <f>IF('ASIGNACIÓN ASIGNATURAS'!S51="","",'ASIGNACIÓN ASIGNATURAS'!S51)</f>
        <v/>
      </c>
      <c r="L50" s="244" t="str">
        <f>IF('ASIGNACIÓN ASIGNATURAS'!Q51="","",'ASIGNACIÓN ASIGNATURAS'!Q51)</f>
        <v/>
      </c>
      <c r="M50" s="244" t="str">
        <f>IF('ASIGNACIÓN ASIGNATURAS'!R51="","",'ASIGNACIÓN ASIGNATURAS'!R51)</f>
        <v/>
      </c>
      <c r="N50" s="244" t="str">
        <f>IF('ASIGNACIÓN ASIGNATURAS'!W51="","",'ASIGNACIÓN ASIGNATURAS'!W51)</f>
        <v/>
      </c>
      <c r="O50" s="244" t="str">
        <f>IF('ASIGNACIÓN ASIGNATURAS'!X51="","",'ASIGNACIÓN ASIGNATURAS'!X51)</f>
        <v/>
      </c>
      <c r="P50" s="244" t="str">
        <f>IF('ASIGNACIÓN ASIGNATURAS'!Y51="","",'ASIGNACIÓN ASIGNATURAS'!Y51)</f>
        <v/>
      </c>
      <c r="Q50" s="244" t="str">
        <f>IF('ASIGNACIÓN ASIGNATURAS'!Z51="","",'ASIGNACIÓN ASIGNATURAS'!Z51)</f>
        <v/>
      </c>
      <c r="R50" s="244" t="str">
        <f>IF('ASIGNACIÓN ASIGNATURAS'!AA51="","",'ASIGNACIÓN ASIGNATURAS'!AA51)</f>
        <v/>
      </c>
      <c r="S50" s="244" t="str">
        <f>IF('ASIGNACIÓN ASIGNATURAS'!AB51="","",'ASIGNACIÓN ASIGNATURAS'!AB51)</f>
        <v/>
      </c>
    </row>
    <row r="51" spans="1:19" x14ac:dyDescent="0.3">
      <c r="A51" s="290" t="str">
        <f>IF('ASIGNACIÓN ASIGNATURAS'!J71="","",'ASIGNACIÓN ASIGNATURAS'!J71)</f>
        <v/>
      </c>
      <c r="B51" s="290" t="str">
        <f>IF('ASIGNACIÓN ASIGNATURAS'!K71="","",'ASIGNACIÓN ASIGNATURAS'!K71)</f>
        <v/>
      </c>
      <c r="C51" s="290" t="str">
        <f>IF('ASIGNACIÓN ASIGNATURAS'!L71="","",'ASIGNACIÓN ASIGNATURAS'!L71)</f>
        <v/>
      </c>
      <c r="D51" s="290" t="str">
        <f>IF('ASIGNACIÓN ASIGNATURAS'!M71="","",'ASIGNACIÓN ASIGNATURAS'!M71)</f>
        <v/>
      </c>
      <c r="E51" s="290" t="str">
        <f>IF('ASIGNACIÓN ASIGNATURAS'!N71="","",'ASIGNACIÓN ASIGNATURAS'!N71)</f>
        <v/>
      </c>
      <c r="F51" s="290" t="str">
        <f>IF('ASIGNACIÓN ASIGNATURAS'!O71="","",'ASIGNACIÓN ASIGNATURAS'!O71)</f>
        <v/>
      </c>
      <c r="G51" s="290" t="str">
        <f>IF('ASIGNACIÓN ASIGNATURAS'!P71="","",'ASIGNACIÓN ASIGNATURAS'!P71)</f>
        <v/>
      </c>
      <c r="H51" s="290" t="str">
        <f>IF('ASIGNACIÓN ASIGNATURAS'!T71="","",'ASIGNACIÓN ASIGNATURAS'!T71)</f>
        <v/>
      </c>
      <c r="I51" s="290" t="str">
        <f>IF('ASIGNACIÓN ASIGNATURAS'!U71="","",'ASIGNACIÓN ASIGNATURAS'!U71)</f>
        <v/>
      </c>
      <c r="J51" s="290" t="str">
        <f>IF('ASIGNACIÓN ASIGNATURAS'!V71="","",'ASIGNACIÓN ASIGNATURAS'!V71)</f>
        <v/>
      </c>
      <c r="K51" s="301" t="str">
        <f>IF('ASIGNACIÓN ASIGNATURAS'!S71="","",'ASIGNACIÓN ASIGNATURAS'!S71)</f>
        <v/>
      </c>
      <c r="L51" s="244" t="str">
        <f>IF('ASIGNACIÓN ASIGNATURAS'!Q71="","",'ASIGNACIÓN ASIGNATURAS'!Q71)</f>
        <v/>
      </c>
      <c r="M51" s="244" t="str">
        <f>IF('ASIGNACIÓN ASIGNATURAS'!R71="","",'ASIGNACIÓN ASIGNATURAS'!R71)</f>
        <v/>
      </c>
      <c r="N51" s="244" t="str">
        <f>IF('ASIGNACIÓN ASIGNATURAS'!W71="","",'ASIGNACIÓN ASIGNATURAS'!W71)</f>
        <v/>
      </c>
      <c r="O51" s="244" t="str">
        <f>IF('ASIGNACIÓN ASIGNATURAS'!X71="","",'ASIGNACIÓN ASIGNATURAS'!X71)</f>
        <v/>
      </c>
      <c r="P51" s="244" t="str">
        <f>IF('ASIGNACIÓN ASIGNATURAS'!Y71="","",'ASIGNACIÓN ASIGNATURAS'!Y71)</f>
        <v/>
      </c>
      <c r="Q51" s="244" t="str">
        <f>IF('ASIGNACIÓN ASIGNATURAS'!Z71="","",'ASIGNACIÓN ASIGNATURAS'!Z71)</f>
        <v/>
      </c>
      <c r="R51" s="244" t="str">
        <f>IF('ASIGNACIÓN ASIGNATURAS'!AA71="","",'ASIGNACIÓN ASIGNATURAS'!AA71)</f>
        <v/>
      </c>
      <c r="S51" s="244" t="str">
        <f>IF('ASIGNACIÓN ASIGNATURAS'!AB71="","",'ASIGNACIÓN ASIGNATURAS'!AB71)</f>
        <v/>
      </c>
    </row>
    <row r="52" spans="1:19" x14ac:dyDescent="0.3">
      <c r="A52" s="290" t="str">
        <f>IF('ASIGNACIÓN ASIGNATURAS'!J75="","",'ASIGNACIÓN ASIGNATURAS'!J75)</f>
        <v/>
      </c>
      <c r="B52" s="290" t="str">
        <f>IF('ASIGNACIÓN ASIGNATURAS'!K75="","",'ASIGNACIÓN ASIGNATURAS'!K75)</f>
        <v/>
      </c>
      <c r="C52" s="290" t="str">
        <f>IF('ASIGNACIÓN ASIGNATURAS'!L75="","",'ASIGNACIÓN ASIGNATURAS'!L75)</f>
        <v/>
      </c>
      <c r="D52" s="290" t="str">
        <f>IF('ASIGNACIÓN ASIGNATURAS'!M75="","",'ASIGNACIÓN ASIGNATURAS'!M75)</f>
        <v/>
      </c>
      <c r="E52" s="290" t="str">
        <f>IF('ASIGNACIÓN ASIGNATURAS'!N75="","",'ASIGNACIÓN ASIGNATURAS'!N75)</f>
        <v/>
      </c>
      <c r="F52" s="290" t="str">
        <f>IF('ASIGNACIÓN ASIGNATURAS'!O75="","",'ASIGNACIÓN ASIGNATURAS'!O75)</f>
        <v/>
      </c>
      <c r="G52" s="290" t="str">
        <f>IF('ASIGNACIÓN ASIGNATURAS'!P75="","",'ASIGNACIÓN ASIGNATURAS'!P75)</f>
        <v/>
      </c>
      <c r="H52" s="290" t="str">
        <f>IF('ASIGNACIÓN ASIGNATURAS'!T75="","",'ASIGNACIÓN ASIGNATURAS'!T75)</f>
        <v/>
      </c>
      <c r="I52" s="290" t="str">
        <f>IF('ASIGNACIÓN ASIGNATURAS'!U75="","",'ASIGNACIÓN ASIGNATURAS'!U75)</f>
        <v/>
      </c>
      <c r="J52" s="290" t="str">
        <f>IF('ASIGNACIÓN ASIGNATURAS'!V75="","",'ASIGNACIÓN ASIGNATURAS'!V75)</f>
        <v/>
      </c>
      <c r="K52" s="301" t="str">
        <f>IF('ASIGNACIÓN ASIGNATURAS'!S75="","",'ASIGNACIÓN ASIGNATURAS'!S75)</f>
        <v/>
      </c>
      <c r="L52" s="244" t="str">
        <f>IF('ASIGNACIÓN ASIGNATURAS'!Q75="","",'ASIGNACIÓN ASIGNATURAS'!Q75)</f>
        <v/>
      </c>
      <c r="M52" s="244" t="str">
        <f>IF('ASIGNACIÓN ASIGNATURAS'!R75="","",'ASIGNACIÓN ASIGNATURAS'!R75)</f>
        <v/>
      </c>
      <c r="N52" s="244" t="str">
        <f>IF('ASIGNACIÓN ASIGNATURAS'!W75="","",'ASIGNACIÓN ASIGNATURAS'!W75)</f>
        <v/>
      </c>
      <c r="O52" s="244" t="str">
        <f>IF('ASIGNACIÓN ASIGNATURAS'!X75="","",'ASIGNACIÓN ASIGNATURAS'!X75)</f>
        <v/>
      </c>
      <c r="P52" s="244" t="str">
        <f>IF('ASIGNACIÓN ASIGNATURAS'!Y75="","",'ASIGNACIÓN ASIGNATURAS'!Y75)</f>
        <v/>
      </c>
      <c r="Q52" s="244" t="str">
        <f>IF('ASIGNACIÓN ASIGNATURAS'!Z75="","",'ASIGNACIÓN ASIGNATURAS'!Z75)</f>
        <v/>
      </c>
      <c r="R52" s="244" t="str">
        <f>IF('ASIGNACIÓN ASIGNATURAS'!AA75="","",'ASIGNACIÓN ASIGNATURAS'!AA75)</f>
        <v/>
      </c>
      <c r="S52" s="244" t="str">
        <f>IF('ASIGNACIÓN ASIGNATURAS'!AB75="","",'ASIGNACIÓN ASIGNATURAS'!AB75)</f>
        <v/>
      </c>
    </row>
    <row r="53" spans="1:19" x14ac:dyDescent="0.3">
      <c r="A53" s="290" t="str">
        <f>IF('ASIGNACIÓN ASIGNATURAS'!J79="","",'ASIGNACIÓN ASIGNATURAS'!J79)</f>
        <v/>
      </c>
      <c r="B53" s="290" t="str">
        <f>IF('ASIGNACIÓN ASIGNATURAS'!K79="","",'ASIGNACIÓN ASIGNATURAS'!K79)</f>
        <v/>
      </c>
      <c r="C53" s="290" t="str">
        <f>IF('ASIGNACIÓN ASIGNATURAS'!L79="","",'ASIGNACIÓN ASIGNATURAS'!L79)</f>
        <v/>
      </c>
      <c r="D53" s="290" t="str">
        <f>IF('ASIGNACIÓN ASIGNATURAS'!M79="","",'ASIGNACIÓN ASIGNATURAS'!M79)</f>
        <v/>
      </c>
      <c r="E53" s="290" t="str">
        <f>IF('ASIGNACIÓN ASIGNATURAS'!N79="","",'ASIGNACIÓN ASIGNATURAS'!N79)</f>
        <v/>
      </c>
      <c r="F53" s="290" t="str">
        <f>IF('ASIGNACIÓN ASIGNATURAS'!O79="","",'ASIGNACIÓN ASIGNATURAS'!O79)</f>
        <v/>
      </c>
      <c r="G53" s="290" t="str">
        <f>IF('ASIGNACIÓN ASIGNATURAS'!P79="","",'ASIGNACIÓN ASIGNATURAS'!P79)</f>
        <v/>
      </c>
      <c r="H53" s="290" t="str">
        <f>IF('ASIGNACIÓN ASIGNATURAS'!T79="","",'ASIGNACIÓN ASIGNATURAS'!T79)</f>
        <v/>
      </c>
      <c r="I53" s="290" t="str">
        <f>IF('ASIGNACIÓN ASIGNATURAS'!U79="","",'ASIGNACIÓN ASIGNATURAS'!U79)</f>
        <v/>
      </c>
      <c r="J53" s="290" t="str">
        <f>IF('ASIGNACIÓN ASIGNATURAS'!V79="","",'ASIGNACIÓN ASIGNATURAS'!V79)</f>
        <v/>
      </c>
      <c r="K53" s="301" t="str">
        <f>IF('ASIGNACIÓN ASIGNATURAS'!S79="","",'ASIGNACIÓN ASIGNATURAS'!S79)</f>
        <v/>
      </c>
      <c r="L53" s="244" t="str">
        <f>IF('ASIGNACIÓN ASIGNATURAS'!Q79="","",'ASIGNACIÓN ASIGNATURAS'!Q79)</f>
        <v/>
      </c>
      <c r="M53" s="244" t="str">
        <f>IF('ASIGNACIÓN ASIGNATURAS'!R79="","",'ASIGNACIÓN ASIGNATURAS'!R79)</f>
        <v/>
      </c>
      <c r="N53" s="244" t="str">
        <f>IF('ASIGNACIÓN ASIGNATURAS'!W79="","",'ASIGNACIÓN ASIGNATURAS'!W79)</f>
        <v/>
      </c>
      <c r="O53" s="244" t="str">
        <f>IF('ASIGNACIÓN ASIGNATURAS'!X79="","",'ASIGNACIÓN ASIGNATURAS'!X79)</f>
        <v/>
      </c>
      <c r="P53" s="244" t="str">
        <f>IF('ASIGNACIÓN ASIGNATURAS'!Y79="","",'ASIGNACIÓN ASIGNATURAS'!Y79)</f>
        <v/>
      </c>
      <c r="Q53" s="244" t="str">
        <f>IF('ASIGNACIÓN ASIGNATURAS'!Z79="","",'ASIGNACIÓN ASIGNATURAS'!Z79)</f>
        <v/>
      </c>
      <c r="R53" s="244" t="str">
        <f>IF('ASIGNACIÓN ASIGNATURAS'!AA79="","",'ASIGNACIÓN ASIGNATURAS'!AA79)</f>
        <v/>
      </c>
      <c r="S53" s="244" t="str">
        <f>IF('ASIGNACIÓN ASIGNATURAS'!AB79="","",'ASIGNACIÓN ASIGNATURAS'!AB79)</f>
        <v/>
      </c>
    </row>
    <row r="54" spans="1:19" x14ac:dyDescent="0.3">
      <c r="A54" s="290" t="str">
        <f>IF('ASIGNACIÓN ASIGNATURAS'!J83="","",'ASIGNACIÓN ASIGNATURAS'!J83)</f>
        <v/>
      </c>
      <c r="B54" s="290" t="str">
        <f>IF('ASIGNACIÓN ASIGNATURAS'!K83="","",'ASIGNACIÓN ASIGNATURAS'!K83)</f>
        <v/>
      </c>
      <c r="C54" s="290" t="str">
        <f>IF('ASIGNACIÓN ASIGNATURAS'!L83="","",'ASIGNACIÓN ASIGNATURAS'!L83)</f>
        <v/>
      </c>
      <c r="D54" s="290" t="str">
        <f>IF('ASIGNACIÓN ASIGNATURAS'!M83="","",'ASIGNACIÓN ASIGNATURAS'!M83)</f>
        <v/>
      </c>
      <c r="E54" s="290" t="str">
        <f>IF('ASIGNACIÓN ASIGNATURAS'!N83="","",'ASIGNACIÓN ASIGNATURAS'!N83)</f>
        <v/>
      </c>
      <c r="F54" s="290" t="str">
        <f>IF('ASIGNACIÓN ASIGNATURAS'!O83="","",'ASIGNACIÓN ASIGNATURAS'!O83)</f>
        <v/>
      </c>
      <c r="G54" s="290" t="str">
        <f>IF('ASIGNACIÓN ASIGNATURAS'!P83="","",'ASIGNACIÓN ASIGNATURAS'!P83)</f>
        <v/>
      </c>
      <c r="H54" s="290" t="str">
        <f>IF('ASIGNACIÓN ASIGNATURAS'!T83="","",'ASIGNACIÓN ASIGNATURAS'!T83)</f>
        <v/>
      </c>
      <c r="I54" s="290" t="str">
        <f>IF('ASIGNACIÓN ASIGNATURAS'!U83="","",'ASIGNACIÓN ASIGNATURAS'!U83)</f>
        <v/>
      </c>
      <c r="J54" s="290" t="str">
        <f>IF('ASIGNACIÓN ASIGNATURAS'!V83="","",'ASIGNACIÓN ASIGNATURAS'!V83)</f>
        <v/>
      </c>
      <c r="K54" s="301" t="str">
        <f>IF('ASIGNACIÓN ASIGNATURAS'!S83="","",'ASIGNACIÓN ASIGNATURAS'!S83)</f>
        <v/>
      </c>
      <c r="L54" s="244" t="str">
        <f>IF('ASIGNACIÓN ASIGNATURAS'!Q83="","",'ASIGNACIÓN ASIGNATURAS'!Q83)</f>
        <v/>
      </c>
      <c r="M54" s="244" t="str">
        <f>IF('ASIGNACIÓN ASIGNATURAS'!R83="","",'ASIGNACIÓN ASIGNATURAS'!R83)</f>
        <v/>
      </c>
      <c r="N54" s="244" t="str">
        <f>IF('ASIGNACIÓN ASIGNATURAS'!W83="","",'ASIGNACIÓN ASIGNATURAS'!W83)</f>
        <v/>
      </c>
      <c r="O54" s="244" t="str">
        <f>IF('ASIGNACIÓN ASIGNATURAS'!X83="","",'ASIGNACIÓN ASIGNATURAS'!X83)</f>
        <v/>
      </c>
      <c r="P54" s="244" t="str">
        <f>IF('ASIGNACIÓN ASIGNATURAS'!Y83="","",'ASIGNACIÓN ASIGNATURAS'!Y83)</f>
        <v/>
      </c>
      <c r="Q54" s="244" t="str">
        <f>IF('ASIGNACIÓN ASIGNATURAS'!Z83="","",'ASIGNACIÓN ASIGNATURAS'!Z83)</f>
        <v/>
      </c>
      <c r="R54" s="244" t="str">
        <f>IF('ASIGNACIÓN ASIGNATURAS'!AA83="","",'ASIGNACIÓN ASIGNATURAS'!AA83)</f>
        <v/>
      </c>
      <c r="S54" s="244" t="str">
        <f>IF('ASIGNACIÓN ASIGNATURAS'!AB83="","",'ASIGNACIÓN ASIGNATURAS'!AB83)</f>
        <v/>
      </c>
    </row>
    <row r="55" spans="1:19" x14ac:dyDescent="0.3">
      <c r="A55" s="290" t="str">
        <f>IF('ASIGNACIÓN ASIGNATURAS'!J87="","",'ASIGNACIÓN ASIGNATURAS'!J87)</f>
        <v/>
      </c>
      <c r="B55" s="290" t="str">
        <f>IF('ASIGNACIÓN ASIGNATURAS'!K87="","",'ASIGNACIÓN ASIGNATURAS'!K87)</f>
        <v/>
      </c>
      <c r="C55" s="290" t="str">
        <f>IF('ASIGNACIÓN ASIGNATURAS'!L87="","",'ASIGNACIÓN ASIGNATURAS'!L87)</f>
        <v/>
      </c>
      <c r="D55" s="290" t="str">
        <f>IF('ASIGNACIÓN ASIGNATURAS'!M87="","",'ASIGNACIÓN ASIGNATURAS'!M87)</f>
        <v/>
      </c>
      <c r="E55" s="290" t="str">
        <f>IF('ASIGNACIÓN ASIGNATURAS'!N87="","",'ASIGNACIÓN ASIGNATURAS'!N87)</f>
        <v/>
      </c>
      <c r="F55" s="290" t="str">
        <f>IF('ASIGNACIÓN ASIGNATURAS'!O87="","",'ASIGNACIÓN ASIGNATURAS'!O87)</f>
        <v/>
      </c>
      <c r="G55" s="290" t="str">
        <f>IF('ASIGNACIÓN ASIGNATURAS'!P87="","",'ASIGNACIÓN ASIGNATURAS'!P87)</f>
        <v/>
      </c>
      <c r="H55" s="290" t="str">
        <f>IF('ASIGNACIÓN ASIGNATURAS'!T87="","",'ASIGNACIÓN ASIGNATURAS'!T87)</f>
        <v/>
      </c>
      <c r="I55" s="290" t="str">
        <f>IF('ASIGNACIÓN ASIGNATURAS'!U87="","",'ASIGNACIÓN ASIGNATURAS'!U87)</f>
        <v/>
      </c>
      <c r="J55" s="290" t="str">
        <f>IF('ASIGNACIÓN ASIGNATURAS'!V87="","",'ASIGNACIÓN ASIGNATURAS'!V87)</f>
        <v/>
      </c>
      <c r="K55" s="301" t="str">
        <f>IF('ASIGNACIÓN ASIGNATURAS'!S87="","",'ASIGNACIÓN ASIGNATURAS'!S87)</f>
        <v/>
      </c>
      <c r="L55" s="244" t="str">
        <f>IF('ASIGNACIÓN ASIGNATURAS'!Q87="","",'ASIGNACIÓN ASIGNATURAS'!Q87)</f>
        <v/>
      </c>
      <c r="M55" s="244" t="str">
        <f>IF('ASIGNACIÓN ASIGNATURAS'!R87="","",'ASIGNACIÓN ASIGNATURAS'!R87)</f>
        <v/>
      </c>
      <c r="N55" s="244" t="str">
        <f>IF('ASIGNACIÓN ASIGNATURAS'!W87="","",'ASIGNACIÓN ASIGNATURAS'!W87)</f>
        <v/>
      </c>
      <c r="O55" s="244" t="str">
        <f>IF('ASIGNACIÓN ASIGNATURAS'!X87="","",'ASIGNACIÓN ASIGNATURAS'!X87)</f>
        <v/>
      </c>
      <c r="P55" s="244" t="str">
        <f>IF('ASIGNACIÓN ASIGNATURAS'!Y87="","",'ASIGNACIÓN ASIGNATURAS'!Y87)</f>
        <v/>
      </c>
      <c r="Q55" s="244" t="str">
        <f>IF('ASIGNACIÓN ASIGNATURAS'!Z87="","",'ASIGNACIÓN ASIGNATURAS'!Z87)</f>
        <v/>
      </c>
      <c r="R55" s="244" t="str">
        <f>IF('ASIGNACIÓN ASIGNATURAS'!AA87="","",'ASIGNACIÓN ASIGNATURAS'!AA87)</f>
        <v/>
      </c>
      <c r="S55" s="244" t="str">
        <f>IF('ASIGNACIÓN ASIGNATURAS'!AB87="","",'ASIGNACIÓN ASIGNATURAS'!AB87)</f>
        <v/>
      </c>
    </row>
    <row r="56" spans="1:19" x14ac:dyDescent="0.3">
      <c r="A56" s="290" t="str">
        <f>IF('ASIGNACIÓN ASIGNATURAS'!J95="","",'ASIGNACIÓN ASIGNATURAS'!J95)</f>
        <v/>
      </c>
      <c r="B56" s="290" t="str">
        <f>IF('ASIGNACIÓN ASIGNATURAS'!K95="","",'ASIGNACIÓN ASIGNATURAS'!K95)</f>
        <v/>
      </c>
      <c r="C56" s="290" t="str">
        <f>IF('ASIGNACIÓN ASIGNATURAS'!L95="","",'ASIGNACIÓN ASIGNATURAS'!L95)</f>
        <v/>
      </c>
      <c r="D56" s="290" t="str">
        <f>IF('ASIGNACIÓN ASIGNATURAS'!M95="","",'ASIGNACIÓN ASIGNATURAS'!M95)</f>
        <v/>
      </c>
      <c r="E56" s="290" t="str">
        <f>IF('ASIGNACIÓN ASIGNATURAS'!N95="","",'ASIGNACIÓN ASIGNATURAS'!N95)</f>
        <v/>
      </c>
      <c r="F56" s="290" t="str">
        <f>IF('ASIGNACIÓN ASIGNATURAS'!O95="","",'ASIGNACIÓN ASIGNATURAS'!O95)</f>
        <v/>
      </c>
      <c r="G56" s="290" t="str">
        <f>IF('ASIGNACIÓN ASIGNATURAS'!P95="","",'ASIGNACIÓN ASIGNATURAS'!P95)</f>
        <v/>
      </c>
      <c r="H56" s="290" t="str">
        <f>IF('ASIGNACIÓN ASIGNATURAS'!T95="","",'ASIGNACIÓN ASIGNATURAS'!T95)</f>
        <v/>
      </c>
      <c r="I56" s="290" t="str">
        <f>IF('ASIGNACIÓN ASIGNATURAS'!U95="","",'ASIGNACIÓN ASIGNATURAS'!U95)</f>
        <v/>
      </c>
      <c r="J56" s="290" t="str">
        <f>IF('ASIGNACIÓN ASIGNATURAS'!V95="","",'ASIGNACIÓN ASIGNATURAS'!V95)</f>
        <v/>
      </c>
      <c r="K56" s="301" t="str">
        <f>IF('ASIGNACIÓN ASIGNATURAS'!S95="","",'ASIGNACIÓN ASIGNATURAS'!S95)</f>
        <v/>
      </c>
      <c r="L56" s="244" t="str">
        <f>IF('ASIGNACIÓN ASIGNATURAS'!Q95="","",'ASIGNACIÓN ASIGNATURAS'!Q95)</f>
        <v/>
      </c>
      <c r="M56" s="244" t="str">
        <f>IF('ASIGNACIÓN ASIGNATURAS'!R95="","",'ASIGNACIÓN ASIGNATURAS'!R95)</f>
        <v/>
      </c>
      <c r="N56" s="244" t="str">
        <f>IF('ASIGNACIÓN ASIGNATURAS'!W95="","",'ASIGNACIÓN ASIGNATURAS'!W95)</f>
        <v/>
      </c>
      <c r="O56" s="244" t="str">
        <f>IF('ASIGNACIÓN ASIGNATURAS'!X95="","",'ASIGNACIÓN ASIGNATURAS'!X95)</f>
        <v/>
      </c>
      <c r="P56" s="244" t="str">
        <f>IF('ASIGNACIÓN ASIGNATURAS'!Y95="","",'ASIGNACIÓN ASIGNATURAS'!Y95)</f>
        <v/>
      </c>
      <c r="Q56" s="244" t="str">
        <f>IF('ASIGNACIÓN ASIGNATURAS'!Z95="","",'ASIGNACIÓN ASIGNATURAS'!Z95)</f>
        <v/>
      </c>
      <c r="R56" s="244" t="str">
        <f>IF('ASIGNACIÓN ASIGNATURAS'!AA95="","",'ASIGNACIÓN ASIGNATURAS'!AA95)</f>
        <v/>
      </c>
      <c r="S56" s="244" t="str">
        <f>IF('ASIGNACIÓN ASIGNATURAS'!AB95="","",'ASIGNACIÓN ASIGNATURAS'!AB95)</f>
        <v/>
      </c>
    </row>
    <row r="57" spans="1:19" x14ac:dyDescent="0.3">
      <c r="A57" s="290" t="str">
        <f>IF('ASIGNACIÓN ASIGNATURAS'!J99="","",'ASIGNACIÓN ASIGNATURAS'!J99)</f>
        <v/>
      </c>
      <c r="B57" s="290" t="str">
        <f>IF('ASIGNACIÓN ASIGNATURAS'!K99="","",'ASIGNACIÓN ASIGNATURAS'!K99)</f>
        <v/>
      </c>
      <c r="C57" s="290" t="str">
        <f>IF('ASIGNACIÓN ASIGNATURAS'!L99="","",'ASIGNACIÓN ASIGNATURAS'!L99)</f>
        <v/>
      </c>
      <c r="D57" s="290" t="str">
        <f>IF('ASIGNACIÓN ASIGNATURAS'!M99="","",'ASIGNACIÓN ASIGNATURAS'!M99)</f>
        <v/>
      </c>
      <c r="E57" s="290" t="str">
        <f>IF('ASIGNACIÓN ASIGNATURAS'!N99="","",'ASIGNACIÓN ASIGNATURAS'!N99)</f>
        <v/>
      </c>
      <c r="F57" s="290" t="str">
        <f>IF('ASIGNACIÓN ASIGNATURAS'!O99="","",'ASIGNACIÓN ASIGNATURAS'!O99)</f>
        <v/>
      </c>
      <c r="G57" s="290" t="str">
        <f>IF('ASIGNACIÓN ASIGNATURAS'!P99="","",'ASIGNACIÓN ASIGNATURAS'!P99)</f>
        <v/>
      </c>
      <c r="H57" s="290" t="str">
        <f>IF('ASIGNACIÓN ASIGNATURAS'!T99="","",'ASIGNACIÓN ASIGNATURAS'!T99)</f>
        <v/>
      </c>
      <c r="I57" s="290" t="str">
        <f>IF('ASIGNACIÓN ASIGNATURAS'!U99="","",'ASIGNACIÓN ASIGNATURAS'!U99)</f>
        <v/>
      </c>
      <c r="J57" s="290" t="str">
        <f>IF('ASIGNACIÓN ASIGNATURAS'!V99="","",'ASIGNACIÓN ASIGNATURAS'!V99)</f>
        <v/>
      </c>
      <c r="K57" s="301" t="str">
        <f>IF('ASIGNACIÓN ASIGNATURAS'!S99="","",'ASIGNACIÓN ASIGNATURAS'!S99)</f>
        <v/>
      </c>
      <c r="L57" s="244" t="str">
        <f>IF('ASIGNACIÓN ASIGNATURAS'!Q99="","",'ASIGNACIÓN ASIGNATURAS'!Q99)</f>
        <v/>
      </c>
      <c r="M57" s="244" t="str">
        <f>IF('ASIGNACIÓN ASIGNATURAS'!R99="","",'ASIGNACIÓN ASIGNATURAS'!R99)</f>
        <v/>
      </c>
      <c r="N57" s="244" t="str">
        <f>IF('ASIGNACIÓN ASIGNATURAS'!W99="","",'ASIGNACIÓN ASIGNATURAS'!W99)</f>
        <v/>
      </c>
      <c r="O57" s="244" t="str">
        <f>IF('ASIGNACIÓN ASIGNATURAS'!X99="","",'ASIGNACIÓN ASIGNATURAS'!X99)</f>
        <v/>
      </c>
      <c r="P57" s="244" t="str">
        <f>IF('ASIGNACIÓN ASIGNATURAS'!Y99="","",'ASIGNACIÓN ASIGNATURAS'!Y99)</f>
        <v/>
      </c>
      <c r="Q57" s="244" t="str">
        <f>IF('ASIGNACIÓN ASIGNATURAS'!Z99="","",'ASIGNACIÓN ASIGNATURAS'!Z99)</f>
        <v/>
      </c>
      <c r="R57" s="244" t="str">
        <f>IF('ASIGNACIÓN ASIGNATURAS'!AA99="","",'ASIGNACIÓN ASIGNATURAS'!AA99)</f>
        <v/>
      </c>
      <c r="S57" s="244" t="str">
        <f>IF('ASIGNACIÓN ASIGNATURAS'!AB99="","",'ASIGNACIÓN ASIGNATURAS'!AB99)</f>
        <v/>
      </c>
    </row>
    <row r="58" spans="1:19" x14ac:dyDescent="0.3">
      <c r="A58" s="290" t="str">
        <f>IF('ASIGNACIÓN ASIGNATURAS'!J103="","",'ASIGNACIÓN ASIGNATURAS'!J103)</f>
        <v/>
      </c>
      <c r="B58" s="290" t="str">
        <f>IF('ASIGNACIÓN ASIGNATURAS'!K103="","",'ASIGNACIÓN ASIGNATURAS'!K103)</f>
        <v/>
      </c>
      <c r="C58" s="290" t="str">
        <f>IF('ASIGNACIÓN ASIGNATURAS'!L103="","",'ASIGNACIÓN ASIGNATURAS'!L103)</f>
        <v/>
      </c>
      <c r="D58" s="290" t="str">
        <f>IF('ASIGNACIÓN ASIGNATURAS'!M103="","",'ASIGNACIÓN ASIGNATURAS'!M103)</f>
        <v/>
      </c>
      <c r="E58" s="290" t="str">
        <f>IF('ASIGNACIÓN ASIGNATURAS'!N103="","",'ASIGNACIÓN ASIGNATURAS'!N103)</f>
        <v/>
      </c>
      <c r="F58" s="290" t="str">
        <f>IF('ASIGNACIÓN ASIGNATURAS'!O103="","",'ASIGNACIÓN ASIGNATURAS'!O103)</f>
        <v/>
      </c>
      <c r="G58" s="290" t="str">
        <f>IF('ASIGNACIÓN ASIGNATURAS'!P103="","",'ASIGNACIÓN ASIGNATURAS'!P103)</f>
        <v/>
      </c>
      <c r="H58" s="290" t="str">
        <f>IF('ASIGNACIÓN ASIGNATURAS'!T103="","",'ASIGNACIÓN ASIGNATURAS'!T103)</f>
        <v/>
      </c>
      <c r="I58" s="290" t="str">
        <f>IF('ASIGNACIÓN ASIGNATURAS'!U103="","",'ASIGNACIÓN ASIGNATURAS'!U103)</f>
        <v/>
      </c>
      <c r="J58" s="290" t="str">
        <f>IF('ASIGNACIÓN ASIGNATURAS'!V103="","",'ASIGNACIÓN ASIGNATURAS'!V103)</f>
        <v/>
      </c>
      <c r="K58" s="301" t="str">
        <f>IF('ASIGNACIÓN ASIGNATURAS'!S103="","",'ASIGNACIÓN ASIGNATURAS'!S103)</f>
        <v/>
      </c>
      <c r="L58" s="244" t="str">
        <f>IF('ASIGNACIÓN ASIGNATURAS'!Q103="","",'ASIGNACIÓN ASIGNATURAS'!Q103)</f>
        <v/>
      </c>
      <c r="M58" s="244" t="str">
        <f>IF('ASIGNACIÓN ASIGNATURAS'!R103="","",'ASIGNACIÓN ASIGNATURAS'!R103)</f>
        <v/>
      </c>
      <c r="N58" s="244" t="str">
        <f>IF('ASIGNACIÓN ASIGNATURAS'!W103="","",'ASIGNACIÓN ASIGNATURAS'!W103)</f>
        <v/>
      </c>
      <c r="O58" s="244" t="str">
        <f>IF('ASIGNACIÓN ASIGNATURAS'!X103="","",'ASIGNACIÓN ASIGNATURAS'!X103)</f>
        <v/>
      </c>
      <c r="P58" s="244" t="str">
        <f>IF('ASIGNACIÓN ASIGNATURAS'!Y103="","",'ASIGNACIÓN ASIGNATURAS'!Y103)</f>
        <v/>
      </c>
      <c r="Q58" s="244" t="str">
        <f>IF('ASIGNACIÓN ASIGNATURAS'!Z103="","",'ASIGNACIÓN ASIGNATURAS'!Z103)</f>
        <v/>
      </c>
      <c r="R58" s="244" t="str">
        <f>IF('ASIGNACIÓN ASIGNATURAS'!AA103="","",'ASIGNACIÓN ASIGNATURAS'!AA103)</f>
        <v/>
      </c>
      <c r="S58" s="244" t="str">
        <f>IF('ASIGNACIÓN ASIGNATURAS'!AB103="","",'ASIGNACIÓN ASIGNATURAS'!AB103)</f>
        <v/>
      </c>
    </row>
    <row r="59" spans="1:19" x14ac:dyDescent="0.3">
      <c r="A59" s="290" t="str">
        <f>IF('ASIGNACIÓN ASIGNATURAS'!J119="","",'ASIGNACIÓN ASIGNATURAS'!J119)</f>
        <v/>
      </c>
      <c r="B59" s="290" t="str">
        <f>IF('ASIGNACIÓN ASIGNATURAS'!K119="","",'ASIGNACIÓN ASIGNATURAS'!K119)</f>
        <v/>
      </c>
      <c r="C59" s="290" t="str">
        <f>IF('ASIGNACIÓN ASIGNATURAS'!L119="","",'ASIGNACIÓN ASIGNATURAS'!L119)</f>
        <v/>
      </c>
      <c r="D59" s="290" t="str">
        <f>IF('ASIGNACIÓN ASIGNATURAS'!M119="","",'ASIGNACIÓN ASIGNATURAS'!M119)</f>
        <v/>
      </c>
      <c r="E59" s="290" t="str">
        <f>IF('ASIGNACIÓN ASIGNATURAS'!N119="","",'ASIGNACIÓN ASIGNATURAS'!N119)</f>
        <v/>
      </c>
      <c r="F59" s="290" t="str">
        <f>IF('ASIGNACIÓN ASIGNATURAS'!O119="","",'ASIGNACIÓN ASIGNATURAS'!O119)</f>
        <v/>
      </c>
      <c r="G59" s="290" t="str">
        <f>IF('ASIGNACIÓN ASIGNATURAS'!P119="","",'ASIGNACIÓN ASIGNATURAS'!P119)</f>
        <v/>
      </c>
      <c r="H59" s="290" t="str">
        <f>IF('ASIGNACIÓN ASIGNATURAS'!T119="","",'ASIGNACIÓN ASIGNATURAS'!T119)</f>
        <v/>
      </c>
      <c r="I59" s="290" t="str">
        <f>IF('ASIGNACIÓN ASIGNATURAS'!U119="","",'ASIGNACIÓN ASIGNATURAS'!U119)</f>
        <v/>
      </c>
      <c r="J59" s="290" t="str">
        <f>IF('ASIGNACIÓN ASIGNATURAS'!V119="","",'ASIGNACIÓN ASIGNATURAS'!V119)</f>
        <v/>
      </c>
      <c r="K59" s="301" t="str">
        <f>IF('ASIGNACIÓN ASIGNATURAS'!S119="","",'ASIGNACIÓN ASIGNATURAS'!S119)</f>
        <v/>
      </c>
      <c r="L59" s="244" t="str">
        <f>IF('ASIGNACIÓN ASIGNATURAS'!Q119="","",'ASIGNACIÓN ASIGNATURAS'!Q119)</f>
        <v/>
      </c>
      <c r="M59" s="244" t="str">
        <f>IF('ASIGNACIÓN ASIGNATURAS'!R119="","",'ASIGNACIÓN ASIGNATURAS'!R119)</f>
        <v/>
      </c>
      <c r="N59" s="244" t="str">
        <f>IF('ASIGNACIÓN ASIGNATURAS'!W119="","",'ASIGNACIÓN ASIGNATURAS'!W119)</f>
        <v/>
      </c>
      <c r="O59" s="244" t="str">
        <f>IF('ASIGNACIÓN ASIGNATURAS'!X119="","",'ASIGNACIÓN ASIGNATURAS'!X119)</f>
        <v/>
      </c>
      <c r="P59" s="244" t="str">
        <f>IF('ASIGNACIÓN ASIGNATURAS'!Y119="","",'ASIGNACIÓN ASIGNATURAS'!Y119)</f>
        <v/>
      </c>
      <c r="Q59" s="244" t="str">
        <f>IF('ASIGNACIÓN ASIGNATURAS'!Z119="","",'ASIGNACIÓN ASIGNATURAS'!Z119)</f>
        <v/>
      </c>
      <c r="R59" s="244" t="str">
        <f>IF('ASIGNACIÓN ASIGNATURAS'!AA119="","",'ASIGNACIÓN ASIGNATURAS'!AA119)</f>
        <v/>
      </c>
      <c r="S59" s="244" t="str">
        <f>IF('ASIGNACIÓN ASIGNATURAS'!AB119="","",'ASIGNACIÓN ASIGNATURAS'!AB119)</f>
        <v/>
      </c>
    </row>
    <row r="60" spans="1:19" x14ac:dyDescent="0.3">
      <c r="A60" s="290" t="str">
        <f>IF('ASIGNACIÓN ASIGNATURAS'!J123="","",'ASIGNACIÓN ASIGNATURAS'!J123)</f>
        <v/>
      </c>
      <c r="B60" s="290" t="str">
        <f>IF('ASIGNACIÓN ASIGNATURAS'!K123="","",'ASIGNACIÓN ASIGNATURAS'!K123)</f>
        <v/>
      </c>
      <c r="C60" s="290" t="str">
        <f>IF('ASIGNACIÓN ASIGNATURAS'!L123="","",'ASIGNACIÓN ASIGNATURAS'!L123)</f>
        <v/>
      </c>
      <c r="D60" s="290" t="str">
        <f>IF('ASIGNACIÓN ASIGNATURAS'!M123="","",'ASIGNACIÓN ASIGNATURAS'!M123)</f>
        <v/>
      </c>
      <c r="E60" s="290" t="str">
        <f>IF('ASIGNACIÓN ASIGNATURAS'!N123="","",'ASIGNACIÓN ASIGNATURAS'!N123)</f>
        <v/>
      </c>
      <c r="F60" s="290" t="str">
        <f>IF('ASIGNACIÓN ASIGNATURAS'!O123="","",'ASIGNACIÓN ASIGNATURAS'!O123)</f>
        <v/>
      </c>
      <c r="G60" s="290" t="str">
        <f>IF('ASIGNACIÓN ASIGNATURAS'!P123="","",'ASIGNACIÓN ASIGNATURAS'!P123)</f>
        <v/>
      </c>
      <c r="H60" s="290" t="str">
        <f>IF('ASIGNACIÓN ASIGNATURAS'!T123="","",'ASIGNACIÓN ASIGNATURAS'!T123)</f>
        <v/>
      </c>
      <c r="I60" s="290" t="str">
        <f>IF('ASIGNACIÓN ASIGNATURAS'!U123="","",'ASIGNACIÓN ASIGNATURAS'!U123)</f>
        <v/>
      </c>
      <c r="J60" s="290" t="str">
        <f>IF('ASIGNACIÓN ASIGNATURAS'!V123="","",'ASIGNACIÓN ASIGNATURAS'!V123)</f>
        <v/>
      </c>
      <c r="K60" s="301" t="str">
        <f>IF('ASIGNACIÓN ASIGNATURAS'!S123="","",'ASIGNACIÓN ASIGNATURAS'!S123)</f>
        <v/>
      </c>
      <c r="L60" s="244" t="str">
        <f>IF('ASIGNACIÓN ASIGNATURAS'!Q123="","",'ASIGNACIÓN ASIGNATURAS'!Q123)</f>
        <v/>
      </c>
      <c r="M60" s="244" t="str">
        <f>IF('ASIGNACIÓN ASIGNATURAS'!R123="","",'ASIGNACIÓN ASIGNATURAS'!R123)</f>
        <v/>
      </c>
      <c r="N60" s="244" t="str">
        <f>IF('ASIGNACIÓN ASIGNATURAS'!W123="","",'ASIGNACIÓN ASIGNATURAS'!W123)</f>
        <v/>
      </c>
      <c r="O60" s="244" t="str">
        <f>IF('ASIGNACIÓN ASIGNATURAS'!X123="","",'ASIGNACIÓN ASIGNATURAS'!X123)</f>
        <v/>
      </c>
      <c r="P60" s="244" t="str">
        <f>IF('ASIGNACIÓN ASIGNATURAS'!Y123="","",'ASIGNACIÓN ASIGNATURAS'!Y123)</f>
        <v/>
      </c>
      <c r="Q60" s="244" t="str">
        <f>IF('ASIGNACIÓN ASIGNATURAS'!Z123="","",'ASIGNACIÓN ASIGNATURAS'!Z123)</f>
        <v/>
      </c>
      <c r="R60" s="244" t="str">
        <f>IF('ASIGNACIÓN ASIGNATURAS'!AA123="","",'ASIGNACIÓN ASIGNATURAS'!AA123)</f>
        <v/>
      </c>
      <c r="S60" s="244" t="str">
        <f>IF('ASIGNACIÓN ASIGNATURAS'!AB123="","",'ASIGNACIÓN ASIGNATURAS'!AB123)</f>
        <v/>
      </c>
    </row>
    <row r="61" spans="1:19" x14ac:dyDescent="0.3">
      <c r="A61" s="290" t="str">
        <f>IF('ASIGNACIÓN ASIGNATURAS'!J143="","",'ASIGNACIÓN ASIGNATURAS'!J143)</f>
        <v/>
      </c>
      <c r="B61" s="290" t="str">
        <f>IF('ASIGNACIÓN ASIGNATURAS'!K143="","",'ASIGNACIÓN ASIGNATURAS'!K143)</f>
        <v/>
      </c>
      <c r="C61" s="290" t="str">
        <f>IF('ASIGNACIÓN ASIGNATURAS'!L143="","",'ASIGNACIÓN ASIGNATURAS'!L143)</f>
        <v/>
      </c>
      <c r="D61" s="290" t="str">
        <f>IF('ASIGNACIÓN ASIGNATURAS'!M143="","",'ASIGNACIÓN ASIGNATURAS'!M143)</f>
        <v/>
      </c>
      <c r="E61" s="290" t="str">
        <f>IF('ASIGNACIÓN ASIGNATURAS'!N143="","",'ASIGNACIÓN ASIGNATURAS'!N143)</f>
        <v/>
      </c>
      <c r="F61" s="290" t="str">
        <f>IF('ASIGNACIÓN ASIGNATURAS'!O143="","",'ASIGNACIÓN ASIGNATURAS'!O143)</f>
        <v/>
      </c>
      <c r="G61" s="290" t="str">
        <f>IF('ASIGNACIÓN ASIGNATURAS'!P143="","",'ASIGNACIÓN ASIGNATURAS'!P143)</f>
        <v/>
      </c>
      <c r="H61" s="290" t="str">
        <f>IF('ASIGNACIÓN ASIGNATURAS'!T143="","",'ASIGNACIÓN ASIGNATURAS'!T143)</f>
        <v/>
      </c>
      <c r="I61" s="290" t="str">
        <f>IF('ASIGNACIÓN ASIGNATURAS'!U143="","",'ASIGNACIÓN ASIGNATURAS'!U143)</f>
        <v/>
      </c>
      <c r="J61" s="290" t="str">
        <f>IF('ASIGNACIÓN ASIGNATURAS'!V143="","",'ASIGNACIÓN ASIGNATURAS'!V143)</f>
        <v/>
      </c>
      <c r="K61" s="301" t="str">
        <f>IF('ASIGNACIÓN ASIGNATURAS'!S143="","",'ASIGNACIÓN ASIGNATURAS'!S143)</f>
        <v/>
      </c>
      <c r="L61" s="244" t="str">
        <f>IF('ASIGNACIÓN ASIGNATURAS'!Q143="","",'ASIGNACIÓN ASIGNATURAS'!Q143)</f>
        <v/>
      </c>
      <c r="M61" s="244" t="str">
        <f>IF('ASIGNACIÓN ASIGNATURAS'!R143="","",'ASIGNACIÓN ASIGNATURAS'!R143)</f>
        <v/>
      </c>
      <c r="N61" s="244" t="str">
        <f>IF('ASIGNACIÓN ASIGNATURAS'!W143="","",'ASIGNACIÓN ASIGNATURAS'!W143)</f>
        <v/>
      </c>
      <c r="O61" s="244" t="str">
        <f>IF('ASIGNACIÓN ASIGNATURAS'!X143="","",'ASIGNACIÓN ASIGNATURAS'!X143)</f>
        <v/>
      </c>
      <c r="P61" s="244" t="str">
        <f>IF('ASIGNACIÓN ASIGNATURAS'!Y143="","",'ASIGNACIÓN ASIGNATURAS'!Y143)</f>
        <v/>
      </c>
      <c r="Q61" s="244" t="str">
        <f>IF('ASIGNACIÓN ASIGNATURAS'!Z143="","",'ASIGNACIÓN ASIGNATURAS'!Z143)</f>
        <v/>
      </c>
      <c r="R61" s="244" t="str">
        <f>IF('ASIGNACIÓN ASIGNATURAS'!AA143="","",'ASIGNACIÓN ASIGNATURAS'!AA143)</f>
        <v/>
      </c>
      <c r="S61" s="244" t="str">
        <f>IF('ASIGNACIÓN ASIGNATURAS'!AB143="","",'ASIGNACIÓN ASIGNATURAS'!AB143)</f>
        <v/>
      </c>
    </row>
    <row r="62" spans="1:19" x14ac:dyDescent="0.3">
      <c r="A62" s="290" t="str">
        <f>IF('ASIGNACIÓN ASIGNATURAS'!J152="","",'ASIGNACIÓN ASIGNATURAS'!J152)</f>
        <v/>
      </c>
      <c r="B62" s="290" t="str">
        <f>IF('ASIGNACIÓN ASIGNATURAS'!K152="","",'ASIGNACIÓN ASIGNATURAS'!K152)</f>
        <v/>
      </c>
      <c r="C62" s="290" t="str">
        <f>IF('ASIGNACIÓN ASIGNATURAS'!L152="","",'ASIGNACIÓN ASIGNATURAS'!L152)</f>
        <v/>
      </c>
      <c r="D62" s="290" t="str">
        <f>IF('ASIGNACIÓN ASIGNATURAS'!M152="","",'ASIGNACIÓN ASIGNATURAS'!M152)</f>
        <v/>
      </c>
      <c r="E62" s="290" t="str">
        <f>IF('ASIGNACIÓN ASIGNATURAS'!N152="","",'ASIGNACIÓN ASIGNATURAS'!N152)</f>
        <v/>
      </c>
      <c r="F62" s="290" t="str">
        <f>IF('ASIGNACIÓN ASIGNATURAS'!O152="","",'ASIGNACIÓN ASIGNATURAS'!O152)</f>
        <v/>
      </c>
      <c r="G62" s="290" t="str">
        <f>IF('ASIGNACIÓN ASIGNATURAS'!P152="","",'ASIGNACIÓN ASIGNATURAS'!P152)</f>
        <v/>
      </c>
      <c r="H62" s="290" t="str">
        <f>IF('ASIGNACIÓN ASIGNATURAS'!T152="","",'ASIGNACIÓN ASIGNATURAS'!T152)</f>
        <v/>
      </c>
      <c r="I62" s="290" t="str">
        <f>IF('ASIGNACIÓN ASIGNATURAS'!U152="","",'ASIGNACIÓN ASIGNATURAS'!U152)</f>
        <v/>
      </c>
      <c r="J62" s="290" t="str">
        <f>IF('ASIGNACIÓN ASIGNATURAS'!V152="","",'ASIGNACIÓN ASIGNATURAS'!V152)</f>
        <v/>
      </c>
      <c r="K62" s="301" t="str">
        <f>IF('ASIGNACIÓN ASIGNATURAS'!S152="","",'ASIGNACIÓN ASIGNATURAS'!S152)</f>
        <v/>
      </c>
      <c r="L62" s="244" t="str">
        <f>IF('ASIGNACIÓN ASIGNATURAS'!Q152="","",'ASIGNACIÓN ASIGNATURAS'!Q152)</f>
        <v/>
      </c>
      <c r="M62" s="244" t="str">
        <f>IF('ASIGNACIÓN ASIGNATURAS'!R152="","",'ASIGNACIÓN ASIGNATURAS'!R152)</f>
        <v/>
      </c>
      <c r="N62" s="244" t="str">
        <f>IF('ASIGNACIÓN ASIGNATURAS'!W152="","",'ASIGNACIÓN ASIGNATURAS'!W152)</f>
        <v/>
      </c>
      <c r="O62" s="244" t="str">
        <f>IF('ASIGNACIÓN ASIGNATURAS'!X152="","",'ASIGNACIÓN ASIGNATURAS'!X152)</f>
        <v/>
      </c>
      <c r="P62" s="244" t="str">
        <f>IF('ASIGNACIÓN ASIGNATURAS'!Y152="","",'ASIGNACIÓN ASIGNATURAS'!Y152)</f>
        <v/>
      </c>
      <c r="Q62" s="244" t="str">
        <f>IF('ASIGNACIÓN ASIGNATURAS'!Z152="","",'ASIGNACIÓN ASIGNATURAS'!Z152)</f>
        <v/>
      </c>
      <c r="R62" s="244" t="str">
        <f>IF('ASIGNACIÓN ASIGNATURAS'!AA152="","",'ASIGNACIÓN ASIGNATURAS'!AA152)</f>
        <v/>
      </c>
      <c r="S62" s="244" t="str">
        <f>IF('ASIGNACIÓN ASIGNATURAS'!AB152="","",'ASIGNACIÓN ASIGNATURAS'!AB152)</f>
        <v/>
      </c>
    </row>
    <row r="63" spans="1:19" x14ac:dyDescent="0.3">
      <c r="A63" s="290" t="str">
        <f>IF('ASIGNACIÓN ASIGNATURAS'!J156="","",'ASIGNACIÓN ASIGNATURAS'!J156)</f>
        <v/>
      </c>
      <c r="B63" s="290" t="str">
        <f>IF('ASIGNACIÓN ASIGNATURAS'!K156="","",'ASIGNACIÓN ASIGNATURAS'!K156)</f>
        <v/>
      </c>
      <c r="C63" s="290" t="str">
        <f>IF('ASIGNACIÓN ASIGNATURAS'!L156="","",'ASIGNACIÓN ASIGNATURAS'!L156)</f>
        <v/>
      </c>
      <c r="D63" s="290" t="str">
        <f>IF('ASIGNACIÓN ASIGNATURAS'!M156="","",'ASIGNACIÓN ASIGNATURAS'!M156)</f>
        <v/>
      </c>
      <c r="E63" s="290" t="str">
        <f>IF('ASIGNACIÓN ASIGNATURAS'!N156="","",'ASIGNACIÓN ASIGNATURAS'!N156)</f>
        <v/>
      </c>
      <c r="F63" s="290" t="str">
        <f>IF('ASIGNACIÓN ASIGNATURAS'!O156="","",'ASIGNACIÓN ASIGNATURAS'!O156)</f>
        <v/>
      </c>
      <c r="G63" s="290" t="str">
        <f>IF('ASIGNACIÓN ASIGNATURAS'!P156="","",'ASIGNACIÓN ASIGNATURAS'!P156)</f>
        <v/>
      </c>
      <c r="H63" s="290" t="str">
        <f>IF('ASIGNACIÓN ASIGNATURAS'!T156="","",'ASIGNACIÓN ASIGNATURAS'!T156)</f>
        <v/>
      </c>
      <c r="I63" s="290" t="str">
        <f>IF('ASIGNACIÓN ASIGNATURAS'!U156="","",'ASIGNACIÓN ASIGNATURAS'!U156)</f>
        <v/>
      </c>
      <c r="J63" s="290" t="str">
        <f>IF('ASIGNACIÓN ASIGNATURAS'!V156="","",'ASIGNACIÓN ASIGNATURAS'!V156)</f>
        <v/>
      </c>
      <c r="K63" s="301" t="str">
        <f>IF('ASIGNACIÓN ASIGNATURAS'!S156="","",'ASIGNACIÓN ASIGNATURAS'!S156)</f>
        <v/>
      </c>
      <c r="L63" s="244" t="str">
        <f>IF('ASIGNACIÓN ASIGNATURAS'!Q156="","",'ASIGNACIÓN ASIGNATURAS'!Q156)</f>
        <v/>
      </c>
      <c r="M63" s="244" t="str">
        <f>IF('ASIGNACIÓN ASIGNATURAS'!R156="","",'ASIGNACIÓN ASIGNATURAS'!R156)</f>
        <v/>
      </c>
      <c r="N63" s="244" t="str">
        <f>IF('ASIGNACIÓN ASIGNATURAS'!W156="","",'ASIGNACIÓN ASIGNATURAS'!W156)</f>
        <v/>
      </c>
      <c r="O63" s="244" t="str">
        <f>IF('ASIGNACIÓN ASIGNATURAS'!X156="","",'ASIGNACIÓN ASIGNATURAS'!X156)</f>
        <v/>
      </c>
      <c r="P63" s="244" t="str">
        <f>IF('ASIGNACIÓN ASIGNATURAS'!Y156="","",'ASIGNACIÓN ASIGNATURAS'!Y156)</f>
        <v/>
      </c>
      <c r="Q63" s="244" t="str">
        <f>IF('ASIGNACIÓN ASIGNATURAS'!Z156="","",'ASIGNACIÓN ASIGNATURAS'!Z156)</f>
        <v/>
      </c>
      <c r="R63" s="244" t="str">
        <f>IF('ASIGNACIÓN ASIGNATURAS'!AA156="","",'ASIGNACIÓN ASIGNATURAS'!AA156)</f>
        <v/>
      </c>
      <c r="S63" s="244" t="str">
        <f>IF('ASIGNACIÓN ASIGNATURAS'!AB156="","",'ASIGNACIÓN ASIGNATURAS'!AB156)</f>
        <v/>
      </c>
    </row>
    <row r="64" spans="1:19" x14ac:dyDescent="0.3">
      <c r="A64" s="290" t="str">
        <f>IF('ASIGNACIÓN ASIGNATURAS'!J48="","",'ASIGNACIÓN ASIGNATURAS'!J48)</f>
        <v/>
      </c>
      <c r="B64" s="290" t="str">
        <f>IF('ASIGNACIÓN ASIGNATURAS'!K48="","",'ASIGNACIÓN ASIGNATURAS'!K48)</f>
        <v/>
      </c>
      <c r="C64" s="290" t="str">
        <f>IF('ASIGNACIÓN ASIGNATURAS'!L48="","",'ASIGNACIÓN ASIGNATURAS'!L48)</f>
        <v/>
      </c>
      <c r="D64" s="290" t="str">
        <f>IF('ASIGNACIÓN ASIGNATURAS'!M48="","",'ASIGNACIÓN ASIGNATURAS'!M48)</f>
        <v/>
      </c>
      <c r="E64" s="290" t="str">
        <f>IF('ASIGNACIÓN ASIGNATURAS'!N48="","",'ASIGNACIÓN ASIGNATURAS'!N48)</f>
        <v/>
      </c>
      <c r="F64" s="290" t="str">
        <f>IF('ASIGNACIÓN ASIGNATURAS'!O48="","",'ASIGNACIÓN ASIGNATURAS'!O48)</f>
        <v/>
      </c>
      <c r="G64" s="290" t="str">
        <f>IF('ASIGNACIÓN ASIGNATURAS'!P48="","",'ASIGNACIÓN ASIGNATURAS'!P48)</f>
        <v/>
      </c>
      <c r="H64" s="290" t="str">
        <f>IF('ASIGNACIÓN ASIGNATURAS'!T48="","",'ASIGNACIÓN ASIGNATURAS'!T48)</f>
        <v/>
      </c>
      <c r="I64" s="290" t="str">
        <f>IF('ASIGNACIÓN ASIGNATURAS'!U48="","",'ASIGNACIÓN ASIGNATURAS'!U48)</f>
        <v/>
      </c>
      <c r="J64" s="290" t="str">
        <f>IF('ASIGNACIÓN ASIGNATURAS'!V48="","",'ASIGNACIÓN ASIGNATURAS'!V48)</f>
        <v/>
      </c>
      <c r="K64" s="301" t="str">
        <f>IF('ASIGNACIÓN ASIGNATURAS'!S48="","",'ASIGNACIÓN ASIGNATURAS'!S48)</f>
        <v/>
      </c>
      <c r="L64" s="244" t="str">
        <f>IF('ASIGNACIÓN ASIGNATURAS'!Q48="","",'ASIGNACIÓN ASIGNATURAS'!Q48)</f>
        <v/>
      </c>
      <c r="M64" s="244" t="str">
        <f>IF('ASIGNACIÓN ASIGNATURAS'!R48="","",'ASIGNACIÓN ASIGNATURAS'!R48)</f>
        <v/>
      </c>
      <c r="N64" s="244" t="str">
        <f>IF('ASIGNACIÓN ASIGNATURAS'!W48="","",'ASIGNACIÓN ASIGNATURAS'!W48)</f>
        <v/>
      </c>
      <c r="O64" s="244" t="str">
        <f>IF('ASIGNACIÓN ASIGNATURAS'!X48="","",'ASIGNACIÓN ASIGNATURAS'!X48)</f>
        <v/>
      </c>
      <c r="P64" s="244" t="str">
        <f>IF('ASIGNACIÓN ASIGNATURAS'!Y48="","",'ASIGNACIÓN ASIGNATURAS'!Y48)</f>
        <v/>
      </c>
      <c r="Q64" s="244" t="str">
        <f>IF('ASIGNACIÓN ASIGNATURAS'!Z48="","",'ASIGNACIÓN ASIGNATURAS'!Z48)</f>
        <v/>
      </c>
      <c r="R64" s="244" t="str">
        <f>IF('ASIGNACIÓN ASIGNATURAS'!AA48="","",'ASIGNACIÓN ASIGNATURAS'!AA48)</f>
        <v/>
      </c>
      <c r="S64" s="244" t="str">
        <f>IF('ASIGNACIÓN ASIGNATURAS'!AB48="","",'ASIGNACIÓN ASIGNATURAS'!AB48)</f>
        <v/>
      </c>
    </row>
    <row r="65" spans="1:19" x14ac:dyDescent="0.3">
      <c r="A65" s="290" t="str">
        <f>IF('ASIGNACIÓN ASIGNATURAS'!J52="","",'ASIGNACIÓN ASIGNATURAS'!J52)</f>
        <v/>
      </c>
      <c r="B65" s="290" t="str">
        <f>IF('ASIGNACIÓN ASIGNATURAS'!K52="","",'ASIGNACIÓN ASIGNATURAS'!K52)</f>
        <v/>
      </c>
      <c r="C65" s="290" t="str">
        <f>IF('ASIGNACIÓN ASIGNATURAS'!L52="","",'ASIGNACIÓN ASIGNATURAS'!L52)</f>
        <v/>
      </c>
      <c r="D65" s="290" t="str">
        <f>IF('ASIGNACIÓN ASIGNATURAS'!M52="","",'ASIGNACIÓN ASIGNATURAS'!M52)</f>
        <v/>
      </c>
      <c r="E65" s="290" t="str">
        <f>IF('ASIGNACIÓN ASIGNATURAS'!N52="","",'ASIGNACIÓN ASIGNATURAS'!N52)</f>
        <v/>
      </c>
      <c r="F65" s="290" t="str">
        <f>IF('ASIGNACIÓN ASIGNATURAS'!O52="","",'ASIGNACIÓN ASIGNATURAS'!O52)</f>
        <v/>
      </c>
      <c r="G65" s="290" t="str">
        <f>IF('ASIGNACIÓN ASIGNATURAS'!P52="","",'ASIGNACIÓN ASIGNATURAS'!P52)</f>
        <v/>
      </c>
      <c r="H65" s="290" t="str">
        <f>IF('ASIGNACIÓN ASIGNATURAS'!T52="","",'ASIGNACIÓN ASIGNATURAS'!T52)</f>
        <v/>
      </c>
      <c r="I65" s="290" t="str">
        <f>IF('ASIGNACIÓN ASIGNATURAS'!U52="","",'ASIGNACIÓN ASIGNATURAS'!U52)</f>
        <v/>
      </c>
      <c r="J65" s="290" t="str">
        <f>IF('ASIGNACIÓN ASIGNATURAS'!V52="","",'ASIGNACIÓN ASIGNATURAS'!V52)</f>
        <v/>
      </c>
      <c r="K65" s="301" t="str">
        <f>IF('ASIGNACIÓN ASIGNATURAS'!S52="","",'ASIGNACIÓN ASIGNATURAS'!S52)</f>
        <v/>
      </c>
      <c r="L65" s="244" t="str">
        <f>IF('ASIGNACIÓN ASIGNATURAS'!Q52="","",'ASIGNACIÓN ASIGNATURAS'!Q52)</f>
        <v/>
      </c>
      <c r="M65" s="244" t="str">
        <f>IF('ASIGNACIÓN ASIGNATURAS'!R52="","",'ASIGNACIÓN ASIGNATURAS'!R52)</f>
        <v/>
      </c>
      <c r="N65" s="244" t="str">
        <f>IF('ASIGNACIÓN ASIGNATURAS'!W52="","",'ASIGNACIÓN ASIGNATURAS'!W52)</f>
        <v/>
      </c>
      <c r="O65" s="244" t="str">
        <f>IF('ASIGNACIÓN ASIGNATURAS'!X52="","",'ASIGNACIÓN ASIGNATURAS'!X52)</f>
        <v/>
      </c>
      <c r="P65" s="244" t="str">
        <f>IF('ASIGNACIÓN ASIGNATURAS'!Y52="","",'ASIGNACIÓN ASIGNATURAS'!Y52)</f>
        <v/>
      </c>
      <c r="Q65" s="244" t="str">
        <f>IF('ASIGNACIÓN ASIGNATURAS'!Z52="","",'ASIGNACIÓN ASIGNATURAS'!Z52)</f>
        <v/>
      </c>
      <c r="R65" s="244" t="str">
        <f>IF('ASIGNACIÓN ASIGNATURAS'!AA52="","",'ASIGNACIÓN ASIGNATURAS'!AA52)</f>
        <v/>
      </c>
      <c r="S65" s="244" t="str">
        <f>IF('ASIGNACIÓN ASIGNATURAS'!AB52="","",'ASIGNACIÓN ASIGNATURAS'!AB52)</f>
        <v/>
      </c>
    </row>
    <row r="66" spans="1:19" x14ac:dyDescent="0.3">
      <c r="A66" s="290" t="str">
        <f>IF('ASIGNACIÓN ASIGNATURAS'!J56="","",'ASIGNACIÓN ASIGNATURAS'!J56)</f>
        <v/>
      </c>
      <c r="B66" s="290" t="str">
        <f>IF('ASIGNACIÓN ASIGNATURAS'!K56="","",'ASIGNACIÓN ASIGNATURAS'!K56)</f>
        <v/>
      </c>
      <c r="C66" s="290" t="str">
        <f>IF('ASIGNACIÓN ASIGNATURAS'!L56="","",'ASIGNACIÓN ASIGNATURAS'!L56)</f>
        <v/>
      </c>
      <c r="D66" s="290" t="str">
        <f>IF('ASIGNACIÓN ASIGNATURAS'!M56="","",'ASIGNACIÓN ASIGNATURAS'!M56)</f>
        <v/>
      </c>
      <c r="E66" s="290" t="str">
        <f>IF('ASIGNACIÓN ASIGNATURAS'!N56="","",'ASIGNACIÓN ASIGNATURAS'!N56)</f>
        <v/>
      </c>
      <c r="F66" s="290" t="str">
        <f>IF('ASIGNACIÓN ASIGNATURAS'!O56="","",'ASIGNACIÓN ASIGNATURAS'!O56)</f>
        <v/>
      </c>
      <c r="G66" s="290" t="str">
        <f>IF('ASIGNACIÓN ASIGNATURAS'!P56="","",'ASIGNACIÓN ASIGNATURAS'!P56)</f>
        <v/>
      </c>
      <c r="H66" s="290" t="str">
        <f>IF('ASIGNACIÓN ASIGNATURAS'!T56="","",'ASIGNACIÓN ASIGNATURAS'!T56)</f>
        <v/>
      </c>
      <c r="I66" s="290" t="str">
        <f>IF('ASIGNACIÓN ASIGNATURAS'!U56="","",'ASIGNACIÓN ASIGNATURAS'!U56)</f>
        <v/>
      </c>
      <c r="J66" s="290" t="str">
        <f>IF('ASIGNACIÓN ASIGNATURAS'!V56="","",'ASIGNACIÓN ASIGNATURAS'!V56)</f>
        <v/>
      </c>
      <c r="K66" s="301" t="str">
        <f>IF('ASIGNACIÓN ASIGNATURAS'!S56="","",'ASIGNACIÓN ASIGNATURAS'!S56)</f>
        <v/>
      </c>
      <c r="L66" s="244" t="str">
        <f>IF('ASIGNACIÓN ASIGNATURAS'!Q56="","",'ASIGNACIÓN ASIGNATURAS'!Q56)</f>
        <v/>
      </c>
      <c r="M66" s="244" t="str">
        <f>IF('ASIGNACIÓN ASIGNATURAS'!R56="","",'ASIGNACIÓN ASIGNATURAS'!R56)</f>
        <v/>
      </c>
      <c r="N66" s="244" t="str">
        <f>IF('ASIGNACIÓN ASIGNATURAS'!W56="","",'ASIGNACIÓN ASIGNATURAS'!W56)</f>
        <v/>
      </c>
      <c r="O66" s="244" t="str">
        <f>IF('ASIGNACIÓN ASIGNATURAS'!X56="","",'ASIGNACIÓN ASIGNATURAS'!X56)</f>
        <v/>
      </c>
      <c r="P66" s="244" t="str">
        <f>IF('ASIGNACIÓN ASIGNATURAS'!Y56="","",'ASIGNACIÓN ASIGNATURAS'!Y56)</f>
        <v/>
      </c>
      <c r="Q66" s="244" t="str">
        <f>IF('ASIGNACIÓN ASIGNATURAS'!Z56="","",'ASIGNACIÓN ASIGNATURAS'!Z56)</f>
        <v/>
      </c>
      <c r="R66" s="244" t="str">
        <f>IF('ASIGNACIÓN ASIGNATURAS'!AA56="","",'ASIGNACIÓN ASIGNATURAS'!AA56)</f>
        <v/>
      </c>
      <c r="S66" s="244" t="str">
        <f>IF('ASIGNACIÓN ASIGNATURAS'!AB56="","",'ASIGNACIÓN ASIGNATURAS'!AB56)</f>
        <v/>
      </c>
    </row>
    <row r="67" spans="1:19" x14ac:dyDescent="0.3">
      <c r="A67" s="290" t="str">
        <f>IF('ASIGNACIÓN ASIGNATURAS'!J60="","",'ASIGNACIÓN ASIGNATURAS'!J60)</f>
        <v/>
      </c>
      <c r="B67" s="290" t="str">
        <f>IF('ASIGNACIÓN ASIGNATURAS'!K60="","",'ASIGNACIÓN ASIGNATURAS'!K60)</f>
        <v/>
      </c>
      <c r="C67" s="290" t="str">
        <f>IF('ASIGNACIÓN ASIGNATURAS'!L60="","",'ASIGNACIÓN ASIGNATURAS'!L60)</f>
        <v/>
      </c>
      <c r="D67" s="290" t="str">
        <f>IF('ASIGNACIÓN ASIGNATURAS'!M60="","",'ASIGNACIÓN ASIGNATURAS'!M60)</f>
        <v/>
      </c>
      <c r="E67" s="290" t="str">
        <f>IF('ASIGNACIÓN ASIGNATURAS'!N60="","",'ASIGNACIÓN ASIGNATURAS'!N60)</f>
        <v/>
      </c>
      <c r="F67" s="290" t="str">
        <f>IF('ASIGNACIÓN ASIGNATURAS'!O60="","",'ASIGNACIÓN ASIGNATURAS'!O60)</f>
        <v/>
      </c>
      <c r="G67" s="290" t="str">
        <f>IF('ASIGNACIÓN ASIGNATURAS'!P60="","",'ASIGNACIÓN ASIGNATURAS'!P60)</f>
        <v/>
      </c>
      <c r="H67" s="290" t="str">
        <f>IF('ASIGNACIÓN ASIGNATURAS'!T60="","",'ASIGNACIÓN ASIGNATURAS'!T60)</f>
        <v/>
      </c>
      <c r="I67" s="290" t="str">
        <f>IF('ASIGNACIÓN ASIGNATURAS'!U60="","",'ASIGNACIÓN ASIGNATURAS'!U60)</f>
        <v/>
      </c>
      <c r="J67" s="290" t="str">
        <f>IF('ASIGNACIÓN ASIGNATURAS'!V60="","",'ASIGNACIÓN ASIGNATURAS'!V60)</f>
        <v/>
      </c>
      <c r="K67" s="301" t="str">
        <f>IF('ASIGNACIÓN ASIGNATURAS'!S60="","",'ASIGNACIÓN ASIGNATURAS'!S60)</f>
        <v/>
      </c>
      <c r="L67" s="244" t="str">
        <f>IF('ASIGNACIÓN ASIGNATURAS'!Q60="","",'ASIGNACIÓN ASIGNATURAS'!Q60)</f>
        <v/>
      </c>
      <c r="M67" s="244" t="str">
        <f>IF('ASIGNACIÓN ASIGNATURAS'!R60="","",'ASIGNACIÓN ASIGNATURAS'!R60)</f>
        <v/>
      </c>
      <c r="N67" s="244" t="str">
        <f>IF('ASIGNACIÓN ASIGNATURAS'!W60="","",'ASIGNACIÓN ASIGNATURAS'!W60)</f>
        <v/>
      </c>
      <c r="O67" s="244" t="str">
        <f>IF('ASIGNACIÓN ASIGNATURAS'!X60="","",'ASIGNACIÓN ASIGNATURAS'!X60)</f>
        <v/>
      </c>
      <c r="P67" s="244" t="str">
        <f>IF('ASIGNACIÓN ASIGNATURAS'!Y60="","",'ASIGNACIÓN ASIGNATURAS'!Y60)</f>
        <v/>
      </c>
      <c r="Q67" s="244" t="str">
        <f>IF('ASIGNACIÓN ASIGNATURAS'!Z60="","",'ASIGNACIÓN ASIGNATURAS'!Z60)</f>
        <v/>
      </c>
      <c r="R67" s="244" t="str">
        <f>IF('ASIGNACIÓN ASIGNATURAS'!AA60="","",'ASIGNACIÓN ASIGNATURAS'!AA60)</f>
        <v/>
      </c>
      <c r="S67" s="244" t="str">
        <f>IF('ASIGNACIÓN ASIGNATURAS'!AB60="","",'ASIGNACIÓN ASIGNATURAS'!AB60)</f>
        <v/>
      </c>
    </row>
    <row r="68" spans="1:19" x14ac:dyDescent="0.3">
      <c r="A68" s="290" t="str">
        <f>IF('ASIGNACIÓN ASIGNATURAS'!J64="","",'ASIGNACIÓN ASIGNATURAS'!J64)</f>
        <v/>
      </c>
      <c r="B68" s="290" t="str">
        <f>IF('ASIGNACIÓN ASIGNATURAS'!K64="","",'ASIGNACIÓN ASIGNATURAS'!K64)</f>
        <v/>
      </c>
      <c r="C68" s="290" t="str">
        <f>IF('ASIGNACIÓN ASIGNATURAS'!L64="","",'ASIGNACIÓN ASIGNATURAS'!L64)</f>
        <v/>
      </c>
      <c r="D68" s="290" t="str">
        <f>IF('ASIGNACIÓN ASIGNATURAS'!M64="","",'ASIGNACIÓN ASIGNATURAS'!M64)</f>
        <v/>
      </c>
      <c r="E68" s="290" t="str">
        <f>IF('ASIGNACIÓN ASIGNATURAS'!N64="","",'ASIGNACIÓN ASIGNATURAS'!N64)</f>
        <v/>
      </c>
      <c r="F68" s="290" t="str">
        <f>IF('ASIGNACIÓN ASIGNATURAS'!O64="","",'ASIGNACIÓN ASIGNATURAS'!O64)</f>
        <v/>
      </c>
      <c r="G68" s="290" t="str">
        <f>IF('ASIGNACIÓN ASIGNATURAS'!P64="","",'ASIGNACIÓN ASIGNATURAS'!P64)</f>
        <v/>
      </c>
      <c r="H68" s="290" t="str">
        <f>IF('ASIGNACIÓN ASIGNATURAS'!T64="","",'ASIGNACIÓN ASIGNATURAS'!T64)</f>
        <v/>
      </c>
      <c r="I68" s="290" t="str">
        <f>IF('ASIGNACIÓN ASIGNATURAS'!U64="","",'ASIGNACIÓN ASIGNATURAS'!U64)</f>
        <v/>
      </c>
      <c r="J68" s="290" t="str">
        <f>IF('ASIGNACIÓN ASIGNATURAS'!V64="","",'ASIGNACIÓN ASIGNATURAS'!V64)</f>
        <v/>
      </c>
      <c r="K68" s="301" t="str">
        <f>IF('ASIGNACIÓN ASIGNATURAS'!S64="","",'ASIGNACIÓN ASIGNATURAS'!S64)</f>
        <v/>
      </c>
      <c r="L68" s="244" t="str">
        <f>IF('ASIGNACIÓN ASIGNATURAS'!Q64="","",'ASIGNACIÓN ASIGNATURAS'!Q64)</f>
        <v/>
      </c>
      <c r="M68" s="244" t="str">
        <f>IF('ASIGNACIÓN ASIGNATURAS'!R64="","",'ASIGNACIÓN ASIGNATURAS'!R64)</f>
        <v/>
      </c>
      <c r="N68" s="244" t="str">
        <f>IF('ASIGNACIÓN ASIGNATURAS'!W64="","",'ASIGNACIÓN ASIGNATURAS'!W64)</f>
        <v/>
      </c>
      <c r="O68" s="244" t="str">
        <f>IF('ASIGNACIÓN ASIGNATURAS'!X64="","",'ASIGNACIÓN ASIGNATURAS'!X64)</f>
        <v/>
      </c>
      <c r="P68" s="244" t="str">
        <f>IF('ASIGNACIÓN ASIGNATURAS'!Y64="","",'ASIGNACIÓN ASIGNATURAS'!Y64)</f>
        <v/>
      </c>
      <c r="Q68" s="244" t="str">
        <f>IF('ASIGNACIÓN ASIGNATURAS'!Z64="","",'ASIGNACIÓN ASIGNATURAS'!Z64)</f>
        <v/>
      </c>
      <c r="R68" s="244" t="str">
        <f>IF('ASIGNACIÓN ASIGNATURAS'!AA64="","",'ASIGNACIÓN ASIGNATURAS'!AA64)</f>
        <v/>
      </c>
      <c r="S68" s="244" t="str">
        <f>IF('ASIGNACIÓN ASIGNATURAS'!AB64="","",'ASIGNACIÓN ASIGNATURAS'!AB64)</f>
        <v/>
      </c>
    </row>
    <row r="69" spans="1:19" x14ac:dyDescent="0.3">
      <c r="A69" s="290" t="str">
        <f>IF('ASIGNACIÓN ASIGNATURAS'!J72="","",'ASIGNACIÓN ASIGNATURAS'!J72)</f>
        <v/>
      </c>
      <c r="B69" s="290" t="str">
        <f>IF('ASIGNACIÓN ASIGNATURAS'!K72="","",'ASIGNACIÓN ASIGNATURAS'!K72)</f>
        <v/>
      </c>
      <c r="C69" s="290" t="str">
        <f>IF('ASIGNACIÓN ASIGNATURAS'!L72="","",'ASIGNACIÓN ASIGNATURAS'!L72)</f>
        <v/>
      </c>
      <c r="D69" s="290" t="str">
        <f>IF('ASIGNACIÓN ASIGNATURAS'!M72="","",'ASIGNACIÓN ASIGNATURAS'!M72)</f>
        <v/>
      </c>
      <c r="E69" s="290" t="str">
        <f>IF('ASIGNACIÓN ASIGNATURAS'!N72="","",'ASIGNACIÓN ASIGNATURAS'!N72)</f>
        <v/>
      </c>
      <c r="F69" s="290" t="str">
        <f>IF('ASIGNACIÓN ASIGNATURAS'!O72="","",'ASIGNACIÓN ASIGNATURAS'!O72)</f>
        <v/>
      </c>
      <c r="G69" s="290" t="str">
        <f>IF('ASIGNACIÓN ASIGNATURAS'!P72="","",'ASIGNACIÓN ASIGNATURAS'!P72)</f>
        <v/>
      </c>
      <c r="H69" s="290" t="str">
        <f>IF('ASIGNACIÓN ASIGNATURAS'!T72="","",'ASIGNACIÓN ASIGNATURAS'!T72)</f>
        <v/>
      </c>
      <c r="I69" s="290" t="str">
        <f>IF('ASIGNACIÓN ASIGNATURAS'!U72="","",'ASIGNACIÓN ASIGNATURAS'!U72)</f>
        <v/>
      </c>
      <c r="J69" s="290" t="str">
        <f>IF('ASIGNACIÓN ASIGNATURAS'!V72="","",'ASIGNACIÓN ASIGNATURAS'!V72)</f>
        <v/>
      </c>
      <c r="K69" s="301" t="str">
        <f>IF('ASIGNACIÓN ASIGNATURAS'!S72="","",'ASIGNACIÓN ASIGNATURAS'!S72)</f>
        <v/>
      </c>
      <c r="L69" s="244" t="str">
        <f>IF('ASIGNACIÓN ASIGNATURAS'!Q72="","",'ASIGNACIÓN ASIGNATURAS'!Q72)</f>
        <v/>
      </c>
      <c r="M69" s="244" t="str">
        <f>IF('ASIGNACIÓN ASIGNATURAS'!R72="","",'ASIGNACIÓN ASIGNATURAS'!R72)</f>
        <v/>
      </c>
      <c r="N69" s="244" t="str">
        <f>IF('ASIGNACIÓN ASIGNATURAS'!W72="","",'ASIGNACIÓN ASIGNATURAS'!W72)</f>
        <v/>
      </c>
      <c r="O69" s="244" t="str">
        <f>IF('ASIGNACIÓN ASIGNATURAS'!X72="","",'ASIGNACIÓN ASIGNATURAS'!X72)</f>
        <v/>
      </c>
      <c r="P69" s="244" t="str">
        <f>IF('ASIGNACIÓN ASIGNATURAS'!Y72="","",'ASIGNACIÓN ASIGNATURAS'!Y72)</f>
        <v/>
      </c>
      <c r="Q69" s="244" t="str">
        <f>IF('ASIGNACIÓN ASIGNATURAS'!Z72="","",'ASIGNACIÓN ASIGNATURAS'!Z72)</f>
        <v/>
      </c>
      <c r="R69" s="244" t="str">
        <f>IF('ASIGNACIÓN ASIGNATURAS'!AA72="","",'ASIGNACIÓN ASIGNATURAS'!AA72)</f>
        <v/>
      </c>
      <c r="S69" s="244" t="str">
        <f>IF('ASIGNACIÓN ASIGNATURAS'!AB72="","",'ASIGNACIÓN ASIGNATURAS'!AB72)</f>
        <v/>
      </c>
    </row>
    <row r="70" spans="1:19" x14ac:dyDescent="0.3">
      <c r="A70" s="290" t="str">
        <f>IF('ASIGNACIÓN ASIGNATURAS'!J76="","",'ASIGNACIÓN ASIGNATURAS'!J76)</f>
        <v/>
      </c>
      <c r="B70" s="290" t="str">
        <f>IF('ASIGNACIÓN ASIGNATURAS'!K76="","",'ASIGNACIÓN ASIGNATURAS'!K76)</f>
        <v/>
      </c>
      <c r="C70" s="290" t="str">
        <f>IF('ASIGNACIÓN ASIGNATURAS'!L76="","",'ASIGNACIÓN ASIGNATURAS'!L76)</f>
        <v/>
      </c>
      <c r="D70" s="290" t="str">
        <f>IF('ASIGNACIÓN ASIGNATURAS'!M76="","",'ASIGNACIÓN ASIGNATURAS'!M76)</f>
        <v/>
      </c>
      <c r="E70" s="290" t="str">
        <f>IF('ASIGNACIÓN ASIGNATURAS'!N76="","",'ASIGNACIÓN ASIGNATURAS'!N76)</f>
        <v/>
      </c>
      <c r="F70" s="290" t="str">
        <f>IF('ASIGNACIÓN ASIGNATURAS'!O76="","",'ASIGNACIÓN ASIGNATURAS'!O76)</f>
        <v/>
      </c>
      <c r="G70" s="290" t="str">
        <f>IF('ASIGNACIÓN ASIGNATURAS'!P76="","",'ASIGNACIÓN ASIGNATURAS'!P76)</f>
        <v/>
      </c>
      <c r="H70" s="290" t="str">
        <f>IF('ASIGNACIÓN ASIGNATURAS'!T76="","",'ASIGNACIÓN ASIGNATURAS'!T76)</f>
        <v/>
      </c>
      <c r="I70" s="290" t="str">
        <f>IF('ASIGNACIÓN ASIGNATURAS'!U76="","",'ASIGNACIÓN ASIGNATURAS'!U76)</f>
        <v/>
      </c>
      <c r="J70" s="290" t="str">
        <f>IF('ASIGNACIÓN ASIGNATURAS'!V76="","",'ASIGNACIÓN ASIGNATURAS'!V76)</f>
        <v/>
      </c>
      <c r="K70" s="301" t="str">
        <f>IF('ASIGNACIÓN ASIGNATURAS'!S76="","",'ASIGNACIÓN ASIGNATURAS'!S76)</f>
        <v/>
      </c>
      <c r="L70" s="244" t="str">
        <f>IF('ASIGNACIÓN ASIGNATURAS'!Q76="","",'ASIGNACIÓN ASIGNATURAS'!Q76)</f>
        <v/>
      </c>
      <c r="M70" s="244" t="str">
        <f>IF('ASIGNACIÓN ASIGNATURAS'!R76="","",'ASIGNACIÓN ASIGNATURAS'!R76)</f>
        <v/>
      </c>
      <c r="N70" s="244" t="str">
        <f>IF('ASIGNACIÓN ASIGNATURAS'!W76="","",'ASIGNACIÓN ASIGNATURAS'!W76)</f>
        <v/>
      </c>
      <c r="O70" s="244" t="str">
        <f>IF('ASIGNACIÓN ASIGNATURAS'!X76="","",'ASIGNACIÓN ASIGNATURAS'!X76)</f>
        <v/>
      </c>
      <c r="P70" s="244" t="str">
        <f>IF('ASIGNACIÓN ASIGNATURAS'!Y76="","",'ASIGNACIÓN ASIGNATURAS'!Y76)</f>
        <v/>
      </c>
      <c r="Q70" s="244" t="str">
        <f>IF('ASIGNACIÓN ASIGNATURAS'!Z76="","",'ASIGNACIÓN ASIGNATURAS'!Z76)</f>
        <v/>
      </c>
      <c r="R70" s="244" t="str">
        <f>IF('ASIGNACIÓN ASIGNATURAS'!AA76="","",'ASIGNACIÓN ASIGNATURAS'!AA76)</f>
        <v/>
      </c>
      <c r="S70" s="244" t="str">
        <f>IF('ASIGNACIÓN ASIGNATURAS'!AB76="","",'ASIGNACIÓN ASIGNATURAS'!AB76)</f>
        <v/>
      </c>
    </row>
    <row r="71" spans="1:19" x14ac:dyDescent="0.3">
      <c r="A71" s="290" t="str">
        <f>IF('ASIGNACIÓN ASIGNATURAS'!J80="","",'ASIGNACIÓN ASIGNATURAS'!J80)</f>
        <v/>
      </c>
      <c r="B71" s="290" t="str">
        <f>IF('ASIGNACIÓN ASIGNATURAS'!K80="","",'ASIGNACIÓN ASIGNATURAS'!K80)</f>
        <v/>
      </c>
      <c r="C71" s="290" t="str">
        <f>IF('ASIGNACIÓN ASIGNATURAS'!L80="","",'ASIGNACIÓN ASIGNATURAS'!L80)</f>
        <v/>
      </c>
      <c r="D71" s="290" t="str">
        <f>IF('ASIGNACIÓN ASIGNATURAS'!M80="","",'ASIGNACIÓN ASIGNATURAS'!M80)</f>
        <v/>
      </c>
      <c r="E71" s="290" t="str">
        <f>IF('ASIGNACIÓN ASIGNATURAS'!N80="","",'ASIGNACIÓN ASIGNATURAS'!N80)</f>
        <v/>
      </c>
      <c r="F71" s="290" t="str">
        <f>IF('ASIGNACIÓN ASIGNATURAS'!O80="","",'ASIGNACIÓN ASIGNATURAS'!O80)</f>
        <v/>
      </c>
      <c r="G71" s="290" t="str">
        <f>IF('ASIGNACIÓN ASIGNATURAS'!P80="","",'ASIGNACIÓN ASIGNATURAS'!P80)</f>
        <v/>
      </c>
      <c r="H71" s="290" t="str">
        <f>IF('ASIGNACIÓN ASIGNATURAS'!T80="","",'ASIGNACIÓN ASIGNATURAS'!T80)</f>
        <v/>
      </c>
      <c r="I71" s="290" t="str">
        <f>IF('ASIGNACIÓN ASIGNATURAS'!U80="","",'ASIGNACIÓN ASIGNATURAS'!U80)</f>
        <v/>
      </c>
      <c r="J71" s="290" t="str">
        <f>IF('ASIGNACIÓN ASIGNATURAS'!V80="","",'ASIGNACIÓN ASIGNATURAS'!V80)</f>
        <v/>
      </c>
      <c r="K71" s="301" t="str">
        <f>IF('ASIGNACIÓN ASIGNATURAS'!S80="","",'ASIGNACIÓN ASIGNATURAS'!S80)</f>
        <v/>
      </c>
      <c r="L71" s="244" t="str">
        <f>IF('ASIGNACIÓN ASIGNATURAS'!Q80="","",'ASIGNACIÓN ASIGNATURAS'!Q80)</f>
        <v/>
      </c>
      <c r="M71" s="244" t="str">
        <f>IF('ASIGNACIÓN ASIGNATURAS'!R80="","",'ASIGNACIÓN ASIGNATURAS'!R80)</f>
        <v/>
      </c>
      <c r="N71" s="244" t="str">
        <f>IF('ASIGNACIÓN ASIGNATURAS'!W80="","",'ASIGNACIÓN ASIGNATURAS'!W80)</f>
        <v/>
      </c>
      <c r="O71" s="244" t="str">
        <f>IF('ASIGNACIÓN ASIGNATURAS'!X80="","",'ASIGNACIÓN ASIGNATURAS'!X80)</f>
        <v/>
      </c>
      <c r="P71" s="244" t="str">
        <f>IF('ASIGNACIÓN ASIGNATURAS'!Y80="","",'ASIGNACIÓN ASIGNATURAS'!Y80)</f>
        <v/>
      </c>
      <c r="Q71" s="244" t="str">
        <f>IF('ASIGNACIÓN ASIGNATURAS'!Z80="","",'ASIGNACIÓN ASIGNATURAS'!Z80)</f>
        <v/>
      </c>
      <c r="R71" s="244" t="str">
        <f>IF('ASIGNACIÓN ASIGNATURAS'!AA80="","",'ASIGNACIÓN ASIGNATURAS'!AA80)</f>
        <v/>
      </c>
      <c r="S71" s="244" t="str">
        <f>IF('ASIGNACIÓN ASIGNATURAS'!AB80="","",'ASIGNACIÓN ASIGNATURAS'!AB80)</f>
        <v/>
      </c>
    </row>
    <row r="72" spans="1:19" x14ac:dyDescent="0.3">
      <c r="A72" s="290" t="str">
        <f>IF('ASIGNACIÓN ASIGNATURAS'!J96="","",'ASIGNACIÓN ASIGNATURAS'!J96)</f>
        <v/>
      </c>
      <c r="B72" s="290" t="str">
        <f>IF('ASIGNACIÓN ASIGNATURAS'!K96="","",'ASIGNACIÓN ASIGNATURAS'!K96)</f>
        <v/>
      </c>
      <c r="C72" s="290" t="str">
        <f>IF('ASIGNACIÓN ASIGNATURAS'!L96="","",'ASIGNACIÓN ASIGNATURAS'!L96)</f>
        <v/>
      </c>
      <c r="D72" s="290" t="str">
        <f>IF('ASIGNACIÓN ASIGNATURAS'!M96="","",'ASIGNACIÓN ASIGNATURAS'!M96)</f>
        <v/>
      </c>
      <c r="E72" s="290" t="str">
        <f>IF('ASIGNACIÓN ASIGNATURAS'!N96="","",'ASIGNACIÓN ASIGNATURAS'!N96)</f>
        <v/>
      </c>
      <c r="F72" s="290" t="str">
        <f>IF('ASIGNACIÓN ASIGNATURAS'!O96="","",'ASIGNACIÓN ASIGNATURAS'!O96)</f>
        <v/>
      </c>
      <c r="G72" s="290" t="str">
        <f>IF('ASIGNACIÓN ASIGNATURAS'!P96="","",'ASIGNACIÓN ASIGNATURAS'!P96)</f>
        <v/>
      </c>
      <c r="H72" s="290" t="str">
        <f>IF('ASIGNACIÓN ASIGNATURAS'!T96="","",'ASIGNACIÓN ASIGNATURAS'!T96)</f>
        <v/>
      </c>
      <c r="I72" s="290" t="str">
        <f>IF('ASIGNACIÓN ASIGNATURAS'!U96="","",'ASIGNACIÓN ASIGNATURAS'!U96)</f>
        <v/>
      </c>
      <c r="J72" s="290" t="str">
        <f>IF('ASIGNACIÓN ASIGNATURAS'!V96="","",'ASIGNACIÓN ASIGNATURAS'!V96)</f>
        <v/>
      </c>
      <c r="K72" s="301" t="str">
        <f>IF('ASIGNACIÓN ASIGNATURAS'!S96="","",'ASIGNACIÓN ASIGNATURAS'!S96)</f>
        <v/>
      </c>
      <c r="L72" s="244" t="str">
        <f>IF('ASIGNACIÓN ASIGNATURAS'!Q96="","",'ASIGNACIÓN ASIGNATURAS'!Q96)</f>
        <v/>
      </c>
      <c r="M72" s="244" t="str">
        <f>IF('ASIGNACIÓN ASIGNATURAS'!R96="","",'ASIGNACIÓN ASIGNATURAS'!R96)</f>
        <v/>
      </c>
      <c r="N72" s="244" t="str">
        <f>IF('ASIGNACIÓN ASIGNATURAS'!W96="","",'ASIGNACIÓN ASIGNATURAS'!W96)</f>
        <v/>
      </c>
      <c r="O72" s="244" t="str">
        <f>IF('ASIGNACIÓN ASIGNATURAS'!X96="","",'ASIGNACIÓN ASIGNATURAS'!X96)</f>
        <v/>
      </c>
      <c r="P72" s="244" t="str">
        <f>IF('ASIGNACIÓN ASIGNATURAS'!Y96="","",'ASIGNACIÓN ASIGNATURAS'!Y96)</f>
        <v/>
      </c>
      <c r="Q72" s="244" t="str">
        <f>IF('ASIGNACIÓN ASIGNATURAS'!Z96="","",'ASIGNACIÓN ASIGNATURAS'!Z96)</f>
        <v/>
      </c>
      <c r="R72" s="244" t="str">
        <f>IF('ASIGNACIÓN ASIGNATURAS'!AA96="","",'ASIGNACIÓN ASIGNATURAS'!AA96)</f>
        <v/>
      </c>
      <c r="S72" s="244" t="str">
        <f>IF('ASIGNACIÓN ASIGNATURAS'!AB96="","",'ASIGNACIÓN ASIGNATURAS'!AB96)</f>
        <v/>
      </c>
    </row>
    <row r="73" spans="1:19" x14ac:dyDescent="0.3">
      <c r="A73" s="290" t="str">
        <f>IF('ASIGNACIÓN ASIGNATURAS'!J100="","",'ASIGNACIÓN ASIGNATURAS'!J100)</f>
        <v/>
      </c>
      <c r="B73" s="290" t="str">
        <f>IF('ASIGNACIÓN ASIGNATURAS'!K100="","",'ASIGNACIÓN ASIGNATURAS'!K100)</f>
        <v/>
      </c>
      <c r="C73" s="290" t="str">
        <f>IF('ASIGNACIÓN ASIGNATURAS'!L100="","",'ASIGNACIÓN ASIGNATURAS'!L100)</f>
        <v/>
      </c>
      <c r="D73" s="290" t="str">
        <f>IF('ASIGNACIÓN ASIGNATURAS'!M100="","",'ASIGNACIÓN ASIGNATURAS'!M100)</f>
        <v/>
      </c>
      <c r="E73" s="290" t="str">
        <f>IF('ASIGNACIÓN ASIGNATURAS'!N100="","",'ASIGNACIÓN ASIGNATURAS'!N100)</f>
        <v/>
      </c>
      <c r="F73" s="290" t="str">
        <f>IF('ASIGNACIÓN ASIGNATURAS'!O100="","",'ASIGNACIÓN ASIGNATURAS'!O100)</f>
        <v/>
      </c>
      <c r="G73" s="290" t="str">
        <f>IF('ASIGNACIÓN ASIGNATURAS'!P100="","",'ASIGNACIÓN ASIGNATURAS'!P100)</f>
        <v/>
      </c>
      <c r="H73" s="290" t="str">
        <f>IF('ASIGNACIÓN ASIGNATURAS'!T100="","",'ASIGNACIÓN ASIGNATURAS'!T100)</f>
        <v/>
      </c>
      <c r="I73" s="290" t="str">
        <f>IF('ASIGNACIÓN ASIGNATURAS'!U100="","",'ASIGNACIÓN ASIGNATURAS'!U100)</f>
        <v/>
      </c>
      <c r="J73" s="290" t="str">
        <f>IF('ASIGNACIÓN ASIGNATURAS'!V100="","",'ASIGNACIÓN ASIGNATURAS'!V100)</f>
        <v/>
      </c>
      <c r="K73" s="301" t="str">
        <f>IF('ASIGNACIÓN ASIGNATURAS'!S100="","",'ASIGNACIÓN ASIGNATURAS'!S100)</f>
        <v/>
      </c>
      <c r="L73" s="244" t="str">
        <f>IF('ASIGNACIÓN ASIGNATURAS'!Q100="","",'ASIGNACIÓN ASIGNATURAS'!Q100)</f>
        <v/>
      </c>
      <c r="M73" s="244" t="str">
        <f>IF('ASIGNACIÓN ASIGNATURAS'!R100="","",'ASIGNACIÓN ASIGNATURAS'!R100)</f>
        <v/>
      </c>
      <c r="N73" s="244" t="str">
        <f>IF('ASIGNACIÓN ASIGNATURAS'!W100="","",'ASIGNACIÓN ASIGNATURAS'!W100)</f>
        <v/>
      </c>
      <c r="O73" s="244" t="str">
        <f>IF('ASIGNACIÓN ASIGNATURAS'!X100="","",'ASIGNACIÓN ASIGNATURAS'!X100)</f>
        <v/>
      </c>
      <c r="P73" s="244" t="str">
        <f>IF('ASIGNACIÓN ASIGNATURAS'!Y100="","",'ASIGNACIÓN ASIGNATURAS'!Y100)</f>
        <v/>
      </c>
      <c r="Q73" s="244" t="str">
        <f>IF('ASIGNACIÓN ASIGNATURAS'!Z100="","",'ASIGNACIÓN ASIGNATURAS'!Z100)</f>
        <v/>
      </c>
      <c r="R73" s="244" t="str">
        <f>IF('ASIGNACIÓN ASIGNATURAS'!AA100="","",'ASIGNACIÓN ASIGNATURAS'!AA100)</f>
        <v/>
      </c>
      <c r="S73" s="244" t="str">
        <f>IF('ASIGNACIÓN ASIGNATURAS'!AB100="","",'ASIGNACIÓN ASIGNATURAS'!AB100)</f>
        <v/>
      </c>
    </row>
    <row r="74" spans="1:19" x14ac:dyDescent="0.3">
      <c r="A74" s="290" t="str">
        <f>IF('ASIGNACIÓN ASIGNATURAS'!J120="","",'ASIGNACIÓN ASIGNATURAS'!J120)</f>
        <v/>
      </c>
      <c r="B74" s="290" t="str">
        <f>IF('ASIGNACIÓN ASIGNATURAS'!K120="","",'ASIGNACIÓN ASIGNATURAS'!K120)</f>
        <v/>
      </c>
      <c r="C74" s="290" t="str">
        <f>IF('ASIGNACIÓN ASIGNATURAS'!L120="","",'ASIGNACIÓN ASIGNATURAS'!L120)</f>
        <v/>
      </c>
      <c r="D74" s="290" t="str">
        <f>IF('ASIGNACIÓN ASIGNATURAS'!M120="","",'ASIGNACIÓN ASIGNATURAS'!M120)</f>
        <v/>
      </c>
      <c r="E74" s="290" t="str">
        <f>IF('ASIGNACIÓN ASIGNATURAS'!N120="","",'ASIGNACIÓN ASIGNATURAS'!N120)</f>
        <v/>
      </c>
      <c r="F74" s="290" t="str">
        <f>IF('ASIGNACIÓN ASIGNATURAS'!O120="","",'ASIGNACIÓN ASIGNATURAS'!O120)</f>
        <v/>
      </c>
      <c r="G74" s="290" t="str">
        <f>IF('ASIGNACIÓN ASIGNATURAS'!P120="","",'ASIGNACIÓN ASIGNATURAS'!P120)</f>
        <v/>
      </c>
      <c r="H74" s="290" t="str">
        <f>IF('ASIGNACIÓN ASIGNATURAS'!T120="","",'ASIGNACIÓN ASIGNATURAS'!T120)</f>
        <v/>
      </c>
      <c r="I74" s="290" t="str">
        <f>IF('ASIGNACIÓN ASIGNATURAS'!U120="","",'ASIGNACIÓN ASIGNATURAS'!U120)</f>
        <v/>
      </c>
      <c r="J74" s="290" t="str">
        <f>IF('ASIGNACIÓN ASIGNATURAS'!V120="","",'ASIGNACIÓN ASIGNATURAS'!V120)</f>
        <v/>
      </c>
      <c r="K74" s="301" t="str">
        <f>IF('ASIGNACIÓN ASIGNATURAS'!S120="","",'ASIGNACIÓN ASIGNATURAS'!S120)</f>
        <v/>
      </c>
      <c r="L74" s="244" t="str">
        <f>IF('ASIGNACIÓN ASIGNATURAS'!Q120="","",'ASIGNACIÓN ASIGNATURAS'!Q120)</f>
        <v/>
      </c>
      <c r="M74" s="244" t="str">
        <f>IF('ASIGNACIÓN ASIGNATURAS'!R120="","",'ASIGNACIÓN ASIGNATURAS'!R120)</f>
        <v/>
      </c>
      <c r="N74" s="244" t="str">
        <f>IF('ASIGNACIÓN ASIGNATURAS'!W120="","",'ASIGNACIÓN ASIGNATURAS'!W120)</f>
        <v/>
      </c>
      <c r="O74" s="244" t="str">
        <f>IF('ASIGNACIÓN ASIGNATURAS'!X120="","",'ASIGNACIÓN ASIGNATURAS'!X120)</f>
        <v/>
      </c>
      <c r="P74" s="244" t="str">
        <f>IF('ASIGNACIÓN ASIGNATURAS'!Y120="","",'ASIGNACIÓN ASIGNATURAS'!Y120)</f>
        <v/>
      </c>
      <c r="Q74" s="244" t="str">
        <f>IF('ASIGNACIÓN ASIGNATURAS'!Z120="","",'ASIGNACIÓN ASIGNATURAS'!Z120)</f>
        <v/>
      </c>
      <c r="R74" s="244" t="str">
        <f>IF('ASIGNACIÓN ASIGNATURAS'!AA120="","",'ASIGNACIÓN ASIGNATURAS'!AA120)</f>
        <v/>
      </c>
      <c r="S74" s="244" t="str">
        <f>IF('ASIGNACIÓN ASIGNATURAS'!AB120="","",'ASIGNACIÓN ASIGNATURAS'!AB120)</f>
        <v/>
      </c>
    </row>
    <row r="75" spans="1:19" x14ac:dyDescent="0.3">
      <c r="A75" s="290" t="str">
        <f>IF('ASIGNACIÓN ASIGNATURAS'!J140="","",'ASIGNACIÓN ASIGNATURAS'!J140)</f>
        <v/>
      </c>
      <c r="B75" s="290" t="str">
        <f>IF('ASIGNACIÓN ASIGNATURAS'!K140="","",'ASIGNACIÓN ASIGNATURAS'!K140)</f>
        <v/>
      </c>
      <c r="C75" s="290" t="str">
        <f>IF('ASIGNACIÓN ASIGNATURAS'!L140="","",'ASIGNACIÓN ASIGNATURAS'!L140)</f>
        <v/>
      </c>
      <c r="D75" s="290" t="str">
        <f>IF('ASIGNACIÓN ASIGNATURAS'!M140="","",'ASIGNACIÓN ASIGNATURAS'!M140)</f>
        <v/>
      </c>
      <c r="E75" s="290" t="str">
        <f>IF('ASIGNACIÓN ASIGNATURAS'!N140="","",'ASIGNACIÓN ASIGNATURAS'!N140)</f>
        <v/>
      </c>
      <c r="F75" s="290" t="str">
        <f>IF('ASIGNACIÓN ASIGNATURAS'!O140="","",'ASIGNACIÓN ASIGNATURAS'!O140)</f>
        <v/>
      </c>
      <c r="G75" s="290" t="str">
        <f>IF('ASIGNACIÓN ASIGNATURAS'!P140="","",'ASIGNACIÓN ASIGNATURAS'!P140)</f>
        <v/>
      </c>
      <c r="H75" s="290" t="str">
        <f>IF('ASIGNACIÓN ASIGNATURAS'!T140="","",'ASIGNACIÓN ASIGNATURAS'!T140)</f>
        <v/>
      </c>
      <c r="I75" s="290" t="str">
        <f>IF('ASIGNACIÓN ASIGNATURAS'!U140="","",'ASIGNACIÓN ASIGNATURAS'!U140)</f>
        <v/>
      </c>
      <c r="J75" s="290" t="str">
        <f>IF('ASIGNACIÓN ASIGNATURAS'!V140="","",'ASIGNACIÓN ASIGNATURAS'!V140)</f>
        <v/>
      </c>
      <c r="K75" s="301" t="str">
        <f>IF('ASIGNACIÓN ASIGNATURAS'!S140="","",'ASIGNACIÓN ASIGNATURAS'!S140)</f>
        <v/>
      </c>
      <c r="L75" s="244" t="str">
        <f>IF('ASIGNACIÓN ASIGNATURAS'!Q140="","",'ASIGNACIÓN ASIGNATURAS'!Q140)</f>
        <v/>
      </c>
      <c r="M75" s="244" t="str">
        <f>IF('ASIGNACIÓN ASIGNATURAS'!R140="","",'ASIGNACIÓN ASIGNATURAS'!R140)</f>
        <v/>
      </c>
      <c r="N75" s="244" t="str">
        <f>IF('ASIGNACIÓN ASIGNATURAS'!W140="","",'ASIGNACIÓN ASIGNATURAS'!W140)</f>
        <v/>
      </c>
      <c r="O75" s="244" t="str">
        <f>IF('ASIGNACIÓN ASIGNATURAS'!X140="","",'ASIGNACIÓN ASIGNATURAS'!X140)</f>
        <v/>
      </c>
      <c r="P75" s="244" t="str">
        <f>IF('ASIGNACIÓN ASIGNATURAS'!Y140="","",'ASIGNACIÓN ASIGNATURAS'!Y140)</f>
        <v/>
      </c>
      <c r="Q75" s="244" t="str">
        <f>IF('ASIGNACIÓN ASIGNATURAS'!Z140="","",'ASIGNACIÓN ASIGNATURAS'!Z140)</f>
        <v/>
      </c>
      <c r="R75" s="244" t="str">
        <f>IF('ASIGNACIÓN ASIGNATURAS'!AA140="","",'ASIGNACIÓN ASIGNATURAS'!AA140)</f>
        <v/>
      </c>
      <c r="S75" s="244" t="str">
        <f>IF('ASIGNACIÓN ASIGNATURAS'!AB140="","",'ASIGNACIÓN ASIGNATURAS'!AB140)</f>
        <v/>
      </c>
    </row>
    <row r="76" spans="1:19" x14ac:dyDescent="0.3">
      <c r="A76" s="290" t="str">
        <f>IF('ASIGNACIÓN ASIGNATURAS'!J144="","",'ASIGNACIÓN ASIGNATURAS'!J144)</f>
        <v/>
      </c>
      <c r="B76" s="290" t="str">
        <f>IF('ASIGNACIÓN ASIGNATURAS'!K144="","",'ASIGNACIÓN ASIGNATURAS'!K144)</f>
        <v/>
      </c>
      <c r="C76" s="290" t="str">
        <f>IF('ASIGNACIÓN ASIGNATURAS'!L144="","",'ASIGNACIÓN ASIGNATURAS'!L144)</f>
        <v/>
      </c>
      <c r="D76" s="290" t="str">
        <f>IF('ASIGNACIÓN ASIGNATURAS'!M144="","",'ASIGNACIÓN ASIGNATURAS'!M144)</f>
        <v/>
      </c>
      <c r="E76" s="290" t="str">
        <f>IF('ASIGNACIÓN ASIGNATURAS'!N144="","",'ASIGNACIÓN ASIGNATURAS'!N144)</f>
        <v/>
      </c>
      <c r="F76" s="290" t="str">
        <f>IF('ASIGNACIÓN ASIGNATURAS'!O144="","",'ASIGNACIÓN ASIGNATURAS'!O144)</f>
        <v/>
      </c>
      <c r="G76" s="290" t="str">
        <f>IF('ASIGNACIÓN ASIGNATURAS'!P144="","",'ASIGNACIÓN ASIGNATURAS'!P144)</f>
        <v/>
      </c>
      <c r="H76" s="290" t="str">
        <f>IF('ASIGNACIÓN ASIGNATURAS'!T144="","",'ASIGNACIÓN ASIGNATURAS'!T144)</f>
        <v/>
      </c>
      <c r="I76" s="290" t="str">
        <f>IF('ASIGNACIÓN ASIGNATURAS'!U144="","",'ASIGNACIÓN ASIGNATURAS'!U144)</f>
        <v/>
      </c>
      <c r="J76" s="290" t="str">
        <f>IF('ASIGNACIÓN ASIGNATURAS'!V144="","",'ASIGNACIÓN ASIGNATURAS'!V144)</f>
        <v/>
      </c>
      <c r="K76" s="301" t="str">
        <f>IF('ASIGNACIÓN ASIGNATURAS'!S144="","",'ASIGNACIÓN ASIGNATURAS'!S144)</f>
        <v/>
      </c>
      <c r="L76" s="244" t="str">
        <f>IF('ASIGNACIÓN ASIGNATURAS'!Q144="","",'ASIGNACIÓN ASIGNATURAS'!Q144)</f>
        <v/>
      </c>
      <c r="M76" s="244" t="str">
        <f>IF('ASIGNACIÓN ASIGNATURAS'!R144="","",'ASIGNACIÓN ASIGNATURAS'!R144)</f>
        <v/>
      </c>
      <c r="N76" s="244" t="str">
        <f>IF('ASIGNACIÓN ASIGNATURAS'!W144="","",'ASIGNACIÓN ASIGNATURAS'!W144)</f>
        <v/>
      </c>
      <c r="O76" s="244" t="str">
        <f>IF('ASIGNACIÓN ASIGNATURAS'!X144="","",'ASIGNACIÓN ASIGNATURAS'!X144)</f>
        <v/>
      </c>
      <c r="P76" s="244" t="str">
        <f>IF('ASIGNACIÓN ASIGNATURAS'!Y144="","",'ASIGNACIÓN ASIGNATURAS'!Y144)</f>
        <v/>
      </c>
      <c r="Q76" s="244" t="str">
        <f>IF('ASIGNACIÓN ASIGNATURAS'!Z144="","",'ASIGNACIÓN ASIGNATURAS'!Z144)</f>
        <v/>
      </c>
      <c r="R76" s="244" t="str">
        <f>IF('ASIGNACIÓN ASIGNATURAS'!AA144="","",'ASIGNACIÓN ASIGNATURAS'!AA144)</f>
        <v/>
      </c>
      <c r="S76" s="244" t="str">
        <f>IF('ASIGNACIÓN ASIGNATURAS'!AB144="","",'ASIGNACIÓN ASIGNATURAS'!AB144)</f>
        <v/>
      </c>
    </row>
    <row r="77" spans="1:19" x14ac:dyDescent="0.3">
      <c r="A77" s="290" t="str">
        <f>IF('ASIGNACIÓN ASIGNATURAS'!J148="","",'ASIGNACIÓN ASIGNATURAS'!J148)</f>
        <v/>
      </c>
      <c r="B77" s="290" t="str">
        <f>IF('ASIGNACIÓN ASIGNATURAS'!K148="","",'ASIGNACIÓN ASIGNATURAS'!K148)</f>
        <v/>
      </c>
      <c r="C77" s="290" t="str">
        <f>IF('ASIGNACIÓN ASIGNATURAS'!L148="","",'ASIGNACIÓN ASIGNATURAS'!L148)</f>
        <v/>
      </c>
      <c r="D77" s="290" t="str">
        <f>IF('ASIGNACIÓN ASIGNATURAS'!M148="","",'ASIGNACIÓN ASIGNATURAS'!M148)</f>
        <v/>
      </c>
      <c r="E77" s="290" t="str">
        <f>IF('ASIGNACIÓN ASIGNATURAS'!N148="","",'ASIGNACIÓN ASIGNATURAS'!N148)</f>
        <v/>
      </c>
      <c r="F77" s="290" t="str">
        <f>IF('ASIGNACIÓN ASIGNATURAS'!O148="","",'ASIGNACIÓN ASIGNATURAS'!O148)</f>
        <v/>
      </c>
      <c r="G77" s="290" t="str">
        <f>IF('ASIGNACIÓN ASIGNATURAS'!P148="","",'ASIGNACIÓN ASIGNATURAS'!P148)</f>
        <v/>
      </c>
      <c r="H77" s="290" t="str">
        <f>IF('ASIGNACIÓN ASIGNATURAS'!T148="","",'ASIGNACIÓN ASIGNATURAS'!T148)</f>
        <v/>
      </c>
      <c r="I77" s="290" t="str">
        <f>IF('ASIGNACIÓN ASIGNATURAS'!U148="","",'ASIGNACIÓN ASIGNATURAS'!U148)</f>
        <v/>
      </c>
      <c r="J77" s="290" t="str">
        <f>IF('ASIGNACIÓN ASIGNATURAS'!V148="","",'ASIGNACIÓN ASIGNATURAS'!V148)</f>
        <v/>
      </c>
      <c r="K77" s="301" t="str">
        <f>IF('ASIGNACIÓN ASIGNATURAS'!S148="","",'ASIGNACIÓN ASIGNATURAS'!S148)</f>
        <v/>
      </c>
      <c r="L77" s="244" t="str">
        <f>IF('ASIGNACIÓN ASIGNATURAS'!Q148="","",'ASIGNACIÓN ASIGNATURAS'!Q148)</f>
        <v/>
      </c>
      <c r="M77" s="244" t="str">
        <f>IF('ASIGNACIÓN ASIGNATURAS'!R148="","",'ASIGNACIÓN ASIGNATURAS'!R148)</f>
        <v/>
      </c>
      <c r="N77" s="244" t="str">
        <f>IF('ASIGNACIÓN ASIGNATURAS'!W148="","",'ASIGNACIÓN ASIGNATURAS'!W148)</f>
        <v/>
      </c>
      <c r="O77" s="244" t="str">
        <f>IF('ASIGNACIÓN ASIGNATURAS'!X148="","",'ASIGNACIÓN ASIGNATURAS'!X148)</f>
        <v/>
      </c>
      <c r="P77" s="244" t="str">
        <f>IF('ASIGNACIÓN ASIGNATURAS'!Y148="","",'ASIGNACIÓN ASIGNATURAS'!Y148)</f>
        <v/>
      </c>
      <c r="Q77" s="244" t="str">
        <f>IF('ASIGNACIÓN ASIGNATURAS'!Z148="","",'ASIGNACIÓN ASIGNATURAS'!Z148)</f>
        <v/>
      </c>
      <c r="R77" s="244" t="str">
        <f>IF('ASIGNACIÓN ASIGNATURAS'!AA148="","",'ASIGNACIÓN ASIGNATURAS'!AA148)</f>
        <v/>
      </c>
      <c r="S77" s="244" t="str">
        <f>IF('ASIGNACIÓN ASIGNATURAS'!AB148="","",'ASIGNACIÓN ASIGNATURAS'!AB148)</f>
        <v/>
      </c>
    </row>
    <row r="78" spans="1:19" x14ac:dyDescent="0.3">
      <c r="A78" s="290" t="str">
        <f>IF('ASIGNACIÓN ASIGNATURAS'!J10="","",'ASIGNACIÓN ASIGNATURAS'!J10)</f>
        <v/>
      </c>
      <c r="B78" s="290" t="str">
        <f>IF('ASIGNACIÓN ASIGNATURAS'!K10="","",'ASIGNACIÓN ASIGNATURAS'!K10)</f>
        <v/>
      </c>
      <c r="C78" s="290" t="str">
        <f>IF('ASIGNACIÓN ASIGNATURAS'!L10="","",'ASIGNACIÓN ASIGNATURAS'!L10)</f>
        <v/>
      </c>
      <c r="D78" s="290" t="str">
        <f>IF('ASIGNACIÓN ASIGNATURAS'!M10="","",'ASIGNACIÓN ASIGNATURAS'!M10)</f>
        <v/>
      </c>
      <c r="E78" s="290" t="str">
        <f>IF('ASIGNACIÓN ASIGNATURAS'!N10="","",'ASIGNACIÓN ASIGNATURAS'!N10)</f>
        <v/>
      </c>
      <c r="F78" s="290" t="str">
        <f>IF('ASIGNACIÓN ASIGNATURAS'!O10="","",'ASIGNACIÓN ASIGNATURAS'!O10)</f>
        <v/>
      </c>
      <c r="G78" s="290" t="str">
        <f>IF('ASIGNACIÓN ASIGNATURAS'!P10="","",'ASIGNACIÓN ASIGNATURAS'!P10)</f>
        <v/>
      </c>
      <c r="H78" s="290" t="str">
        <f>IF('ASIGNACIÓN ASIGNATURAS'!T10="","",'ASIGNACIÓN ASIGNATURAS'!T10)</f>
        <v/>
      </c>
      <c r="I78" s="290" t="str">
        <f>IF('ASIGNACIÓN ASIGNATURAS'!U10="","",'ASIGNACIÓN ASIGNATURAS'!U10)</f>
        <v/>
      </c>
      <c r="J78" s="290" t="str">
        <f>IF('ASIGNACIÓN ASIGNATURAS'!V10="","",'ASIGNACIÓN ASIGNATURAS'!V10)</f>
        <v/>
      </c>
      <c r="K78" s="301" t="str">
        <f>IF('ASIGNACIÓN ASIGNATURAS'!S10="","",'ASIGNACIÓN ASIGNATURAS'!S10)</f>
        <v/>
      </c>
      <c r="L78" s="244" t="str">
        <f>IF('ASIGNACIÓN ASIGNATURAS'!Q10="","",'ASIGNACIÓN ASIGNATURAS'!Q10)</f>
        <v/>
      </c>
      <c r="M78" s="244" t="str">
        <f>IF('ASIGNACIÓN ASIGNATURAS'!R10="","",'ASIGNACIÓN ASIGNATURAS'!R10)</f>
        <v/>
      </c>
      <c r="N78" s="244" t="str">
        <f>IF('ASIGNACIÓN ASIGNATURAS'!W10="","",'ASIGNACIÓN ASIGNATURAS'!W10)</f>
        <v/>
      </c>
      <c r="O78" s="244" t="str">
        <f>IF('ASIGNACIÓN ASIGNATURAS'!X10="","",'ASIGNACIÓN ASIGNATURAS'!X10)</f>
        <v/>
      </c>
      <c r="P78" s="244" t="str">
        <f>IF('ASIGNACIÓN ASIGNATURAS'!Y10="","",'ASIGNACIÓN ASIGNATURAS'!Y10)</f>
        <v/>
      </c>
      <c r="Q78" s="244" t="str">
        <f>IF('ASIGNACIÓN ASIGNATURAS'!Z10="","",'ASIGNACIÓN ASIGNATURAS'!Z10)</f>
        <v/>
      </c>
      <c r="R78" s="244" t="str">
        <f>IF('ASIGNACIÓN ASIGNATURAS'!AA10="","",'ASIGNACIÓN ASIGNATURAS'!AA10)</f>
        <v/>
      </c>
      <c r="S78" s="244" t="str">
        <f>IF('ASIGNACIÓN ASIGNATURAS'!AB10="","",'ASIGNACIÓN ASIGNATURAS'!AB10)</f>
        <v/>
      </c>
    </row>
    <row r="79" spans="1:19" x14ac:dyDescent="0.3">
      <c r="A79" s="290" t="str">
        <f>IF('ASIGNACIÓN ASIGNATURAS'!J50="","",'ASIGNACIÓN ASIGNATURAS'!J50)</f>
        <v/>
      </c>
      <c r="B79" s="290" t="str">
        <f>IF('ASIGNACIÓN ASIGNATURAS'!K50="","",'ASIGNACIÓN ASIGNATURAS'!K50)</f>
        <v/>
      </c>
      <c r="C79" s="290" t="str">
        <f>IF('ASIGNACIÓN ASIGNATURAS'!L50="","",'ASIGNACIÓN ASIGNATURAS'!L50)</f>
        <v/>
      </c>
      <c r="D79" s="290" t="str">
        <f>IF('ASIGNACIÓN ASIGNATURAS'!M50="","",'ASIGNACIÓN ASIGNATURAS'!M50)</f>
        <v/>
      </c>
      <c r="E79" s="290" t="str">
        <f>IF('ASIGNACIÓN ASIGNATURAS'!N50="","",'ASIGNACIÓN ASIGNATURAS'!N50)</f>
        <v/>
      </c>
      <c r="F79" s="290" t="str">
        <f>IF('ASIGNACIÓN ASIGNATURAS'!O50="","",'ASIGNACIÓN ASIGNATURAS'!O50)</f>
        <v/>
      </c>
      <c r="G79" s="290" t="str">
        <f>IF('ASIGNACIÓN ASIGNATURAS'!P50="","",'ASIGNACIÓN ASIGNATURAS'!P50)</f>
        <v/>
      </c>
      <c r="H79" s="290" t="str">
        <f>IF('ASIGNACIÓN ASIGNATURAS'!T50="","",'ASIGNACIÓN ASIGNATURAS'!T50)</f>
        <v/>
      </c>
      <c r="I79" s="290" t="str">
        <f>IF('ASIGNACIÓN ASIGNATURAS'!U50="","",'ASIGNACIÓN ASIGNATURAS'!U50)</f>
        <v/>
      </c>
      <c r="J79" s="290" t="str">
        <f>IF('ASIGNACIÓN ASIGNATURAS'!V50="","",'ASIGNACIÓN ASIGNATURAS'!V50)</f>
        <v/>
      </c>
      <c r="K79" s="301" t="str">
        <f>IF('ASIGNACIÓN ASIGNATURAS'!S50="","",'ASIGNACIÓN ASIGNATURAS'!S50)</f>
        <v/>
      </c>
      <c r="L79" s="244" t="str">
        <f>IF('ASIGNACIÓN ASIGNATURAS'!Q50="","",'ASIGNACIÓN ASIGNATURAS'!Q50)</f>
        <v/>
      </c>
      <c r="M79" s="244" t="str">
        <f>IF('ASIGNACIÓN ASIGNATURAS'!R50="","",'ASIGNACIÓN ASIGNATURAS'!R50)</f>
        <v/>
      </c>
      <c r="N79" s="244" t="str">
        <f>IF('ASIGNACIÓN ASIGNATURAS'!W50="","",'ASIGNACIÓN ASIGNATURAS'!W50)</f>
        <v/>
      </c>
      <c r="O79" s="244" t="str">
        <f>IF('ASIGNACIÓN ASIGNATURAS'!X50="","",'ASIGNACIÓN ASIGNATURAS'!X50)</f>
        <v/>
      </c>
      <c r="P79" s="244" t="str">
        <f>IF('ASIGNACIÓN ASIGNATURAS'!Y50="","",'ASIGNACIÓN ASIGNATURAS'!Y50)</f>
        <v/>
      </c>
      <c r="Q79" s="244" t="str">
        <f>IF('ASIGNACIÓN ASIGNATURAS'!Z50="","",'ASIGNACIÓN ASIGNATURAS'!Z50)</f>
        <v/>
      </c>
      <c r="R79" s="244" t="str">
        <f>IF('ASIGNACIÓN ASIGNATURAS'!AA50="","",'ASIGNACIÓN ASIGNATURAS'!AA50)</f>
        <v/>
      </c>
      <c r="S79" s="244" t="str">
        <f>IF('ASIGNACIÓN ASIGNATURAS'!AB50="","",'ASIGNACIÓN ASIGNATURAS'!AB50)</f>
        <v/>
      </c>
    </row>
    <row r="80" spans="1:19" x14ac:dyDescent="0.3">
      <c r="A80" s="290" t="str">
        <f>IF('ASIGNACIÓN ASIGNATURAS'!J54="","",'ASIGNACIÓN ASIGNATURAS'!J54)</f>
        <v/>
      </c>
      <c r="B80" s="290" t="str">
        <f>IF('ASIGNACIÓN ASIGNATURAS'!K54="","",'ASIGNACIÓN ASIGNATURAS'!K54)</f>
        <v/>
      </c>
      <c r="C80" s="290" t="str">
        <f>IF('ASIGNACIÓN ASIGNATURAS'!L54="","",'ASIGNACIÓN ASIGNATURAS'!L54)</f>
        <v/>
      </c>
      <c r="D80" s="290" t="str">
        <f>IF('ASIGNACIÓN ASIGNATURAS'!M54="","",'ASIGNACIÓN ASIGNATURAS'!M54)</f>
        <v/>
      </c>
      <c r="E80" s="290" t="str">
        <f>IF('ASIGNACIÓN ASIGNATURAS'!N54="","",'ASIGNACIÓN ASIGNATURAS'!N54)</f>
        <v/>
      </c>
      <c r="F80" s="290" t="str">
        <f>IF('ASIGNACIÓN ASIGNATURAS'!O54="","",'ASIGNACIÓN ASIGNATURAS'!O54)</f>
        <v/>
      </c>
      <c r="G80" s="290" t="str">
        <f>IF('ASIGNACIÓN ASIGNATURAS'!P54="","",'ASIGNACIÓN ASIGNATURAS'!P54)</f>
        <v/>
      </c>
      <c r="H80" s="290" t="str">
        <f>IF('ASIGNACIÓN ASIGNATURAS'!T54="","",'ASIGNACIÓN ASIGNATURAS'!T54)</f>
        <v/>
      </c>
      <c r="I80" s="290" t="str">
        <f>IF('ASIGNACIÓN ASIGNATURAS'!U54="","",'ASIGNACIÓN ASIGNATURAS'!U54)</f>
        <v/>
      </c>
      <c r="J80" s="290" t="str">
        <f>IF('ASIGNACIÓN ASIGNATURAS'!V54="","",'ASIGNACIÓN ASIGNATURAS'!V54)</f>
        <v/>
      </c>
      <c r="K80" s="301" t="str">
        <f>IF('ASIGNACIÓN ASIGNATURAS'!S54="","",'ASIGNACIÓN ASIGNATURAS'!S54)</f>
        <v/>
      </c>
      <c r="L80" s="244" t="str">
        <f>IF('ASIGNACIÓN ASIGNATURAS'!Q54="","",'ASIGNACIÓN ASIGNATURAS'!Q54)</f>
        <v/>
      </c>
      <c r="M80" s="244" t="str">
        <f>IF('ASIGNACIÓN ASIGNATURAS'!R54="","",'ASIGNACIÓN ASIGNATURAS'!R54)</f>
        <v/>
      </c>
      <c r="N80" s="244" t="str">
        <f>IF('ASIGNACIÓN ASIGNATURAS'!W54="","",'ASIGNACIÓN ASIGNATURAS'!W54)</f>
        <v/>
      </c>
      <c r="O80" s="244" t="str">
        <f>IF('ASIGNACIÓN ASIGNATURAS'!X54="","",'ASIGNACIÓN ASIGNATURAS'!X54)</f>
        <v/>
      </c>
      <c r="P80" s="244" t="str">
        <f>IF('ASIGNACIÓN ASIGNATURAS'!Y54="","",'ASIGNACIÓN ASIGNATURAS'!Y54)</f>
        <v/>
      </c>
      <c r="Q80" s="244" t="str">
        <f>IF('ASIGNACIÓN ASIGNATURAS'!Z54="","",'ASIGNACIÓN ASIGNATURAS'!Z54)</f>
        <v/>
      </c>
      <c r="R80" s="244" t="str">
        <f>IF('ASIGNACIÓN ASIGNATURAS'!AA54="","",'ASIGNACIÓN ASIGNATURAS'!AA54)</f>
        <v/>
      </c>
      <c r="S80" s="244" t="str">
        <f>IF('ASIGNACIÓN ASIGNATURAS'!AB54="","",'ASIGNACIÓN ASIGNATURAS'!AB54)</f>
        <v/>
      </c>
    </row>
    <row r="81" spans="1:19" x14ac:dyDescent="0.3">
      <c r="A81" s="290" t="str">
        <f>IF('ASIGNACIÓN ASIGNATURAS'!J74="","",'ASIGNACIÓN ASIGNATURAS'!J74)</f>
        <v/>
      </c>
      <c r="B81" s="290" t="str">
        <f>IF('ASIGNACIÓN ASIGNATURAS'!K74="","",'ASIGNACIÓN ASIGNATURAS'!K74)</f>
        <v/>
      </c>
      <c r="C81" s="290" t="str">
        <f>IF('ASIGNACIÓN ASIGNATURAS'!L74="","",'ASIGNACIÓN ASIGNATURAS'!L74)</f>
        <v/>
      </c>
      <c r="D81" s="290" t="str">
        <f>IF('ASIGNACIÓN ASIGNATURAS'!M74="","",'ASIGNACIÓN ASIGNATURAS'!M74)</f>
        <v/>
      </c>
      <c r="E81" s="290" t="str">
        <f>IF('ASIGNACIÓN ASIGNATURAS'!N74="","",'ASIGNACIÓN ASIGNATURAS'!N74)</f>
        <v/>
      </c>
      <c r="F81" s="290" t="str">
        <f>IF('ASIGNACIÓN ASIGNATURAS'!O74="","",'ASIGNACIÓN ASIGNATURAS'!O74)</f>
        <v/>
      </c>
      <c r="G81" s="290" t="str">
        <f>IF('ASIGNACIÓN ASIGNATURAS'!P74="","",'ASIGNACIÓN ASIGNATURAS'!P74)</f>
        <v/>
      </c>
      <c r="H81" s="290" t="str">
        <f>IF('ASIGNACIÓN ASIGNATURAS'!T74="","",'ASIGNACIÓN ASIGNATURAS'!T74)</f>
        <v/>
      </c>
      <c r="I81" s="290" t="str">
        <f>IF('ASIGNACIÓN ASIGNATURAS'!U74="","",'ASIGNACIÓN ASIGNATURAS'!U74)</f>
        <v/>
      </c>
      <c r="J81" s="290" t="str">
        <f>IF('ASIGNACIÓN ASIGNATURAS'!V74="","",'ASIGNACIÓN ASIGNATURAS'!V74)</f>
        <v/>
      </c>
      <c r="K81" s="301" t="str">
        <f>IF('ASIGNACIÓN ASIGNATURAS'!S74="","",'ASIGNACIÓN ASIGNATURAS'!S74)</f>
        <v/>
      </c>
      <c r="L81" s="244" t="str">
        <f>IF('ASIGNACIÓN ASIGNATURAS'!Q74="","",'ASIGNACIÓN ASIGNATURAS'!Q74)</f>
        <v/>
      </c>
      <c r="M81" s="244" t="str">
        <f>IF('ASIGNACIÓN ASIGNATURAS'!R74="","",'ASIGNACIÓN ASIGNATURAS'!R74)</f>
        <v/>
      </c>
      <c r="N81" s="244" t="str">
        <f>IF('ASIGNACIÓN ASIGNATURAS'!W74="","",'ASIGNACIÓN ASIGNATURAS'!W74)</f>
        <v/>
      </c>
      <c r="O81" s="244" t="str">
        <f>IF('ASIGNACIÓN ASIGNATURAS'!X74="","",'ASIGNACIÓN ASIGNATURAS'!X74)</f>
        <v/>
      </c>
      <c r="P81" s="244" t="str">
        <f>IF('ASIGNACIÓN ASIGNATURAS'!Y74="","",'ASIGNACIÓN ASIGNATURAS'!Y74)</f>
        <v/>
      </c>
      <c r="Q81" s="244" t="str">
        <f>IF('ASIGNACIÓN ASIGNATURAS'!Z74="","",'ASIGNACIÓN ASIGNATURAS'!Z74)</f>
        <v/>
      </c>
      <c r="R81" s="244" t="str">
        <f>IF('ASIGNACIÓN ASIGNATURAS'!AA74="","",'ASIGNACIÓN ASIGNATURAS'!AA74)</f>
        <v/>
      </c>
      <c r="S81" s="244" t="str">
        <f>IF('ASIGNACIÓN ASIGNATURAS'!AB74="","",'ASIGNACIÓN ASIGNATURAS'!AB74)</f>
        <v/>
      </c>
    </row>
    <row r="82" spans="1:19" x14ac:dyDescent="0.3">
      <c r="A82" s="290" t="str">
        <f>IF('ASIGNACIÓN ASIGNATURAS'!J94="","",'ASIGNACIÓN ASIGNATURAS'!J94)</f>
        <v/>
      </c>
      <c r="B82" s="290" t="str">
        <f>IF('ASIGNACIÓN ASIGNATURAS'!K94="","",'ASIGNACIÓN ASIGNATURAS'!K94)</f>
        <v/>
      </c>
      <c r="C82" s="290" t="str">
        <f>IF('ASIGNACIÓN ASIGNATURAS'!L94="","",'ASIGNACIÓN ASIGNATURAS'!L94)</f>
        <v/>
      </c>
      <c r="D82" s="290" t="str">
        <f>IF('ASIGNACIÓN ASIGNATURAS'!M94="","",'ASIGNACIÓN ASIGNATURAS'!M94)</f>
        <v/>
      </c>
      <c r="E82" s="290" t="str">
        <f>IF('ASIGNACIÓN ASIGNATURAS'!N94="","",'ASIGNACIÓN ASIGNATURAS'!N94)</f>
        <v/>
      </c>
      <c r="F82" s="290" t="str">
        <f>IF('ASIGNACIÓN ASIGNATURAS'!O94="","",'ASIGNACIÓN ASIGNATURAS'!O94)</f>
        <v/>
      </c>
      <c r="G82" s="290" t="str">
        <f>IF('ASIGNACIÓN ASIGNATURAS'!P94="","",'ASIGNACIÓN ASIGNATURAS'!P94)</f>
        <v/>
      </c>
      <c r="H82" s="290" t="str">
        <f>IF('ASIGNACIÓN ASIGNATURAS'!T94="","",'ASIGNACIÓN ASIGNATURAS'!T94)</f>
        <v/>
      </c>
      <c r="I82" s="290" t="str">
        <f>IF('ASIGNACIÓN ASIGNATURAS'!U94="","",'ASIGNACIÓN ASIGNATURAS'!U94)</f>
        <v/>
      </c>
      <c r="J82" s="290" t="str">
        <f>IF('ASIGNACIÓN ASIGNATURAS'!V94="","",'ASIGNACIÓN ASIGNATURAS'!V94)</f>
        <v/>
      </c>
      <c r="K82" s="301" t="str">
        <f>IF('ASIGNACIÓN ASIGNATURAS'!S94="","",'ASIGNACIÓN ASIGNATURAS'!S94)</f>
        <v/>
      </c>
      <c r="L82" s="244" t="str">
        <f>IF('ASIGNACIÓN ASIGNATURAS'!Q94="","",'ASIGNACIÓN ASIGNATURAS'!Q94)</f>
        <v/>
      </c>
      <c r="M82" s="244" t="str">
        <f>IF('ASIGNACIÓN ASIGNATURAS'!R94="","",'ASIGNACIÓN ASIGNATURAS'!R94)</f>
        <v/>
      </c>
      <c r="N82" s="244" t="str">
        <f>IF('ASIGNACIÓN ASIGNATURAS'!W94="","",'ASIGNACIÓN ASIGNATURAS'!W94)</f>
        <v/>
      </c>
      <c r="O82" s="244" t="str">
        <f>IF('ASIGNACIÓN ASIGNATURAS'!X94="","",'ASIGNACIÓN ASIGNATURAS'!X94)</f>
        <v/>
      </c>
      <c r="P82" s="244" t="str">
        <f>IF('ASIGNACIÓN ASIGNATURAS'!Y94="","",'ASIGNACIÓN ASIGNATURAS'!Y94)</f>
        <v/>
      </c>
      <c r="Q82" s="244" t="str">
        <f>IF('ASIGNACIÓN ASIGNATURAS'!Z94="","",'ASIGNACIÓN ASIGNATURAS'!Z94)</f>
        <v/>
      </c>
      <c r="R82" s="244" t="str">
        <f>IF('ASIGNACIÓN ASIGNATURAS'!AA94="","",'ASIGNACIÓN ASIGNATURAS'!AA94)</f>
        <v/>
      </c>
      <c r="S82" s="244" t="str">
        <f>IF('ASIGNACIÓN ASIGNATURAS'!AB94="","",'ASIGNACIÓN ASIGNATURAS'!AB94)</f>
        <v/>
      </c>
    </row>
    <row r="83" spans="1:19" x14ac:dyDescent="0.3">
      <c r="A83" s="290" t="str">
        <f>IF('ASIGNACIÓN ASIGNATURAS'!J98="","",'ASIGNACIÓN ASIGNATURAS'!J98)</f>
        <v/>
      </c>
      <c r="B83" s="290" t="str">
        <f>IF('ASIGNACIÓN ASIGNATURAS'!K98="","",'ASIGNACIÓN ASIGNATURAS'!K98)</f>
        <v/>
      </c>
      <c r="C83" s="290" t="str">
        <f>IF('ASIGNACIÓN ASIGNATURAS'!L98="","",'ASIGNACIÓN ASIGNATURAS'!L98)</f>
        <v/>
      </c>
      <c r="D83" s="290" t="str">
        <f>IF('ASIGNACIÓN ASIGNATURAS'!M98="","",'ASIGNACIÓN ASIGNATURAS'!M98)</f>
        <v/>
      </c>
      <c r="E83" s="290" t="str">
        <f>IF('ASIGNACIÓN ASIGNATURAS'!N98="","",'ASIGNACIÓN ASIGNATURAS'!N98)</f>
        <v/>
      </c>
      <c r="F83" s="290" t="str">
        <f>IF('ASIGNACIÓN ASIGNATURAS'!O98="","",'ASIGNACIÓN ASIGNATURAS'!O98)</f>
        <v/>
      </c>
      <c r="G83" s="290" t="str">
        <f>IF('ASIGNACIÓN ASIGNATURAS'!P98="","",'ASIGNACIÓN ASIGNATURAS'!P98)</f>
        <v/>
      </c>
      <c r="H83" s="290" t="str">
        <f>IF('ASIGNACIÓN ASIGNATURAS'!T98="","",'ASIGNACIÓN ASIGNATURAS'!T98)</f>
        <v/>
      </c>
      <c r="I83" s="290" t="str">
        <f>IF('ASIGNACIÓN ASIGNATURAS'!U98="","",'ASIGNACIÓN ASIGNATURAS'!U98)</f>
        <v/>
      </c>
      <c r="J83" s="290" t="str">
        <f>IF('ASIGNACIÓN ASIGNATURAS'!V98="","",'ASIGNACIÓN ASIGNATURAS'!V98)</f>
        <v/>
      </c>
      <c r="K83" s="301" t="str">
        <f>IF('ASIGNACIÓN ASIGNATURAS'!S98="","",'ASIGNACIÓN ASIGNATURAS'!S98)</f>
        <v/>
      </c>
      <c r="L83" s="244" t="str">
        <f>IF('ASIGNACIÓN ASIGNATURAS'!Q98="","",'ASIGNACIÓN ASIGNATURAS'!Q98)</f>
        <v/>
      </c>
      <c r="M83" s="244" t="str">
        <f>IF('ASIGNACIÓN ASIGNATURAS'!R98="","",'ASIGNACIÓN ASIGNATURAS'!R98)</f>
        <v/>
      </c>
      <c r="N83" s="244" t="str">
        <f>IF('ASIGNACIÓN ASIGNATURAS'!W98="","",'ASIGNACIÓN ASIGNATURAS'!W98)</f>
        <v/>
      </c>
      <c r="O83" s="244" t="str">
        <f>IF('ASIGNACIÓN ASIGNATURAS'!X98="","",'ASIGNACIÓN ASIGNATURAS'!X98)</f>
        <v/>
      </c>
      <c r="P83" s="244" t="str">
        <f>IF('ASIGNACIÓN ASIGNATURAS'!Y98="","",'ASIGNACIÓN ASIGNATURAS'!Y98)</f>
        <v/>
      </c>
      <c r="Q83" s="244" t="str">
        <f>IF('ASIGNACIÓN ASIGNATURAS'!Z98="","",'ASIGNACIÓN ASIGNATURAS'!Z98)</f>
        <v/>
      </c>
      <c r="R83" s="244" t="str">
        <f>IF('ASIGNACIÓN ASIGNATURAS'!AA98="","",'ASIGNACIÓN ASIGNATURAS'!AA98)</f>
        <v/>
      </c>
      <c r="S83" s="244" t="str">
        <f>IF('ASIGNACIÓN ASIGNATURAS'!AB98="","",'ASIGNACIÓN ASIGNATURAS'!AB98)</f>
        <v/>
      </c>
    </row>
    <row r="84" spans="1:19" x14ac:dyDescent="0.3">
      <c r="A84" s="290" t="str">
        <f>IF('ASIGNACIÓN ASIGNATURAS'!J102="","",'ASIGNACIÓN ASIGNATURAS'!J102)</f>
        <v/>
      </c>
      <c r="B84" s="290" t="str">
        <f>IF('ASIGNACIÓN ASIGNATURAS'!K102="","",'ASIGNACIÓN ASIGNATURAS'!K102)</f>
        <v/>
      </c>
      <c r="C84" s="290" t="str">
        <f>IF('ASIGNACIÓN ASIGNATURAS'!L102="","",'ASIGNACIÓN ASIGNATURAS'!L102)</f>
        <v/>
      </c>
      <c r="D84" s="290" t="str">
        <f>IF('ASIGNACIÓN ASIGNATURAS'!M102="","",'ASIGNACIÓN ASIGNATURAS'!M102)</f>
        <v/>
      </c>
      <c r="E84" s="290" t="str">
        <f>IF('ASIGNACIÓN ASIGNATURAS'!N102="","",'ASIGNACIÓN ASIGNATURAS'!N102)</f>
        <v/>
      </c>
      <c r="F84" s="290" t="str">
        <f>IF('ASIGNACIÓN ASIGNATURAS'!O102="","",'ASIGNACIÓN ASIGNATURAS'!O102)</f>
        <v/>
      </c>
      <c r="G84" s="290" t="str">
        <f>IF('ASIGNACIÓN ASIGNATURAS'!P102="","",'ASIGNACIÓN ASIGNATURAS'!P102)</f>
        <v/>
      </c>
      <c r="H84" s="290" t="str">
        <f>IF('ASIGNACIÓN ASIGNATURAS'!T102="","",'ASIGNACIÓN ASIGNATURAS'!T102)</f>
        <v/>
      </c>
      <c r="I84" s="290" t="str">
        <f>IF('ASIGNACIÓN ASIGNATURAS'!U102="","",'ASIGNACIÓN ASIGNATURAS'!U102)</f>
        <v/>
      </c>
      <c r="J84" s="290" t="str">
        <f>IF('ASIGNACIÓN ASIGNATURAS'!V102="","",'ASIGNACIÓN ASIGNATURAS'!V102)</f>
        <v/>
      </c>
      <c r="K84" s="301" t="str">
        <f>IF('ASIGNACIÓN ASIGNATURAS'!S102="","",'ASIGNACIÓN ASIGNATURAS'!S102)</f>
        <v/>
      </c>
      <c r="L84" s="244" t="str">
        <f>IF('ASIGNACIÓN ASIGNATURAS'!Q102="","",'ASIGNACIÓN ASIGNATURAS'!Q102)</f>
        <v/>
      </c>
      <c r="M84" s="244" t="str">
        <f>IF('ASIGNACIÓN ASIGNATURAS'!R102="","",'ASIGNACIÓN ASIGNATURAS'!R102)</f>
        <v/>
      </c>
      <c r="N84" s="244" t="str">
        <f>IF('ASIGNACIÓN ASIGNATURAS'!W102="","",'ASIGNACIÓN ASIGNATURAS'!W102)</f>
        <v/>
      </c>
      <c r="O84" s="244" t="str">
        <f>IF('ASIGNACIÓN ASIGNATURAS'!X102="","",'ASIGNACIÓN ASIGNATURAS'!X102)</f>
        <v/>
      </c>
      <c r="P84" s="244" t="str">
        <f>IF('ASIGNACIÓN ASIGNATURAS'!Y102="","",'ASIGNACIÓN ASIGNATURAS'!Y102)</f>
        <v/>
      </c>
      <c r="Q84" s="244" t="str">
        <f>IF('ASIGNACIÓN ASIGNATURAS'!Z102="","",'ASIGNACIÓN ASIGNATURAS'!Z102)</f>
        <v/>
      </c>
      <c r="R84" s="244" t="str">
        <f>IF('ASIGNACIÓN ASIGNATURAS'!AA102="","",'ASIGNACIÓN ASIGNATURAS'!AA102)</f>
        <v/>
      </c>
      <c r="S84" s="244" t="str">
        <f>IF('ASIGNACIÓN ASIGNATURAS'!AB102="","",'ASIGNACIÓN ASIGNATURAS'!AB102)</f>
        <v/>
      </c>
    </row>
    <row r="85" spans="1:19" x14ac:dyDescent="0.3">
      <c r="A85" s="290" t="str">
        <f>IF('ASIGNACIÓN ASIGNATURAS'!J106="","",'ASIGNACIÓN ASIGNATURAS'!J106)</f>
        <v/>
      </c>
      <c r="B85" s="290" t="str">
        <f>IF('ASIGNACIÓN ASIGNATURAS'!K106="","",'ASIGNACIÓN ASIGNATURAS'!K106)</f>
        <v/>
      </c>
      <c r="C85" s="290" t="str">
        <f>IF('ASIGNACIÓN ASIGNATURAS'!L106="","",'ASIGNACIÓN ASIGNATURAS'!L106)</f>
        <v/>
      </c>
      <c r="D85" s="290" t="str">
        <f>IF('ASIGNACIÓN ASIGNATURAS'!M106="","",'ASIGNACIÓN ASIGNATURAS'!M106)</f>
        <v/>
      </c>
      <c r="E85" s="290" t="str">
        <f>IF('ASIGNACIÓN ASIGNATURAS'!N106="","",'ASIGNACIÓN ASIGNATURAS'!N106)</f>
        <v/>
      </c>
      <c r="F85" s="290" t="str">
        <f>IF('ASIGNACIÓN ASIGNATURAS'!O106="","",'ASIGNACIÓN ASIGNATURAS'!O106)</f>
        <v/>
      </c>
      <c r="G85" s="290" t="str">
        <f>IF('ASIGNACIÓN ASIGNATURAS'!P106="","",'ASIGNACIÓN ASIGNATURAS'!P106)</f>
        <v/>
      </c>
      <c r="H85" s="290" t="str">
        <f>IF('ASIGNACIÓN ASIGNATURAS'!T106="","",'ASIGNACIÓN ASIGNATURAS'!T106)</f>
        <v/>
      </c>
      <c r="I85" s="290" t="str">
        <f>IF('ASIGNACIÓN ASIGNATURAS'!U106="","",'ASIGNACIÓN ASIGNATURAS'!U106)</f>
        <v/>
      </c>
      <c r="J85" s="290" t="str">
        <f>IF('ASIGNACIÓN ASIGNATURAS'!V106="","",'ASIGNACIÓN ASIGNATURAS'!V106)</f>
        <v/>
      </c>
      <c r="K85" s="301" t="str">
        <f>IF('ASIGNACIÓN ASIGNATURAS'!S106="","",'ASIGNACIÓN ASIGNATURAS'!S106)</f>
        <v/>
      </c>
      <c r="L85" s="244" t="str">
        <f>IF('ASIGNACIÓN ASIGNATURAS'!Q106="","",'ASIGNACIÓN ASIGNATURAS'!Q106)</f>
        <v/>
      </c>
      <c r="M85" s="244" t="str">
        <f>IF('ASIGNACIÓN ASIGNATURAS'!R106="","",'ASIGNACIÓN ASIGNATURAS'!R106)</f>
        <v/>
      </c>
      <c r="N85" s="244" t="str">
        <f>IF('ASIGNACIÓN ASIGNATURAS'!W106="","",'ASIGNACIÓN ASIGNATURAS'!W106)</f>
        <v/>
      </c>
      <c r="O85" s="244" t="str">
        <f>IF('ASIGNACIÓN ASIGNATURAS'!X106="","",'ASIGNACIÓN ASIGNATURAS'!X106)</f>
        <v/>
      </c>
      <c r="P85" s="244" t="str">
        <f>IF('ASIGNACIÓN ASIGNATURAS'!Y106="","",'ASIGNACIÓN ASIGNATURAS'!Y106)</f>
        <v/>
      </c>
      <c r="Q85" s="244" t="str">
        <f>IF('ASIGNACIÓN ASIGNATURAS'!Z106="","",'ASIGNACIÓN ASIGNATURAS'!Z106)</f>
        <v/>
      </c>
      <c r="R85" s="244" t="str">
        <f>IF('ASIGNACIÓN ASIGNATURAS'!AA106="","",'ASIGNACIÓN ASIGNATURAS'!AA106)</f>
        <v/>
      </c>
      <c r="S85" s="244" t="str">
        <f>IF('ASIGNACIÓN ASIGNATURAS'!AB106="","",'ASIGNACIÓN ASIGNATURAS'!AB106)</f>
        <v/>
      </c>
    </row>
    <row r="86" spans="1:19" x14ac:dyDescent="0.3">
      <c r="A86" s="290" t="str">
        <f>IF('ASIGNACIÓN ASIGNATURAS'!J110="","",'ASIGNACIÓN ASIGNATURAS'!J110)</f>
        <v/>
      </c>
      <c r="B86" s="290" t="str">
        <f>IF('ASIGNACIÓN ASIGNATURAS'!K110="","",'ASIGNACIÓN ASIGNATURAS'!K110)</f>
        <v/>
      </c>
      <c r="C86" s="290" t="str">
        <f>IF('ASIGNACIÓN ASIGNATURAS'!L110="","",'ASIGNACIÓN ASIGNATURAS'!L110)</f>
        <v/>
      </c>
      <c r="D86" s="290" t="str">
        <f>IF('ASIGNACIÓN ASIGNATURAS'!M110="","",'ASIGNACIÓN ASIGNATURAS'!M110)</f>
        <v/>
      </c>
      <c r="E86" s="290" t="str">
        <f>IF('ASIGNACIÓN ASIGNATURAS'!N110="","",'ASIGNACIÓN ASIGNATURAS'!N110)</f>
        <v/>
      </c>
      <c r="F86" s="290" t="str">
        <f>IF('ASIGNACIÓN ASIGNATURAS'!O110="","",'ASIGNACIÓN ASIGNATURAS'!O110)</f>
        <v/>
      </c>
      <c r="G86" s="290" t="str">
        <f>IF('ASIGNACIÓN ASIGNATURAS'!P110="","",'ASIGNACIÓN ASIGNATURAS'!P110)</f>
        <v/>
      </c>
      <c r="H86" s="290" t="str">
        <f>IF('ASIGNACIÓN ASIGNATURAS'!T110="","",'ASIGNACIÓN ASIGNATURAS'!T110)</f>
        <v/>
      </c>
      <c r="I86" s="290" t="str">
        <f>IF('ASIGNACIÓN ASIGNATURAS'!U110="","",'ASIGNACIÓN ASIGNATURAS'!U110)</f>
        <v/>
      </c>
      <c r="J86" s="290" t="str">
        <f>IF('ASIGNACIÓN ASIGNATURAS'!V110="","",'ASIGNACIÓN ASIGNATURAS'!V110)</f>
        <v/>
      </c>
      <c r="K86" s="301" t="str">
        <f>IF('ASIGNACIÓN ASIGNATURAS'!S110="","",'ASIGNACIÓN ASIGNATURAS'!S110)</f>
        <v/>
      </c>
      <c r="L86" s="244" t="str">
        <f>IF('ASIGNACIÓN ASIGNATURAS'!Q110="","",'ASIGNACIÓN ASIGNATURAS'!Q110)</f>
        <v/>
      </c>
      <c r="M86" s="244" t="str">
        <f>IF('ASIGNACIÓN ASIGNATURAS'!R110="","",'ASIGNACIÓN ASIGNATURAS'!R110)</f>
        <v/>
      </c>
      <c r="N86" s="244" t="str">
        <f>IF('ASIGNACIÓN ASIGNATURAS'!W110="","",'ASIGNACIÓN ASIGNATURAS'!W110)</f>
        <v/>
      </c>
      <c r="O86" s="244" t="str">
        <f>IF('ASIGNACIÓN ASIGNATURAS'!X110="","",'ASIGNACIÓN ASIGNATURAS'!X110)</f>
        <v/>
      </c>
      <c r="P86" s="244" t="str">
        <f>IF('ASIGNACIÓN ASIGNATURAS'!Y110="","",'ASIGNACIÓN ASIGNATURAS'!Y110)</f>
        <v/>
      </c>
      <c r="Q86" s="244" t="str">
        <f>IF('ASIGNACIÓN ASIGNATURAS'!Z110="","",'ASIGNACIÓN ASIGNATURAS'!Z110)</f>
        <v/>
      </c>
      <c r="R86" s="244" t="str">
        <f>IF('ASIGNACIÓN ASIGNATURAS'!AA110="","",'ASIGNACIÓN ASIGNATURAS'!AA110)</f>
        <v/>
      </c>
      <c r="S86" s="244" t="str">
        <f>IF('ASIGNACIÓN ASIGNATURAS'!AB110="","",'ASIGNACIÓN ASIGNATURAS'!AB110)</f>
        <v/>
      </c>
    </row>
    <row r="87" spans="1:19" x14ac:dyDescent="0.3">
      <c r="A87" s="290" t="str">
        <f>IF('ASIGNACIÓN ASIGNATURAS'!J118="","",'ASIGNACIÓN ASIGNATURAS'!J118)</f>
        <v/>
      </c>
      <c r="B87" s="290" t="str">
        <f>IF('ASIGNACIÓN ASIGNATURAS'!K118="","",'ASIGNACIÓN ASIGNATURAS'!K118)</f>
        <v/>
      </c>
      <c r="C87" s="290" t="str">
        <f>IF('ASIGNACIÓN ASIGNATURAS'!L118="","",'ASIGNACIÓN ASIGNATURAS'!L118)</f>
        <v/>
      </c>
      <c r="D87" s="290" t="str">
        <f>IF('ASIGNACIÓN ASIGNATURAS'!M118="","",'ASIGNACIÓN ASIGNATURAS'!M118)</f>
        <v/>
      </c>
      <c r="E87" s="290" t="str">
        <f>IF('ASIGNACIÓN ASIGNATURAS'!N118="","",'ASIGNACIÓN ASIGNATURAS'!N118)</f>
        <v/>
      </c>
      <c r="F87" s="290" t="str">
        <f>IF('ASIGNACIÓN ASIGNATURAS'!O118="","",'ASIGNACIÓN ASIGNATURAS'!O118)</f>
        <v/>
      </c>
      <c r="G87" s="290" t="str">
        <f>IF('ASIGNACIÓN ASIGNATURAS'!P118="","",'ASIGNACIÓN ASIGNATURAS'!P118)</f>
        <v/>
      </c>
      <c r="H87" s="290" t="str">
        <f>IF('ASIGNACIÓN ASIGNATURAS'!T118="","",'ASIGNACIÓN ASIGNATURAS'!T118)</f>
        <v/>
      </c>
      <c r="I87" s="290" t="str">
        <f>IF('ASIGNACIÓN ASIGNATURAS'!U118="","",'ASIGNACIÓN ASIGNATURAS'!U118)</f>
        <v/>
      </c>
      <c r="J87" s="290" t="str">
        <f>IF('ASIGNACIÓN ASIGNATURAS'!V118="","",'ASIGNACIÓN ASIGNATURAS'!V118)</f>
        <v/>
      </c>
      <c r="K87" s="301" t="str">
        <f>IF('ASIGNACIÓN ASIGNATURAS'!S118="","",'ASIGNACIÓN ASIGNATURAS'!S118)</f>
        <v/>
      </c>
      <c r="L87" s="244" t="str">
        <f>IF('ASIGNACIÓN ASIGNATURAS'!Q118="","",'ASIGNACIÓN ASIGNATURAS'!Q118)</f>
        <v/>
      </c>
      <c r="M87" s="244" t="str">
        <f>IF('ASIGNACIÓN ASIGNATURAS'!R118="","",'ASIGNACIÓN ASIGNATURAS'!R118)</f>
        <v/>
      </c>
      <c r="N87" s="244" t="str">
        <f>IF('ASIGNACIÓN ASIGNATURAS'!W118="","",'ASIGNACIÓN ASIGNATURAS'!W118)</f>
        <v/>
      </c>
      <c r="O87" s="244" t="str">
        <f>IF('ASIGNACIÓN ASIGNATURAS'!X118="","",'ASIGNACIÓN ASIGNATURAS'!X118)</f>
        <v/>
      </c>
      <c r="P87" s="244" t="str">
        <f>IF('ASIGNACIÓN ASIGNATURAS'!Y118="","",'ASIGNACIÓN ASIGNATURAS'!Y118)</f>
        <v/>
      </c>
      <c r="Q87" s="244" t="str">
        <f>IF('ASIGNACIÓN ASIGNATURAS'!Z118="","",'ASIGNACIÓN ASIGNATURAS'!Z118)</f>
        <v/>
      </c>
      <c r="R87" s="244" t="str">
        <f>IF('ASIGNACIÓN ASIGNATURAS'!AA118="","",'ASIGNACIÓN ASIGNATURAS'!AA118)</f>
        <v/>
      </c>
      <c r="S87" s="244" t="str">
        <f>IF('ASIGNACIÓN ASIGNATURAS'!AB118="","",'ASIGNACIÓN ASIGNATURAS'!AB118)</f>
        <v/>
      </c>
    </row>
    <row r="88" spans="1:19" x14ac:dyDescent="0.3">
      <c r="A88" s="290" t="str">
        <f>IF('ASIGNACIÓN ASIGNATURAS'!J122="","",'ASIGNACIÓN ASIGNATURAS'!J122)</f>
        <v/>
      </c>
      <c r="B88" s="290" t="str">
        <f>IF('ASIGNACIÓN ASIGNATURAS'!K122="","",'ASIGNACIÓN ASIGNATURAS'!K122)</f>
        <v/>
      </c>
      <c r="C88" s="290" t="str">
        <f>IF('ASIGNACIÓN ASIGNATURAS'!L122="","",'ASIGNACIÓN ASIGNATURAS'!L122)</f>
        <v/>
      </c>
      <c r="D88" s="290" t="str">
        <f>IF('ASIGNACIÓN ASIGNATURAS'!M122="","",'ASIGNACIÓN ASIGNATURAS'!M122)</f>
        <v/>
      </c>
      <c r="E88" s="290" t="str">
        <f>IF('ASIGNACIÓN ASIGNATURAS'!N122="","",'ASIGNACIÓN ASIGNATURAS'!N122)</f>
        <v/>
      </c>
      <c r="F88" s="290" t="str">
        <f>IF('ASIGNACIÓN ASIGNATURAS'!O122="","",'ASIGNACIÓN ASIGNATURAS'!O122)</f>
        <v/>
      </c>
      <c r="G88" s="290" t="str">
        <f>IF('ASIGNACIÓN ASIGNATURAS'!P122="","",'ASIGNACIÓN ASIGNATURAS'!P122)</f>
        <v/>
      </c>
      <c r="H88" s="290" t="str">
        <f>IF('ASIGNACIÓN ASIGNATURAS'!T122="","",'ASIGNACIÓN ASIGNATURAS'!T122)</f>
        <v/>
      </c>
      <c r="I88" s="290" t="str">
        <f>IF('ASIGNACIÓN ASIGNATURAS'!U122="","",'ASIGNACIÓN ASIGNATURAS'!U122)</f>
        <v/>
      </c>
      <c r="J88" s="290" t="str">
        <f>IF('ASIGNACIÓN ASIGNATURAS'!V122="","",'ASIGNACIÓN ASIGNATURAS'!V122)</f>
        <v/>
      </c>
      <c r="K88" s="301" t="str">
        <f>IF('ASIGNACIÓN ASIGNATURAS'!S122="","",'ASIGNACIÓN ASIGNATURAS'!S122)</f>
        <v/>
      </c>
      <c r="L88" s="244" t="str">
        <f>IF('ASIGNACIÓN ASIGNATURAS'!Q122="","",'ASIGNACIÓN ASIGNATURAS'!Q122)</f>
        <v/>
      </c>
      <c r="M88" s="244" t="str">
        <f>IF('ASIGNACIÓN ASIGNATURAS'!R122="","",'ASIGNACIÓN ASIGNATURAS'!R122)</f>
        <v/>
      </c>
      <c r="N88" s="244" t="str">
        <f>IF('ASIGNACIÓN ASIGNATURAS'!W122="","",'ASIGNACIÓN ASIGNATURAS'!W122)</f>
        <v/>
      </c>
      <c r="O88" s="244" t="str">
        <f>IF('ASIGNACIÓN ASIGNATURAS'!X122="","",'ASIGNACIÓN ASIGNATURAS'!X122)</f>
        <v/>
      </c>
      <c r="P88" s="244" t="str">
        <f>IF('ASIGNACIÓN ASIGNATURAS'!Y122="","",'ASIGNACIÓN ASIGNATURAS'!Y122)</f>
        <v/>
      </c>
      <c r="Q88" s="244" t="str">
        <f>IF('ASIGNACIÓN ASIGNATURAS'!Z122="","",'ASIGNACIÓN ASIGNATURAS'!Z122)</f>
        <v/>
      </c>
      <c r="R88" s="244" t="str">
        <f>IF('ASIGNACIÓN ASIGNATURAS'!AA122="","",'ASIGNACIÓN ASIGNATURAS'!AA122)</f>
        <v/>
      </c>
      <c r="S88" s="244" t="str">
        <f>IF('ASIGNACIÓN ASIGNATURAS'!AB122="","",'ASIGNACIÓN ASIGNATURAS'!AB122)</f>
        <v/>
      </c>
    </row>
    <row r="89" spans="1:19" x14ac:dyDescent="0.3">
      <c r="A89" s="290" t="str">
        <f>IF('ASIGNACIÓN ASIGNATURAS'!J126="","",'ASIGNACIÓN ASIGNATURAS'!J126)</f>
        <v/>
      </c>
      <c r="B89" s="290" t="str">
        <f>IF('ASIGNACIÓN ASIGNATURAS'!K126="","",'ASIGNACIÓN ASIGNATURAS'!K126)</f>
        <v/>
      </c>
      <c r="C89" s="290" t="str">
        <f>IF('ASIGNACIÓN ASIGNATURAS'!L126="","",'ASIGNACIÓN ASIGNATURAS'!L126)</f>
        <v/>
      </c>
      <c r="D89" s="290" t="str">
        <f>IF('ASIGNACIÓN ASIGNATURAS'!M126="","",'ASIGNACIÓN ASIGNATURAS'!M126)</f>
        <v/>
      </c>
      <c r="E89" s="290" t="str">
        <f>IF('ASIGNACIÓN ASIGNATURAS'!N126="","",'ASIGNACIÓN ASIGNATURAS'!N126)</f>
        <v/>
      </c>
      <c r="F89" s="290" t="str">
        <f>IF('ASIGNACIÓN ASIGNATURAS'!O126="","",'ASIGNACIÓN ASIGNATURAS'!O126)</f>
        <v/>
      </c>
      <c r="G89" s="290" t="str">
        <f>IF('ASIGNACIÓN ASIGNATURAS'!P126="","",'ASIGNACIÓN ASIGNATURAS'!P126)</f>
        <v/>
      </c>
      <c r="H89" s="290" t="str">
        <f>IF('ASIGNACIÓN ASIGNATURAS'!T126="","",'ASIGNACIÓN ASIGNATURAS'!T126)</f>
        <v/>
      </c>
      <c r="I89" s="290" t="str">
        <f>IF('ASIGNACIÓN ASIGNATURAS'!U126="","",'ASIGNACIÓN ASIGNATURAS'!U126)</f>
        <v/>
      </c>
      <c r="J89" s="290" t="str">
        <f>IF('ASIGNACIÓN ASIGNATURAS'!V126="","",'ASIGNACIÓN ASIGNATURAS'!V126)</f>
        <v/>
      </c>
      <c r="K89" s="301" t="str">
        <f>IF('ASIGNACIÓN ASIGNATURAS'!S126="","",'ASIGNACIÓN ASIGNATURAS'!S126)</f>
        <v/>
      </c>
      <c r="L89" s="244" t="str">
        <f>IF('ASIGNACIÓN ASIGNATURAS'!Q126="","",'ASIGNACIÓN ASIGNATURAS'!Q126)</f>
        <v/>
      </c>
      <c r="M89" s="244" t="str">
        <f>IF('ASIGNACIÓN ASIGNATURAS'!R126="","",'ASIGNACIÓN ASIGNATURAS'!R126)</f>
        <v/>
      </c>
      <c r="N89" s="244" t="str">
        <f>IF('ASIGNACIÓN ASIGNATURAS'!W126="","",'ASIGNACIÓN ASIGNATURAS'!W126)</f>
        <v/>
      </c>
      <c r="O89" s="244" t="str">
        <f>IF('ASIGNACIÓN ASIGNATURAS'!X126="","",'ASIGNACIÓN ASIGNATURAS'!X126)</f>
        <v/>
      </c>
      <c r="P89" s="244" t="str">
        <f>IF('ASIGNACIÓN ASIGNATURAS'!Y126="","",'ASIGNACIÓN ASIGNATURAS'!Y126)</f>
        <v/>
      </c>
      <c r="Q89" s="244" t="str">
        <f>IF('ASIGNACIÓN ASIGNATURAS'!Z126="","",'ASIGNACIÓN ASIGNATURAS'!Z126)</f>
        <v/>
      </c>
      <c r="R89" s="244" t="str">
        <f>IF('ASIGNACIÓN ASIGNATURAS'!AA126="","",'ASIGNACIÓN ASIGNATURAS'!AA126)</f>
        <v/>
      </c>
      <c r="S89" s="244" t="str">
        <f>IF('ASIGNACIÓN ASIGNATURAS'!AB126="","",'ASIGNACIÓN ASIGNATURAS'!AB126)</f>
        <v/>
      </c>
    </row>
    <row r="90" spans="1:19" x14ac:dyDescent="0.3">
      <c r="A90" s="290" t="str">
        <f>IF('ASIGNACIÓN ASIGNATURAS'!J142="","",'ASIGNACIÓN ASIGNATURAS'!J142)</f>
        <v/>
      </c>
      <c r="B90" s="290" t="str">
        <f>IF('ASIGNACIÓN ASIGNATURAS'!K142="","",'ASIGNACIÓN ASIGNATURAS'!K142)</f>
        <v/>
      </c>
      <c r="C90" s="290" t="str">
        <f>IF('ASIGNACIÓN ASIGNATURAS'!L142="","",'ASIGNACIÓN ASIGNATURAS'!L142)</f>
        <v/>
      </c>
      <c r="D90" s="290" t="str">
        <f>IF('ASIGNACIÓN ASIGNATURAS'!M142="","",'ASIGNACIÓN ASIGNATURAS'!M142)</f>
        <v/>
      </c>
      <c r="E90" s="290" t="str">
        <f>IF('ASIGNACIÓN ASIGNATURAS'!N142="","",'ASIGNACIÓN ASIGNATURAS'!N142)</f>
        <v/>
      </c>
      <c r="F90" s="290" t="str">
        <f>IF('ASIGNACIÓN ASIGNATURAS'!O142="","",'ASIGNACIÓN ASIGNATURAS'!O142)</f>
        <v/>
      </c>
      <c r="G90" s="290" t="str">
        <f>IF('ASIGNACIÓN ASIGNATURAS'!P142="","",'ASIGNACIÓN ASIGNATURAS'!P142)</f>
        <v/>
      </c>
      <c r="H90" s="290" t="str">
        <f>IF('ASIGNACIÓN ASIGNATURAS'!T142="","",'ASIGNACIÓN ASIGNATURAS'!T142)</f>
        <v/>
      </c>
      <c r="I90" s="290" t="str">
        <f>IF('ASIGNACIÓN ASIGNATURAS'!U142="","",'ASIGNACIÓN ASIGNATURAS'!U142)</f>
        <v/>
      </c>
      <c r="J90" s="290" t="str">
        <f>IF('ASIGNACIÓN ASIGNATURAS'!V142="","",'ASIGNACIÓN ASIGNATURAS'!V142)</f>
        <v/>
      </c>
      <c r="K90" s="301" t="str">
        <f>IF('ASIGNACIÓN ASIGNATURAS'!S142="","",'ASIGNACIÓN ASIGNATURAS'!S142)</f>
        <v/>
      </c>
      <c r="L90" s="244" t="str">
        <f>IF('ASIGNACIÓN ASIGNATURAS'!Q142="","",'ASIGNACIÓN ASIGNATURAS'!Q142)</f>
        <v/>
      </c>
      <c r="M90" s="244" t="str">
        <f>IF('ASIGNACIÓN ASIGNATURAS'!R142="","",'ASIGNACIÓN ASIGNATURAS'!R142)</f>
        <v/>
      </c>
      <c r="N90" s="244" t="str">
        <f>IF('ASIGNACIÓN ASIGNATURAS'!W142="","",'ASIGNACIÓN ASIGNATURAS'!W142)</f>
        <v/>
      </c>
      <c r="O90" s="244" t="str">
        <f>IF('ASIGNACIÓN ASIGNATURAS'!X142="","",'ASIGNACIÓN ASIGNATURAS'!X142)</f>
        <v/>
      </c>
      <c r="P90" s="244" t="str">
        <f>IF('ASIGNACIÓN ASIGNATURAS'!Y142="","",'ASIGNACIÓN ASIGNATURAS'!Y142)</f>
        <v/>
      </c>
      <c r="Q90" s="244" t="str">
        <f>IF('ASIGNACIÓN ASIGNATURAS'!Z142="","",'ASIGNACIÓN ASIGNATURAS'!Z142)</f>
        <v/>
      </c>
      <c r="R90" s="244" t="str">
        <f>IF('ASIGNACIÓN ASIGNATURAS'!AA142="","",'ASIGNACIÓN ASIGNATURAS'!AA142)</f>
        <v/>
      </c>
      <c r="S90" s="244" t="str">
        <f>IF('ASIGNACIÓN ASIGNATURAS'!AB142="","",'ASIGNACIÓN ASIGNATURAS'!AB142)</f>
        <v/>
      </c>
    </row>
    <row r="91" spans="1:19" x14ac:dyDescent="0.3">
      <c r="A91" s="290" t="str">
        <f>IF('ASIGNACIÓN ASIGNATURAS'!J146="","",'ASIGNACIÓN ASIGNATURAS'!J146)</f>
        <v/>
      </c>
      <c r="B91" s="290" t="str">
        <f>IF('ASIGNACIÓN ASIGNATURAS'!K146="","",'ASIGNACIÓN ASIGNATURAS'!K146)</f>
        <v/>
      </c>
      <c r="C91" s="290" t="str">
        <f>IF('ASIGNACIÓN ASIGNATURAS'!L146="","",'ASIGNACIÓN ASIGNATURAS'!L146)</f>
        <v/>
      </c>
      <c r="D91" s="290" t="str">
        <f>IF('ASIGNACIÓN ASIGNATURAS'!M146="","",'ASIGNACIÓN ASIGNATURAS'!M146)</f>
        <v/>
      </c>
      <c r="E91" s="290" t="str">
        <f>IF('ASIGNACIÓN ASIGNATURAS'!N146="","",'ASIGNACIÓN ASIGNATURAS'!N146)</f>
        <v/>
      </c>
      <c r="F91" s="290" t="str">
        <f>IF('ASIGNACIÓN ASIGNATURAS'!O146="","",'ASIGNACIÓN ASIGNATURAS'!O146)</f>
        <v/>
      </c>
      <c r="G91" s="290" t="str">
        <f>IF('ASIGNACIÓN ASIGNATURAS'!P146="","",'ASIGNACIÓN ASIGNATURAS'!P146)</f>
        <v/>
      </c>
      <c r="H91" s="290" t="str">
        <f>IF('ASIGNACIÓN ASIGNATURAS'!T146="","",'ASIGNACIÓN ASIGNATURAS'!T146)</f>
        <v/>
      </c>
      <c r="I91" s="290" t="str">
        <f>IF('ASIGNACIÓN ASIGNATURAS'!U146="","",'ASIGNACIÓN ASIGNATURAS'!U146)</f>
        <v/>
      </c>
      <c r="J91" s="290" t="str">
        <f>IF('ASIGNACIÓN ASIGNATURAS'!V146="","",'ASIGNACIÓN ASIGNATURAS'!V146)</f>
        <v/>
      </c>
      <c r="K91" s="301" t="str">
        <f>IF('ASIGNACIÓN ASIGNATURAS'!S146="","",'ASIGNACIÓN ASIGNATURAS'!S146)</f>
        <v/>
      </c>
      <c r="L91" s="244" t="str">
        <f>IF('ASIGNACIÓN ASIGNATURAS'!Q146="","",'ASIGNACIÓN ASIGNATURAS'!Q146)</f>
        <v/>
      </c>
      <c r="M91" s="244" t="str">
        <f>IF('ASIGNACIÓN ASIGNATURAS'!R146="","",'ASIGNACIÓN ASIGNATURAS'!R146)</f>
        <v/>
      </c>
      <c r="N91" s="244" t="str">
        <f>IF('ASIGNACIÓN ASIGNATURAS'!W146="","",'ASIGNACIÓN ASIGNATURAS'!W146)</f>
        <v/>
      </c>
      <c r="O91" s="244" t="str">
        <f>IF('ASIGNACIÓN ASIGNATURAS'!X146="","",'ASIGNACIÓN ASIGNATURAS'!X146)</f>
        <v/>
      </c>
      <c r="P91" s="244" t="str">
        <f>IF('ASIGNACIÓN ASIGNATURAS'!Y146="","",'ASIGNACIÓN ASIGNATURAS'!Y146)</f>
        <v/>
      </c>
      <c r="Q91" s="244" t="str">
        <f>IF('ASIGNACIÓN ASIGNATURAS'!Z146="","",'ASIGNACIÓN ASIGNATURAS'!Z146)</f>
        <v/>
      </c>
      <c r="R91" s="244" t="str">
        <f>IF('ASIGNACIÓN ASIGNATURAS'!AA146="","",'ASIGNACIÓN ASIGNATURAS'!AA146)</f>
        <v/>
      </c>
      <c r="S91" s="244" t="str">
        <f>IF('ASIGNACIÓN ASIGNATURAS'!AB146="","",'ASIGNACIÓN ASIGNATURAS'!AB146)</f>
        <v/>
      </c>
    </row>
    <row r="92" spans="1:19" x14ac:dyDescent="0.3">
      <c r="A92" s="290" t="str">
        <f>IF('ASIGNACIÓN ASIGNATURAS'!J25="","",'ASIGNACIÓN ASIGNATURAS'!J25)</f>
        <v/>
      </c>
      <c r="B92" s="290" t="str">
        <f>IF('ASIGNACIÓN ASIGNATURAS'!K25="","",'ASIGNACIÓN ASIGNATURAS'!K25)</f>
        <v/>
      </c>
      <c r="C92" s="290" t="str">
        <f>IF('ASIGNACIÓN ASIGNATURAS'!L25="","",'ASIGNACIÓN ASIGNATURAS'!L25)</f>
        <v/>
      </c>
      <c r="D92" s="290" t="str">
        <f>IF('ASIGNACIÓN ASIGNATURAS'!M25="","",'ASIGNACIÓN ASIGNATURAS'!M25)</f>
        <v/>
      </c>
      <c r="E92" s="290" t="str">
        <f>IF('ASIGNACIÓN ASIGNATURAS'!N25="","",'ASIGNACIÓN ASIGNATURAS'!N25)</f>
        <v/>
      </c>
      <c r="F92" s="290" t="str">
        <f>IF('ASIGNACIÓN ASIGNATURAS'!O25="","",'ASIGNACIÓN ASIGNATURAS'!O25)</f>
        <v/>
      </c>
      <c r="G92" s="290" t="str">
        <f>IF('ASIGNACIÓN ASIGNATURAS'!P25="","",'ASIGNACIÓN ASIGNATURAS'!P25)</f>
        <v/>
      </c>
      <c r="H92" s="290" t="str">
        <f>IF('ASIGNACIÓN ASIGNATURAS'!T25="","",'ASIGNACIÓN ASIGNATURAS'!T25)</f>
        <v/>
      </c>
      <c r="I92" s="290" t="str">
        <f>IF('ASIGNACIÓN ASIGNATURAS'!U25="","",'ASIGNACIÓN ASIGNATURAS'!U25)</f>
        <v/>
      </c>
      <c r="J92" s="290" t="str">
        <f>IF('ASIGNACIÓN ASIGNATURAS'!V25="","",'ASIGNACIÓN ASIGNATURAS'!V25)</f>
        <v/>
      </c>
      <c r="K92" s="301" t="str">
        <f>IF('ASIGNACIÓN ASIGNATURAS'!S25="","",'ASIGNACIÓN ASIGNATURAS'!S25)</f>
        <v/>
      </c>
      <c r="L92" s="244" t="str">
        <f>IF('ASIGNACIÓN ASIGNATURAS'!Q25="","",'ASIGNACIÓN ASIGNATURAS'!Q25)</f>
        <v/>
      </c>
      <c r="M92" s="244" t="str">
        <f>IF('ASIGNACIÓN ASIGNATURAS'!R25="","",'ASIGNACIÓN ASIGNATURAS'!R25)</f>
        <v/>
      </c>
      <c r="N92" s="244" t="str">
        <f>IF('ASIGNACIÓN ASIGNATURAS'!W25="","",'ASIGNACIÓN ASIGNATURAS'!W25)</f>
        <v/>
      </c>
      <c r="O92" s="244" t="str">
        <f>IF('ASIGNACIÓN ASIGNATURAS'!X25="","",'ASIGNACIÓN ASIGNATURAS'!X25)</f>
        <v/>
      </c>
      <c r="P92" s="244" t="str">
        <f>IF('ASIGNACIÓN ASIGNATURAS'!Y25="","",'ASIGNACIÓN ASIGNATURAS'!Y25)</f>
        <v/>
      </c>
      <c r="Q92" s="244" t="str">
        <f>IF('ASIGNACIÓN ASIGNATURAS'!Z25="","",'ASIGNACIÓN ASIGNATURAS'!Z25)</f>
        <v/>
      </c>
      <c r="R92" s="244" t="str">
        <f>IF('ASIGNACIÓN ASIGNATURAS'!AA25="","",'ASIGNACIÓN ASIGNATURAS'!AA25)</f>
        <v/>
      </c>
      <c r="S92" s="244" t="str">
        <f>IF('ASIGNACIÓN ASIGNATURAS'!AB25="","",'ASIGNACIÓN ASIGNATURAS'!AB25)</f>
        <v/>
      </c>
    </row>
    <row r="93" spans="1:19" x14ac:dyDescent="0.3">
      <c r="A93" s="290" t="str">
        <f>IF('ASIGNACIÓN ASIGNATURAS'!J29="","",'ASIGNACIÓN ASIGNATURAS'!J29)</f>
        <v/>
      </c>
      <c r="B93" s="290" t="str">
        <f>IF('ASIGNACIÓN ASIGNATURAS'!K29="","",'ASIGNACIÓN ASIGNATURAS'!K29)</f>
        <v/>
      </c>
      <c r="C93" s="290" t="str">
        <f>IF('ASIGNACIÓN ASIGNATURAS'!L29="","",'ASIGNACIÓN ASIGNATURAS'!L29)</f>
        <v/>
      </c>
      <c r="D93" s="290" t="str">
        <f>IF('ASIGNACIÓN ASIGNATURAS'!M29="","",'ASIGNACIÓN ASIGNATURAS'!M29)</f>
        <v/>
      </c>
      <c r="E93" s="290" t="str">
        <f>IF('ASIGNACIÓN ASIGNATURAS'!N29="","",'ASIGNACIÓN ASIGNATURAS'!N29)</f>
        <v/>
      </c>
      <c r="F93" s="290" t="str">
        <f>IF('ASIGNACIÓN ASIGNATURAS'!O29="","",'ASIGNACIÓN ASIGNATURAS'!O29)</f>
        <v/>
      </c>
      <c r="G93" s="290" t="str">
        <f>IF('ASIGNACIÓN ASIGNATURAS'!P29="","",'ASIGNACIÓN ASIGNATURAS'!P29)</f>
        <v/>
      </c>
      <c r="H93" s="290" t="str">
        <f>IF('ASIGNACIÓN ASIGNATURAS'!T29="","",'ASIGNACIÓN ASIGNATURAS'!T29)</f>
        <v/>
      </c>
      <c r="I93" s="290" t="str">
        <f>IF('ASIGNACIÓN ASIGNATURAS'!U29="","",'ASIGNACIÓN ASIGNATURAS'!U29)</f>
        <v/>
      </c>
      <c r="J93" s="290" t="str">
        <f>IF('ASIGNACIÓN ASIGNATURAS'!V29="","",'ASIGNACIÓN ASIGNATURAS'!V29)</f>
        <v/>
      </c>
      <c r="K93" s="301" t="str">
        <f>IF('ASIGNACIÓN ASIGNATURAS'!S29="","",'ASIGNACIÓN ASIGNATURAS'!S29)</f>
        <v/>
      </c>
      <c r="L93" s="244" t="str">
        <f>IF('ASIGNACIÓN ASIGNATURAS'!Q29="","",'ASIGNACIÓN ASIGNATURAS'!Q29)</f>
        <v/>
      </c>
      <c r="M93" s="244" t="str">
        <f>IF('ASIGNACIÓN ASIGNATURAS'!R29="","",'ASIGNACIÓN ASIGNATURAS'!R29)</f>
        <v/>
      </c>
      <c r="N93" s="244" t="str">
        <f>IF('ASIGNACIÓN ASIGNATURAS'!W29="","",'ASIGNACIÓN ASIGNATURAS'!W29)</f>
        <v/>
      </c>
      <c r="O93" s="244" t="str">
        <f>IF('ASIGNACIÓN ASIGNATURAS'!X29="","",'ASIGNACIÓN ASIGNATURAS'!X29)</f>
        <v/>
      </c>
      <c r="P93" s="244" t="str">
        <f>IF('ASIGNACIÓN ASIGNATURAS'!Y29="","",'ASIGNACIÓN ASIGNATURAS'!Y29)</f>
        <v/>
      </c>
      <c r="Q93" s="244" t="str">
        <f>IF('ASIGNACIÓN ASIGNATURAS'!Z29="","",'ASIGNACIÓN ASIGNATURAS'!Z29)</f>
        <v/>
      </c>
      <c r="R93" s="244" t="str">
        <f>IF('ASIGNACIÓN ASIGNATURAS'!AA29="","",'ASIGNACIÓN ASIGNATURAS'!AA29)</f>
        <v/>
      </c>
      <c r="S93" s="244" t="str">
        <f>IF('ASIGNACIÓN ASIGNATURAS'!AB29="","",'ASIGNACIÓN ASIGNATURAS'!AB29)</f>
        <v/>
      </c>
    </row>
    <row r="94" spans="1:19" x14ac:dyDescent="0.3">
      <c r="A94" s="290" t="str">
        <f>IF('ASIGNACIÓN ASIGNATURAS'!J33="","",'ASIGNACIÓN ASIGNATURAS'!J33)</f>
        <v/>
      </c>
      <c r="B94" s="290" t="str">
        <f>IF('ASIGNACIÓN ASIGNATURAS'!K33="","",'ASIGNACIÓN ASIGNATURAS'!K33)</f>
        <v/>
      </c>
      <c r="C94" s="290" t="str">
        <f>IF('ASIGNACIÓN ASIGNATURAS'!L33="","",'ASIGNACIÓN ASIGNATURAS'!L33)</f>
        <v/>
      </c>
      <c r="D94" s="290" t="str">
        <f>IF('ASIGNACIÓN ASIGNATURAS'!M33="","",'ASIGNACIÓN ASIGNATURAS'!M33)</f>
        <v/>
      </c>
      <c r="E94" s="290" t="str">
        <f>IF('ASIGNACIÓN ASIGNATURAS'!N33="","",'ASIGNACIÓN ASIGNATURAS'!N33)</f>
        <v/>
      </c>
      <c r="F94" s="290" t="str">
        <f>IF('ASIGNACIÓN ASIGNATURAS'!O33="","",'ASIGNACIÓN ASIGNATURAS'!O33)</f>
        <v/>
      </c>
      <c r="G94" s="290" t="str">
        <f>IF('ASIGNACIÓN ASIGNATURAS'!P33="","",'ASIGNACIÓN ASIGNATURAS'!P33)</f>
        <v/>
      </c>
      <c r="H94" s="290" t="str">
        <f>IF('ASIGNACIÓN ASIGNATURAS'!T33="","",'ASIGNACIÓN ASIGNATURAS'!T33)</f>
        <v/>
      </c>
      <c r="I94" s="290" t="str">
        <f>IF('ASIGNACIÓN ASIGNATURAS'!U33="","",'ASIGNACIÓN ASIGNATURAS'!U33)</f>
        <v/>
      </c>
      <c r="J94" s="290" t="str">
        <f>IF('ASIGNACIÓN ASIGNATURAS'!V33="","",'ASIGNACIÓN ASIGNATURAS'!V33)</f>
        <v/>
      </c>
      <c r="K94" s="301" t="str">
        <f>IF('ASIGNACIÓN ASIGNATURAS'!S33="","",'ASIGNACIÓN ASIGNATURAS'!S33)</f>
        <v/>
      </c>
      <c r="L94" s="244" t="str">
        <f>IF('ASIGNACIÓN ASIGNATURAS'!Q33="","",'ASIGNACIÓN ASIGNATURAS'!Q33)</f>
        <v/>
      </c>
      <c r="M94" s="244" t="str">
        <f>IF('ASIGNACIÓN ASIGNATURAS'!R33="","",'ASIGNACIÓN ASIGNATURAS'!R33)</f>
        <v/>
      </c>
      <c r="N94" s="244" t="str">
        <f>IF('ASIGNACIÓN ASIGNATURAS'!W33="","",'ASIGNACIÓN ASIGNATURAS'!W33)</f>
        <v/>
      </c>
      <c r="O94" s="244" t="str">
        <f>IF('ASIGNACIÓN ASIGNATURAS'!X33="","",'ASIGNACIÓN ASIGNATURAS'!X33)</f>
        <v/>
      </c>
      <c r="P94" s="244" t="str">
        <f>IF('ASIGNACIÓN ASIGNATURAS'!Y33="","",'ASIGNACIÓN ASIGNATURAS'!Y33)</f>
        <v/>
      </c>
      <c r="Q94" s="244" t="str">
        <f>IF('ASIGNACIÓN ASIGNATURAS'!Z33="","",'ASIGNACIÓN ASIGNATURAS'!Z33)</f>
        <v/>
      </c>
      <c r="R94" s="244" t="str">
        <f>IF('ASIGNACIÓN ASIGNATURAS'!AA33="","",'ASIGNACIÓN ASIGNATURAS'!AA33)</f>
        <v/>
      </c>
      <c r="S94" s="244" t="str">
        <f>IF('ASIGNACIÓN ASIGNATURAS'!AB33="","",'ASIGNACIÓN ASIGNATURAS'!AB33)</f>
        <v/>
      </c>
    </row>
    <row r="95" spans="1:19" x14ac:dyDescent="0.3">
      <c r="A95" s="290" t="str">
        <f>IF('ASIGNACIÓN ASIGNATURAS'!J27="","",'ASIGNACIÓN ASIGNATURAS'!J27)</f>
        <v/>
      </c>
      <c r="B95" s="290" t="str">
        <f>IF('ASIGNACIÓN ASIGNATURAS'!K27="","",'ASIGNACIÓN ASIGNATURAS'!K27)</f>
        <v/>
      </c>
      <c r="C95" s="290" t="str">
        <f>IF('ASIGNACIÓN ASIGNATURAS'!L27="","",'ASIGNACIÓN ASIGNATURAS'!L27)</f>
        <v/>
      </c>
      <c r="D95" s="290" t="str">
        <f>IF('ASIGNACIÓN ASIGNATURAS'!M27="","",'ASIGNACIÓN ASIGNATURAS'!M27)</f>
        <v/>
      </c>
      <c r="E95" s="290" t="str">
        <f>IF('ASIGNACIÓN ASIGNATURAS'!N27="","",'ASIGNACIÓN ASIGNATURAS'!N27)</f>
        <v/>
      </c>
      <c r="F95" s="290" t="str">
        <f>IF('ASIGNACIÓN ASIGNATURAS'!O27="","",'ASIGNACIÓN ASIGNATURAS'!O27)</f>
        <v/>
      </c>
      <c r="G95" s="290" t="str">
        <f>IF('ASIGNACIÓN ASIGNATURAS'!P27="","",'ASIGNACIÓN ASIGNATURAS'!P27)</f>
        <v/>
      </c>
      <c r="H95" s="290" t="str">
        <f>IF('ASIGNACIÓN ASIGNATURAS'!T27="","",'ASIGNACIÓN ASIGNATURAS'!T27)</f>
        <v/>
      </c>
      <c r="I95" s="290" t="str">
        <f>IF('ASIGNACIÓN ASIGNATURAS'!U27="","",'ASIGNACIÓN ASIGNATURAS'!U27)</f>
        <v/>
      </c>
      <c r="J95" s="290" t="str">
        <f>IF('ASIGNACIÓN ASIGNATURAS'!V27="","",'ASIGNACIÓN ASIGNATURAS'!V27)</f>
        <v/>
      </c>
      <c r="K95" s="301" t="str">
        <f>IF('ASIGNACIÓN ASIGNATURAS'!S27="","",'ASIGNACIÓN ASIGNATURAS'!S27)</f>
        <v/>
      </c>
      <c r="L95" s="244" t="str">
        <f>IF('ASIGNACIÓN ASIGNATURAS'!Q27="","",'ASIGNACIÓN ASIGNATURAS'!Q27)</f>
        <v/>
      </c>
      <c r="M95" s="244" t="str">
        <f>IF('ASIGNACIÓN ASIGNATURAS'!R27="","",'ASIGNACIÓN ASIGNATURAS'!R27)</f>
        <v/>
      </c>
      <c r="N95" s="244" t="str">
        <f>IF('ASIGNACIÓN ASIGNATURAS'!W27="","",'ASIGNACIÓN ASIGNATURAS'!W27)</f>
        <v/>
      </c>
      <c r="O95" s="244" t="str">
        <f>IF('ASIGNACIÓN ASIGNATURAS'!X27="","",'ASIGNACIÓN ASIGNATURAS'!X27)</f>
        <v/>
      </c>
      <c r="P95" s="244" t="str">
        <f>IF('ASIGNACIÓN ASIGNATURAS'!Y27="","",'ASIGNACIÓN ASIGNATURAS'!Y27)</f>
        <v/>
      </c>
      <c r="Q95" s="244" t="str">
        <f>IF('ASIGNACIÓN ASIGNATURAS'!Z27="","",'ASIGNACIÓN ASIGNATURAS'!Z27)</f>
        <v/>
      </c>
      <c r="R95" s="244" t="str">
        <f>IF('ASIGNACIÓN ASIGNATURAS'!AA27="","",'ASIGNACIÓN ASIGNATURAS'!AA27)</f>
        <v/>
      </c>
      <c r="S95" s="244" t="str">
        <f>IF('ASIGNACIÓN ASIGNATURAS'!AB27="","",'ASIGNACIÓN ASIGNATURAS'!AB27)</f>
        <v/>
      </c>
    </row>
    <row r="96" spans="1:19" x14ac:dyDescent="0.3">
      <c r="A96" s="290" t="str">
        <f>IF('ASIGNACIÓN ASIGNATURAS'!J31="","",'ASIGNACIÓN ASIGNATURAS'!J31)</f>
        <v/>
      </c>
      <c r="B96" s="290" t="str">
        <f>IF('ASIGNACIÓN ASIGNATURAS'!K31="","",'ASIGNACIÓN ASIGNATURAS'!K31)</f>
        <v/>
      </c>
      <c r="C96" s="290" t="str">
        <f>IF('ASIGNACIÓN ASIGNATURAS'!L31="","",'ASIGNACIÓN ASIGNATURAS'!L31)</f>
        <v/>
      </c>
      <c r="D96" s="290" t="str">
        <f>IF('ASIGNACIÓN ASIGNATURAS'!M31="","",'ASIGNACIÓN ASIGNATURAS'!M31)</f>
        <v/>
      </c>
      <c r="E96" s="290" t="str">
        <f>IF('ASIGNACIÓN ASIGNATURAS'!N31="","",'ASIGNACIÓN ASIGNATURAS'!N31)</f>
        <v/>
      </c>
      <c r="F96" s="290" t="str">
        <f>IF('ASIGNACIÓN ASIGNATURAS'!O31="","",'ASIGNACIÓN ASIGNATURAS'!O31)</f>
        <v/>
      </c>
      <c r="G96" s="290" t="str">
        <f>IF('ASIGNACIÓN ASIGNATURAS'!P31="","",'ASIGNACIÓN ASIGNATURAS'!P31)</f>
        <v/>
      </c>
      <c r="H96" s="290" t="str">
        <f>IF('ASIGNACIÓN ASIGNATURAS'!T31="","",'ASIGNACIÓN ASIGNATURAS'!T31)</f>
        <v/>
      </c>
      <c r="I96" s="290" t="str">
        <f>IF('ASIGNACIÓN ASIGNATURAS'!U31="","",'ASIGNACIÓN ASIGNATURAS'!U31)</f>
        <v/>
      </c>
      <c r="J96" s="290" t="str">
        <f>IF('ASIGNACIÓN ASIGNATURAS'!V31="","",'ASIGNACIÓN ASIGNATURAS'!V31)</f>
        <v/>
      </c>
      <c r="K96" s="301" t="str">
        <f>IF('ASIGNACIÓN ASIGNATURAS'!S31="","",'ASIGNACIÓN ASIGNATURAS'!S31)</f>
        <v/>
      </c>
      <c r="L96" s="244" t="str">
        <f>IF('ASIGNACIÓN ASIGNATURAS'!Q31="","",'ASIGNACIÓN ASIGNATURAS'!Q31)</f>
        <v/>
      </c>
      <c r="M96" s="244" t="str">
        <f>IF('ASIGNACIÓN ASIGNATURAS'!R31="","",'ASIGNACIÓN ASIGNATURAS'!R31)</f>
        <v/>
      </c>
      <c r="N96" s="244" t="str">
        <f>IF('ASIGNACIÓN ASIGNATURAS'!W31="","",'ASIGNACIÓN ASIGNATURAS'!W31)</f>
        <v/>
      </c>
      <c r="O96" s="244" t="str">
        <f>IF('ASIGNACIÓN ASIGNATURAS'!X31="","",'ASIGNACIÓN ASIGNATURAS'!X31)</f>
        <v/>
      </c>
      <c r="P96" s="244" t="str">
        <f>IF('ASIGNACIÓN ASIGNATURAS'!Y31="","",'ASIGNACIÓN ASIGNATURAS'!Y31)</f>
        <v/>
      </c>
      <c r="Q96" s="244" t="str">
        <f>IF('ASIGNACIÓN ASIGNATURAS'!Z31="","",'ASIGNACIÓN ASIGNATURAS'!Z31)</f>
        <v/>
      </c>
      <c r="R96" s="244" t="str">
        <f>IF('ASIGNACIÓN ASIGNATURAS'!AA31="","",'ASIGNACIÓN ASIGNATURAS'!AA31)</f>
        <v/>
      </c>
      <c r="S96" s="244" t="str">
        <f>IF('ASIGNACIÓN ASIGNATURAS'!AB31="","",'ASIGNACIÓN ASIGNATURAS'!AB31)</f>
        <v/>
      </c>
    </row>
    <row r="97" spans="1:19" x14ac:dyDescent="0.3">
      <c r="A97" s="290" t="str">
        <f>IF('ASIGNACIÓN ASIGNATURAS'!J28="","",'ASIGNACIÓN ASIGNATURAS'!J28)</f>
        <v/>
      </c>
      <c r="B97" s="290" t="str">
        <f>IF('ASIGNACIÓN ASIGNATURAS'!K28="","",'ASIGNACIÓN ASIGNATURAS'!K28)</f>
        <v/>
      </c>
      <c r="C97" s="290" t="str">
        <f>IF('ASIGNACIÓN ASIGNATURAS'!L28="","",'ASIGNACIÓN ASIGNATURAS'!L28)</f>
        <v/>
      </c>
      <c r="D97" s="290" t="str">
        <f>IF('ASIGNACIÓN ASIGNATURAS'!M28="","",'ASIGNACIÓN ASIGNATURAS'!M28)</f>
        <v/>
      </c>
      <c r="E97" s="290" t="str">
        <f>IF('ASIGNACIÓN ASIGNATURAS'!N28="","",'ASIGNACIÓN ASIGNATURAS'!N28)</f>
        <v/>
      </c>
      <c r="F97" s="290" t="str">
        <f>IF('ASIGNACIÓN ASIGNATURAS'!O28="","",'ASIGNACIÓN ASIGNATURAS'!O28)</f>
        <v/>
      </c>
      <c r="G97" s="290" t="str">
        <f>IF('ASIGNACIÓN ASIGNATURAS'!P28="","",'ASIGNACIÓN ASIGNATURAS'!P28)</f>
        <v/>
      </c>
      <c r="H97" s="290" t="str">
        <f>IF('ASIGNACIÓN ASIGNATURAS'!T28="","",'ASIGNACIÓN ASIGNATURAS'!T28)</f>
        <v/>
      </c>
      <c r="I97" s="290" t="str">
        <f>IF('ASIGNACIÓN ASIGNATURAS'!U28="","",'ASIGNACIÓN ASIGNATURAS'!U28)</f>
        <v/>
      </c>
      <c r="J97" s="290" t="str">
        <f>IF('ASIGNACIÓN ASIGNATURAS'!V28="","",'ASIGNACIÓN ASIGNATURAS'!V28)</f>
        <v/>
      </c>
      <c r="K97" s="301" t="str">
        <f>IF('ASIGNACIÓN ASIGNATURAS'!S28="","",'ASIGNACIÓN ASIGNATURAS'!S28)</f>
        <v/>
      </c>
      <c r="L97" s="244" t="str">
        <f>IF('ASIGNACIÓN ASIGNATURAS'!Q28="","",'ASIGNACIÓN ASIGNATURAS'!Q28)</f>
        <v/>
      </c>
      <c r="M97" s="244" t="str">
        <f>IF('ASIGNACIÓN ASIGNATURAS'!R28="","",'ASIGNACIÓN ASIGNATURAS'!R28)</f>
        <v/>
      </c>
      <c r="N97" s="244" t="str">
        <f>IF('ASIGNACIÓN ASIGNATURAS'!W28="","",'ASIGNACIÓN ASIGNATURAS'!W28)</f>
        <v/>
      </c>
      <c r="O97" s="244" t="str">
        <f>IF('ASIGNACIÓN ASIGNATURAS'!X28="","",'ASIGNACIÓN ASIGNATURAS'!X28)</f>
        <v/>
      </c>
      <c r="P97" s="244" t="str">
        <f>IF('ASIGNACIÓN ASIGNATURAS'!Y28="","",'ASIGNACIÓN ASIGNATURAS'!Y28)</f>
        <v/>
      </c>
      <c r="Q97" s="244" t="str">
        <f>IF('ASIGNACIÓN ASIGNATURAS'!Z28="","",'ASIGNACIÓN ASIGNATURAS'!Z28)</f>
        <v/>
      </c>
      <c r="R97" s="244" t="str">
        <f>IF('ASIGNACIÓN ASIGNATURAS'!AA28="","",'ASIGNACIÓN ASIGNATURAS'!AA28)</f>
        <v/>
      </c>
      <c r="S97" s="244" t="str">
        <f>IF('ASIGNACIÓN ASIGNATURAS'!AB28="","",'ASIGNACIÓN ASIGNATURAS'!AB28)</f>
        <v/>
      </c>
    </row>
    <row r="98" spans="1:19" x14ac:dyDescent="0.3">
      <c r="A98" s="290" t="str">
        <f>IF('ASIGNACIÓN ASIGNATURAS'!J26="","",'ASIGNACIÓN ASIGNATURAS'!J26)</f>
        <v/>
      </c>
      <c r="B98" s="290" t="str">
        <f>IF('ASIGNACIÓN ASIGNATURAS'!K26="","",'ASIGNACIÓN ASIGNATURAS'!K26)</f>
        <v/>
      </c>
      <c r="C98" s="290" t="str">
        <f>IF('ASIGNACIÓN ASIGNATURAS'!L26="","",'ASIGNACIÓN ASIGNATURAS'!L26)</f>
        <v/>
      </c>
      <c r="D98" s="290" t="str">
        <f>IF('ASIGNACIÓN ASIGNATURAS'!M26="","",'ASIGNACIÓN ASIGNATURAS'!M26)</f>
        <v/>
      </c>
      <c r="E98" s="290" t="str">
        <f>IF('ASIGNACIÓN ASIGNATURAS'!N26="","",'ASIGNACIÓN ASIGNATURAS'!N26)</f>
        <v/>
      </c>
      <c r="F98" s="290" t="str">
        <f>IF('ASIGNACIÓN ASIGNATURAS'!O26="","",'ASIGNACIÓN ASIGNATURAS'!O26)</f>
        <v/>
      </c>
      <c r="G98" s="290" t="str">
        <f>IF('ASIGNACIÓN ASIGNATURAS'!P26="","",'ASIGNACIÓN ASIGNATURAS'!P26)</f>
        <v/>
      </c>
      <c r="H98" s="290" t="str">
        <f>IF('ASIGNACIÓN ASIGNATURAS'!T26="","",'ASIGNACIÓN ASIGNATURAS'!T26)</f>
        <v/>
      </c>
      <c r="I98" s="290" t="str">
        <f>IF('ASIGNACIÓN ASIGNATURAS'!U26="","",'ASIGNACIÓN ASIGNATURAS'!U26)</f>
        <v/>
      </c>
      <c r="J98" s="290" t="str">
        <f>IF('ASIGNACIÓN ASIGNATURAS'!V26="","",'ASIGNACIÓN ASIGNATURAS'!V26)</f>
        <v/>
      </c>
      <c r="K98" s="301" t="str">
        <f>IF('ASIGNACIÓN ASIGNATURAS'!S26="","",'ASIGNACIÓN ASIGNATURAS'!S26)</f>
        <v/>
      </c>
      <c r="L98" s="244" t="str">
        <f>IF('ASIGNACIÓN ASIGNATURAS'!Q26="","",'ASIGNACIÓN ASIGNATURAS'!Q26)</f>
        <v/>
      </c>
      <c r="M98" s="244" t="str">
        <f>IF('ASIGNACIÓN ASIGNATURAS'!R26="","",'ASIGNACIÓN ASIGNATURAS'!R26)</f>
        <v/>
      </c>
      <c r="N98" s="244" t="str">
        <f>IF('ASIGNACIÓN ASIGNATURAS'!W26="","",'ASIGNACIÓN ASIGNATURAS'!W26)</f>
        <v/>
      </c>
      <c r="O98" s="244" t="str">
        <f>IF('ASIGNACIÓN ASIGNATURAS'!X26="","",'ASIGNACIÓN ASIGNATURAS'!X26)</f>
        <v/>
      </c>
      <c r="P98" s="244" t="str">
        <f>IF('ASIGNACIÓN ASIGNATURAS'!Y26="","",'ASIGNACIÓN ASIGNATURAS'!Y26)</f>
        <v/>
      </c>
      <c r="Q98" s="244" t="str">
        <f>IF('ASIGNACIÓN ASIGNATURAS'!Z26="","",'ASIGNACIÓN ASIGNATURAS'!Z26)</f>
        <v/>
      </c>
      <c r="R98" s="244" t="str">
        <f>IF('ASIGNACIÓN ASIGNATURAS'!AA26="","",'ASIGNACIÓN ASIGNATURAS'!AA26)</f>
        <v/>
      </c>
      <c r="S98" s="244" t="str">
        <f>IF('ASIGNACIÓN ASIGNATURAS'!AB26="","",'ASIGNACIÓN ASIGNATURAS'!AB26)</f>
        <v/>
      </c>
    </row>
    <row r="99" spans="1:19" x14ac:dyDescent="0.3">
      <c r="A99" s="290" t="str">
        <f>IF('ASIGNACIÓN ASIGNATURAS'!J30="","",'ASIGNACIÓN ASIGNATURAS'!J30)</f>
        <v/>
      </c>
      <c r="B99" s="290" t="str">
        <f>IF('ASIGNACIÓN ASIGNATURAS'!K30="","",'ASIGNACIÓN ASIGNATURAS'!K30)</f>
        <v/>
      </c>
      <c r="C99" s="290" t="str">
        <f>IF('ASIGNACIÓN ASIGNATURAS'!L30="","",'ASIGNACIÓN ASIGNATURAS'!L30)</f>
        <v/>
      </c>
      <c r="D99" s="290" t="str">
        <f>IF('ASIGNACIÓN ASIGNATURAS'!M30="","",'ASIGNACIÓN ASIGNATURAS'!M30)</f>
        <v/>
      </c>
      <c r="E99" s="290" t="str">
        <f>IF('ASIGNACIÓN ASIGNATURAS'!N30="","",'ASIGNACIÓN ASIGNATURAS'!N30)</f>
        <v/>
      </c>
      <c r="F99" s="290" t="str">
        <f>IF('ASIGNACIÓN ASIGNATURAS'!O30="","",'ASIGNACIÓN ASIGNATURAS'!O30)</f>
        <v/>
      </c>
      <c r="G99" s="290" t="str">
        <f>IF('ASIGNACIÓN ASIGNATURAS'!P30="","",'ASIGNACIÓN ASIGNATURAS'!P30)</f>
        <v/>
      </c>
      <c r="H99" s="290" t="str">
        <f>IF('ASIGNACIÓN ASIGNATURAS'!T30="","",'ASIGNACIÓN ASIGNATURAS'!T30)</f>
        <v/>
      </c>
      <c r="I99" s="290" t="str">
        <f>IF('ASIGNACIÓN ASIGNATURAS'!U30="","",'ASIGNACIÓN ASIGNATURAS'!U30)</f>
        <v/>
      </c>
      <c r="J99" s="290" t="str">
        <f>IF('ASIGNACIÓN ASIGNATURAS'!V30="","",'ASIGNACIÓN ASIGNATURAS'!V30)</f>
        <v/>
      </c>
      <c r="K99" s="301" t="str">
        <f>IF('ASIGNACIÓN ASIGNATURAS'!S30="","",'ASIGNACIÓN ASIGNATURAS'!S30)</f>
        <v/>
      </c>
      <c r="L99" s="244" t="str">
        <f>IF('ASIGNACIÓN ASIGNATURAS'!Q30="","",'ASIGNACIÓN ASIGNATURAS'!Q30)</f>
        <v/>
      </c>
      <c r="M99" s="244" t="str">
        <f>IF('ASIGNACIÓN ASIGNATURAS'!R30="","",'ASIGNACIÓN ASIGNATURAS'!R30)</f>
        <v/>
      </c>
      <c r="N99" s="244" t="str">
        <f>IF('ASIGNACIÓN ASIGNATURAS'!W30="","",'ASIGNACIÓN ASIGNATURAS'!W30)</f>
        <v/>
      </c>
      <c r="O99" s="244" t="str">
        <f>IF('ASIGNACIÓN ASIGNATURAS'!X30="","",'ASIGNACIÓN ASIGNATURAS'!X30)</f>
        <v/>
      </c>
      <c r="P99" s="244" t="str">
        <f>IF('ASIGNACIÓN ASIGNATURAS'!Y30="","",'ASIGNACIÓN ASIGNATURAS'!Y30)</f>
        <v/>
      </c>
      <c r="Q99" s="244" t="str">
        <f>IF('ASIGNACIÓN ASIGNATURAS'!Z30="","",'ASIGNACIÓN ASIGNATURAS'!Z30)</f>
        <v/>
      </c>
      <c r="R99" s="244" t="str">
        <f>IF('ASIGNACIÓN ASIGNATURAS'!AA30="","",'ASIGNACIÓN ASIGNATURAS'!AA30)</f>
        <v/>
      </c>
      <c r="S99" s="244" t="str">
        <f>IF('ASIGNACIÓN ASIGNATURAS'!AB30="","",'ASIGNACIÓN ASIGNATURAS'!AB30)</f>
        <v/>
      </c>
    </row>
    <row r="100" spans="1:19" x14ac:dyDescent="0.3">
      <c r="A100" s="290" t="str">
        <f>IF('ASIGNACIÓN ASIGNATURAS'!J34="","",'ASIGNACIÓN ASIGNATURAS'!J34)</f>
        <v/>
      </c>
      <c r="B100" s="290" t="str">
        <f>IF('ASIGNACIÓN ASIGNATURAS'!K34="","",'ASIGNACIÓN ASIGNATURAS'!K34)</f>
        <v/>
      </c>
      <c r="C100" s="290" t="str">
        <f>IF('ASIGNACIÓN ASIGNATURAS'!L34="","",'ASIGNACIÓN ASIGNATURAS'!L34)</f>
        <v/>
      </c>
      <c r="D100" s="290" t="str">
        <f>IF('ASIGNACIÓN ASIGNATURAS'!M34="","",'ASIGNACIÓN ASIGNATURAS'!M34)</f>
        <v/>
      </c>
      <c r="E100" s="290" t="str">
        <f>IF('ASIGNACIÓN ASIGNATURAS'!N34="","",'ASIGNACIÓN ASIGNATURAS'!N34)</f>
        <v/>
      </c>
      <c r="F100" s="290" t="str">
        <f>IF('ASIGNACIÓN ASIGNATURAS'!O34="","",'ASIGNACIÓN ASIGNATURAS'!O34)</f>
        <v/>
      </c>
      <c r="G100" s="290" t="str">
        <f>IF('ASIGNACIÓN ASIGNATURAS'!P34="","",'ASIGNACIÓN ASIGNATURAS'!P34)</f>
        <v/>
      </c>
      <c r="H100" s="290" t="str">
        <f>IF('ASIGNACIÓN ASIGNATURAS'!T34="","",'ASIGNACIÓN ASIGNATURAS'!T34)</f>
        <v/>
      </c>
      <c r="I100" s="290" t="str">
        <f>IF('ASIGNACIÓN ASIGNATURAS'!U34="","",'ASIGNACIÓN ASIGNATURAS'!U34)</f>
        <v/>
      </c>
      <c r="J100" s="290" t="str">
        <f>IF('ASIGNACIÓN ASIGNATURAS'!V34="","",'ASIGNACIÓN ASIGNATURAS'!V34)</f>
        <v/>
      </c>
      <c r="K100" s="301" t="str">
        <f>IF('ASIGNACIÓN ASIGNATURAS'!S34="","",'ASIGNACIÓN ASIGNATURAS'!S34)</f>
        <v/>
      </c>
      <c r="L100" s="244" t="str">
        <f>IF('ASIGNACIÓN ASIGNATURAS'!Q34="","",'ASIGNACIÓN ASIGNATURAS'!Q34)</f>
        <v/>
      </c>
      <c r="M100" s="244" t="str">
        <f>IF('ASIGNACIÓN ASIGNATURAS'!R34="","",'ASIGNACIÓN ASIGNATURAS'!R34)</f>
        <v/>
      </c>
      <c r="N100" s="244" t="str">
        <f>IF('ASIGNACIÓN ASIGNATURAS'!W34="","",'ASIGNACIÓN ASIGNATURAS'!W34)</f>
        <v/>
      </c>
      <c r="O100" s="244" t="str">
        <f>IF('ASIGNACIÓN ASIGNATURAS'!X34="","",'ASIGNACIÓN ASIGNATURAS'!X34)</f>
        <v/>
      </c>
      <c r="P100" s="244" t="str">
        <f>IF('ASIGNACIÓN ASIGNATURAS'!Y34="","",'ASIGNACIÓN ASIGNATURAS'!Y34)</f>
        <v/>
      </c>
      <c r="Q100" s="244" t="str">
        <f>IF('ASIGNACIÓN ASIGNATURAS'!Z34="","",'ASIGNACIÓN ASIGNATURAS'!Z34)</f>
        <v/>
      </c>
      <c r="R100" s="244" t="str">
        <f>IF('ASIGNACIÓN ASIGNATURAS'!AA34="","",'ASIGNACIÓN ASIGNATURAS'!AA34)</f>
        <v/>
      </c>
      <c r="S100" s="244" t="str">
        <f>IF('ASIGNACIÓN ASIGNATURAS'!AB34="","",'ASIGNACIÓN ASIGNATURAS'!AB34)</f>
        <v/>
      </c>
    </row>
    <row r="101" spans="1:19" x14ac:dyDescent="0.3">
      <c r="A101" s="290" t="str">
        <f>IF('ASIGNACIÓN ASIGNATURAS'!J2="","",'ASIGNACIÓN ASIGNATURAS'!J2)</f>
        <v/>
      </c>
      <c r="B101" s="290" t="str">
        <f>IF('ASIGNACIÓN ASIGNATURAS'!K2="","",'ASIGNACIÓN ASIGNATURAS'!K2)</f>
        <v/>
      </c>
      <c r="C101" s="290" t="str">
        <f>IF('ASIGNACIÓN ASIGNATURAS'!L2="","",'ASIGNACIÓN ASIGNATURAS'!L2)</f>
        <v/>
      </c>
      <c r="D101" s="290" t="str">
        <f>IF('ASIGNACIÓN ASIGNATURAS'!M2="","",'ASIGNACIÓN ASIGNATURAS'!M2)</f>
        <v/>
      </c>
      <c r="E101" s="290" t="str">
        <f>IF('ASIGNACIÓN ASIGNATURAS'!N2="","",'ASIGNACIÓN ASIGNATURAS'!N2)</f>
        <v/>
      </c>
      <c r="F101" s="290" t="str">
        <f>IF('ASIGNACIÓN ASIGNATURAS'!O2="","",'ASIGNACIÓN ASIGNATURAS'!O2)</f>
        <v/>
      </c>
      <c r="G101" s="290" t="str">
        <f>IF('ASIGNACIÓN ASIGNATURAS'!P2="","",'ASIGNACIÓN ASIGNATURAS'!P2)</f>
        <v/>
      </c>
      <c r="H101" s="290" t="str">
        <f>IF('ASIGNACIÓN ASIGNATURAS'!T2="","",'ASIGNACIÓN ASIGNATURAS'!T2)</f>
        <v/>
      </c>
      <c r="I101" s="290" t="str">
        <f>IF('ASIGNACIÓN ASIGNATURAS'!U2="","",'ASIGNACIÓN ASIGNATURAS'!U2)</f>
        <v/>
      </c>
      <c r="J101" s="290" t="str">
        <f>IF('ASIGNACIÓN ASIGNATURAS'!V2="","",'ASIGNACIÓN ASIGNATURAS'!V2)</f>
        <v/>
      </c>
      <c r="K101" s="301" t="str">
        <f>IF('ASIGNACIÓN ASIGNATURAS'!S2="","",'ASIGNACIÓN ASIGNATURAS'!S2)</f>
        <v/>
      </c>
      <c r="L101" s="244" t="str">
        <f>IF('ASIGNACIÓN ASIGNATURAS'!Q2="","",'ASIGNACIÓN ASIGNATURAS'!Q2)</f>
        <v/>
      </c>
      <c r="M101" s="244" t="str">
        <f>IF('ASIGNACIÓN ASIGNATURAS'!R2="","",'ASIGNACIÓN ASIGNATURAS'!R2)</f>
        <v/>
      </c>
      <c r="N101" s="244" t="str">
        <f>IF('ASIGNACIÓN ASIGNATURAS'!W2="","",'ASIGNACIÓN ASIGNATURAS'!W2)</f>
        <v/>
      </c>
      <c r="O101" s="244" t="str">
        <f>IF('ASIGNACIÓN ASIGNATURAS'!X2="","",'ASIGNACIÓN ASIGNATURAS'!X2)</f>
        <v/>
      </c>
      <c r="P101" s="244" t="str">
        <f>IF('ASIGNACIÓN ASIGNATURAS'!Y2="","",'ASIGNACIÓN ASIGNATURAS'!Y2)</f>
        <v/>
      </c>
      <c r="Q101" s="244" t="str">
        <f>IF('ASIGNACIÓN ASIGNATURAS'!Z2="","",'ASIGNACIÓN ASIGNATURAS'!Z2)</f>
        <v/>
      </c>
      <c r="R101" s="244" t="str">
        <f>IF('ASIGNACIÓN ASIGNATURAS'!AA2="","",'ASIGNACIÓN ASIGNATURAS'!AA2)</f>
        <v/>
      </c>
      <c r="S101" s="244" t="str">
        <f>IF('ASIGNACIÓN ASIGNATURAS'!AB2="","",'ASIGNACIÓN ASIGNATURAS'!AB2)</f>
        <v/>
      </c>
    </row>
    <row r="102" spans="1:19" x14ac:dyDescent="0.3">
      <c r="A102" s="290" t="str">
        <f>IF('ASIGNACIÓN ASIGNATURAS'!J5="","",'ASIGNACIÓN ASIGNATURAS'!J5)</f>
        <v/>
      </c>
      <c r="B102" s="290" t="str">
        <f>IF('ASIGNACIÓN ASIGNATURAS'!K5="","",'ASIGNACIÓN ASIGNATURAS'!K5)</f>
        <v/>
      </c>
      <c r="C102" s="290" t="str">
        <f>IF('ASIGNACIÓN ASIGNATURAS'!L5="","",'ASIGNACIÓN ASIGNATURAS'!L5)</f>
        <v/>
      </c>
      <c r="D102" s="290" t="str">
        <f>IF('ASIGNACIÓN ASIGNATURAS'!M5="","",'ASIGNACIÓN ASIGNATURAS'!M5)</f>
        <v/>
      </c>
      <c r="E102" s="290" t="str">
        <f>IF('ASIGNACIÓN ASIGNATURAS'!N5="","",'ASIGNACIÓN ASIGNATURAS'!N5)</f>
        <v/>
      </c>
      <c r="F102" s="290" t="str">
        <f>IF('ASIGNACIÓN ASIGNATURAS'!O5="","",'ASIGNACIÓN ASIGNATURAS'!O5)</f>
        <v/>
      </c>
      <c r="G102" s="290" t="str">
        <f>IF('ASIGNACIÓN ASIGNATURAS'!P5="","",'ASIGNACIÓN ASIGNATURAS'!P5)</f>
        <v/>
      </c>
      <c r="H102" s="290" t="str">
        <f>IF('ASIGNACIÓN ASIGNATURAS'!T5="","",'ASIGNACIÓN ASIGNATURAS'!T5)</f>
        <v/>
      </c>
      <c r="I102" s="290" t="str">
        <f>IF('ASIGNACIÓN ASIGNATURAS'!U5="","",'ASIGNACIÓN ASIGNATURAS'!U5)</f>
        <v/>
      </c>
      <c r="J102" s="290" t="str">
        <f>IF('ASIGNACIÓN ASIGNATURAS'!V5="","",'ASIGNACIÓN ASIGNATURAS'!V5)</f>
        <v/>
      </c>
      <c r="K102" s="301" t="str">
        <f>IF('ASIGNACIÓN ASIGNATURAS'!S5="","",'ASIGNACIÓN ASIGNATURAS'!S5)</f>
        <v/>
      </c>
      <c r="L102" s="244" t="str">
        <f>IF('ASIGNACIÓN ASIGNATURAS'!Q5="","",'ASIGNACIÓN ASIGNATURAS'!Q5)</f>
        <v/>
      </c>
      <c r="M102" s="244" t="str">
        <f>IF('ASIGNACIÓN ASIGNATURAS'!R5="","",'ASIGNACIÓN ASIGNATURAS'!R5)</f>
        <v/>
      </c>
      <c r="N102" s="244" t="str">
        <f>IF('ASIGNACIÓN ASIGNATURAS'!W5="","",'ASIGNACIÓN ASIGNATURAS'!W5)</f>
        <v/>
      </c>
      <c r="O102" s="244" t="str">
        <f>IF('ASIGNACIÓN ASIGNATURAS'!X5="","",'ASIGNACIÓN ASIGNATURAS'!X5)</f>
        <v/>
      </c>
      <c r="P102" s="244" t="str">
        <f>IF('ASIGNACIÓN ASIGNATURAS'!Y5="","",'ASIGNACIÓN ASIGNATURAS'!Y5)</f>
        <v/>
      </c>
      <c r="Q102" s="244" t="str">
        <f>IF('ASIGNACIÓN ASIGNATURAS'!Z5="","",'ASIGNACIÓN ASIGNATURAS'!Z5)</f>
        <v/>
      </c>
      <c r="R102" s="244" t="str">
        <f>IF('ASIGNACIÓN ASIGNATURAS'!AA5="","",'ASIGNACIÓN ASIGNATURAS'!AA5)</f>
        <v/>
      </c>
      <c r="S102" s="244" t="str">
        <f>IF('ASIGNACIÓN ASIGNATURAS'!AB5="","",'ASIGNACIÓN ASIGNATURAS'!AB5)</f>
        <v/>
      </c>
    </row>
    <row r="103" spans="1:19" x14ac:dyDescent="0.3">
      <c r="A103" s="290" t="str">
        <f>IF('ASIGNACIÓN ASIGNATURAS'!J3="","",'ASIGNACIÓN ASIGNATURAS'!J3)</f>
        <v/>
      </c>
      <c r="B103" s="290" t="str">
        <f>IF('ASIGNACIÓN ASIGNATURAS'!K3="","",'ASIGNACIÓN ASIGNATURAS'!K3)</f>
        <v/>
      </c>
      <c r="C103" s="290" t="str">
        <f>IF('ASIGNACIÓN ASIGNATURAS'!L3="","",'ASIGNACIÓN ASIGNATURAS'!L3)</f>
        <v/>
      </c>
      <c r="D103" s="290" t="str">
        <f>IF('ASIGNACIÓN ASIGNATURAS'!M3="","",'ASIGNACIÓN ASIGNATURAS'!M3)</f>
        <v/>
      </c>
      <c r="E103" s="290" t="str">
        <f>IF('ASIGNACIÓN ASIGNATURAS'!N3="","",'ASIGNACIÓN ASIGNATURAS'!N3)</f>
        <v/>
      </c>
      <c r="F103" s="290" t="str">
        <f>IF('ASIGNACIÓN ASIGNATURAS'!O3="","",'ASIGNACIÓN ASIGNATURAS'!O3)</f>
        <v/>
      </c>
      <c r="G103" s="290" t="str">
        <f>IF('ASIGNACIÓN ASIGNATURAS'!P3="","",'ASIGNACIÓN ASIGNATURAS'!P3)</f>
        <v/>
      </c>
      <c r="H103" s="290" t="str">
        <f>IF('ASIGNACIÓN ASIGNATURAS'!T3="","",'ASIGNACIÓN ASIGNATURAS'!T3)</f>
        <v/>
      </c>
      <c r="I103" s="290" t="str">
        <f>IF('ASIGNACIÓN ASIGNATURAS'!U3="","",'ASIGNACIÓN ASIGNATURAS'!U3)</f>
        <v/>
      </c>
      <c r="J103" s="290" t="str">
        <f>IF('ASIGNACIÓN ASIGNATURAS'!V3="","",'ASIGNACIÓN ASIGNATURAS'!V3)</f>
        <v/>
      </c>
      <c r="K103" s="301" t="str">
        <f>IF('ASIGNACIÓN ASIGNATURAS'!S3="","",'ASIGNACIÓN ASIGNATURAS'!S3)</f>
        <v/>
      </c>
      <c r="L103" s="244" t="str">
        <f>IF('ASIGNACIÓN ASIGNATURAS'!Q3="","",'ASIGNACIÓN ASIGNATURAS'!Q3)</f>
        <v/>
      </c>
      <c r="M103" s="244" t="str">
        <f>IF('ASIGNACIÓN ASIGNATURAS'!R3="","",'ASIGNACIÓN ASIGNATURAS'!R3)</f>
        <v/>
      </c>
      <c r="N103" s="244" t="str">
        <f>IF('ASIGNACIÓN ASIGNATURAS'!W3="","",'ASIGNACIÓN ASIGNATURAS'!W3)</f>
        <v/>
      </c>
      <c r="O103" s="244" t="str">
        <f>IF('ASIGNACIÓN ASIGNATURAS'!X3="","",'ASIGNACIÓN ASIGNATURAS'!X3)</f>
        <v/>
      </c>
      <c r="P103" s="244" t="str">
        <f>IF('ASIGNACIÓN ASIGNATURAS'!Y3="","",'ASIGNACIÓN ASIGNATURAS'!Y3)</f>
        <v/>
      </c>
      <c r="Q103" s="244" t="str">
        <f>IF('ASIGNACIÓN ASIGNATURAS'!Z3="","",'ASIGNACIÓN ASIGNATURAS'!Z3)</f>
        <v/>
      </c>
      <c r="R103" s="244" t="str">
        <f>IF('ASIGNACIÓN ASIGNATURAS'!AA3="","",'ASIGNACIÓN ASIGNATURAS'!AA3)</f>
        <v/>
      </c>
      <c r="S103" s="244" t="str">
        <f>IF('ASIGNACIÓN ASIGNATURAS'!AB3="","",'ASIGNACIÓN ASIGNATURAS'!AB3)</f>
        <v/>
      </c>
    </row>
    <row r="104" spans="1:19" x14ac:dyDescent="0.3">
      <c r="A104" s="290" t="str">
        <f>IF('ASIGNACIÓN ASIGNATURAS'!J7="","",'ASIGNACIÓN ASIGNATURAS'!J7)</f>
        <v/>
      </c>
      <c r="B104" s="290" t="str">
        <f>IF('ASIGNACIÓN ASIGNATURAS'!K7="","",'ASIGNACIÓN ASIGNATURAS'!K7)</f>
        <v/>
      </c>
      <c r="C104" s="290" t="str">
        <f>IF('ASIGNACIÓN ASIGNATURAS'!L7="","",'ASIGNACIÓN ASIGNATURAS'!L7)</f>
        <v/>
      </c>
      <c r="D104" s="290" t="str">
        <f>IF('ASIGNACIÓN ASIGNATURAS'!M7="","",'ASIGNACIÓN ASIGNATURAS'!M7)</f>
        <v/>
      </c>
      <c r="E104" s="290" t="str">
        <f>IF('ASIGNACIÓN ASIGNATURAS'!N7="","",'ASIGNACIÓN ASIGNATURAS'!N7)</f>
        <v/>
      </c>
      <c r="F104" s="290" t="str">
        <f>IF('ASIGNACIÓN ASIGNATURAS'!O7="","",'ASIGNACIÓN ASIGNATURAS'!O7)</f>
        <v/>
      </c>
      <c r="G104" s="290" t="str">
        <f>IF('ASIGNACIÓN ASIGNATURAS'!P7="","",'ASIGNACIÓN ASIGNATURAS'!P7)</f>
        <v/>
      </c>
      <c r="H104" s="290" t="str">
        <f>IF('ASIGNACIÓN ASIGNATURAS'!T7="","",'ASIGNACIÓN ASIGNATURAS'!T7)</f>
        <v/>
      </c>
      <c r="I104" s="290" t="str">
        <f>IF('ASIGNACIÓN ASIGNATURAS'!U7="","",'ASIGNACIÓN ASIGNATURAS'!U7)</f>
        <v/>
      </c>
      <c r="J104" s="290" t="str">
        <f>IF('ASIGNACIÓN ASIGNATURAS'!V7="","",'ASIGNACIÓN ASIGNATURAS'!V7)</f>
        <v/>
      </c>
      <c r="K104" s="301" t="str">
        <f>IF('ASIGNACIÓN ASIGNATURAS'!S7="","",'ASIGNACIÓN ASIGNATURAS'!S7)</f>
        <v/>
      </c>
      <c r="L104" s="244" t="str">
        <f>IF('ASIGNACIÓN ASIGNATURAS'!Q7="","",'ASIGNACIÓN ASIGNATURAS'!Q7)</f>
        <v/>
      </c>
      <c r="M104" s="244" t="str">
        <f>IF('ASIGNACIÓN ASIGNATURAS'!R7="","",'ASIGNACIÓN ASIGNATURAS'!R7)</f>
        <v/>
      </c>
      <c r="N104" s="244" t="str">
        <f>IF('ASIGNACIÓN ASIGNATURAS'!W7="","",'ASIGNACIÓN ASIGNATURAS'!W7)</f>
        <v/>
      </c>
      <c r="O104" s="244" t="str">
        <f>IF('ASIGNACIÓN ASIGNATURAS'!X7="","",'ASIGNACIÓN ASIGNATURAS'!X7)</f>
        <v/>
      </c>
      <c r="P104" s="244" t="str">
        <f>IF('ASIGNACIÓN ASIGNATURAS'!Y7="","",'ASIGNACIÓN ASIGNATURAS'!Y7)</f>
        <v/>
      </c>
      <c r="Q104" s="244" t="str">
        <f>IF('ASIGNACIÓN ASIGNATURAS'!Z7="","",'ASIGNACIÓN ASIGNATURAS'!Z7)</f>
        <v/>
      </c>
      <c r="R104" s="244" t="str">
        <f>IF('ASIGNACIÓN ASIGNATURAS'!AA7="","",'ASIGNACIÓN ASIGNATURAS'!AA7)</f>
        <v/>
      </c>
      <c r="S104" s="244" t="str">
        <f>IF('ASIGNACIÓN ASIGNATURAS'!AB7="","",'ASIGNACIÓN ASIGNATURAS'!AB7)</f>
        <v/>
      </c>
    </row>
    <row r="105" spans="1:19" x14ac:dyDescent="0.3">
      <c r="A105" s="290" t="str">
        <f>IF('ASIGNACIÓN ASIGNATURAS'!J4="","",'ASIGNACIÓN ASIGNATURAS'!J4)</f>
        <v/>
      </c>
      <c r="B105" s="290" t="str">
        <f>IF('ASIGNACIÓN ASIGNATURAS'!K4="","",'ASIGNACIÓN ASIGNATURAS'!K4)</f>
        <v/>
      </c>
      <c r="C105" s="290" t="str">
        <f>IF('ASIGNACIÓN ASIGNATURAS'!L4="","",'ASIGNACIÓN ASIGNATURAS'!L4)</f>
        <v/>
      </c>
      <c r="D105" s="290" t="str">
        <f>IF('ASIGNACIÓN ASIGNATURAS'!M4="","",'ASIGNACIÓN ASIGNATURAS'!M4)</f>
        <v/>
      </c>
      <c r="E105" s="290" t="str">
        <f>IF('ASIGNACIÓN ASIGNATURAS'!N4="","",'ASIGNACIÓN ASIGNATURAS'!N4)</f>
        <v/>
      </c>
      <c r="F105" s="290" t="str">
        <f>IF('ASIGNACIÓN ASIGNATURAS'!O4="","",'ASIGNACIÓN ASIGNATURAS'!O4)</f>
        <v/>
      </c>
      <c r="G105" s="290" t="str">
        <f>IF('ASIGNACIÓN ASIGNATURAS'!P4="","",'ASIGNACIÓN ASIGNATURAS'!P4)</f>
        <v/>
      </c>
      <c r="H105" s="290" t="str">
        <f>IF('ASIGNACIÓN ASIGNATURAS'!T4="","",'ASIGNACIÓN ASIGNATURAS'!T4)</f>
        <v/>
      </c>
      <c r="I105" s="290" t="str">
        <f>IF('ASIGNACIÓN ASIGNATURAS'!U4="","",'ASIGNACIÓN ASIGNATURAS'!U4)</f>
        <v/>
      </c>
      <c r="J105" s="290" t="str">
        <f>IF('ASIGNACIÓN ASIGNATURAS'!V4="","",'ASIGNACIÓN ASIGNATURAS'!V4)</f>
        <v/>
      </c>
      <c r="K105" s="301" t="str">
        <f>IF('ASIGNACIÓN ASIGNATURAS'!S4="","",'ASIGNACIÓN ASIGNATURAS'!S4)</f>
        <v/>
      </c>
      <c r="L105" s="244" t="str">
        <f>IF('ASIGNACIÓN ASIGNATURAS'!Q4="","",'ASIGNACIÓN ASIGNATURAS'!Q4)</f>
        <v/>
      </c>
      <c r="M105" s="244" t="str">
        <f>IF('ASIGNACIÓN ASIGNATURAS'!R4="","",'ASIGNACIÓN ASIGNATURAS'!R4)</f>
        <v/>
      </c>
      <c r="N105" s="244" t="str">
        <f>IF('ASIGNACIÓN ASIGNATURAS'!W4="","",'ASIGNACIÓN ASIGNATURAS'!W4)</f>
        <v/>
      </c>
      <c r="O105" s="244" t="str">
        <f>IF('ASIGNACIÓN ASIGNATURAS'!X4="","",'ASIGNACIÓN ASIGNATURAS'!X4)</f>
        <v/>
      </c>
      <c r="P105" s="244" t="str">
        <f>IF('ASIGNACIÓN ASIGNATURAS'!Y4="","",'ASIGNACIÓN ASIGNATURAS'!Y4)</f>
        <v/>
      </c>
      <c r="Q105" s="244" t="str">
        <f>IF('ASIGNACIÓN ASIGNATURAS'!Z4="","",'ASIGNACIÓN ASIGNATURAS'!Z4)</f>
        <v/>
      </c>
      <c r="R105" s="244" t="str">
        <f>IF('ASIGNACIÓN ASIGNATURAS'!AA4="","",'ASIGNACIÓN ASIGNATURAS'!AA4)</f>
        <v/>
      </c>
      <c r="S105" s="244" t="str">
        <f>IF('ASIGNACIÓN ASIGNATURAS'!AB4="","",'ASIGNACIÓN ASIGNATURAS'!AB4)</f>
        <v/>
      </c>
    </row>
    <row r="106" spans="1:19" x14ac:dyDescent="0.3">
      <c r="A106" s="290" t="str">
        <f>IF('ASIGNACIÓN ASIGNATURAS'!J8="","",'ASIGNACIÓN ASIGNATURAS'!J8)</f>
        <v/>
      </c>
      <c r="B106" s="290" t="str">
        <f>IF('ASIGNACIÓN ASIGNATURAS'!K8="","",'ASIGNACIÓN ASIGNATURAS'!K8)</f>
        <v/>
      </c>
      <c r="C106" s="290" t="str">
        <f>IF('ASIGNACIÓN ASIGNATURAS'!L8="","",'ASIGNACIÓN ASIGNATURAS'!L8)</f>
        <v/>
      </c>
      <c r="D106" s="290" t="str">
        <f>IF('ASIGNACIÓN ASIGNATURAS'!M8="","",'ASIGNACIÓN ASIGNATURAS'!M8)</f>
        <v/>
      </c>
      <c r="E106" s="290" t="str">
        <f>IF('ASIGNACIÓN ASIGNATURAS'!N8="","",'ASIGNACIÓN ASIGNATURAS'!N8)</f>
        <v/>
      </c>
      <c r="F106" s="290" t="str">
        <f>IF('ASIGNACIÓN ASIGNATURAS'!O8="","",'ASIGNACIÓN ASIGNATURAS'!O8)</f>
        <v/>
      </c>
      <c r="G106" s="290" t="str">
        <f>IF('ASIGNACIÓN ASIGNATURAS'!P8="","",'ASIGNACIÓN ASIGNATURAS'!P8)</f>
        <v/>
      </c>
      <c r="H106" s="290" t="str">
        <f>IF('ASIGNACIÓN ASIGNATURAS'!T8="","",'ASIGNACIÓN ASIGNATURAS'!T8)</f>
        <v/>
      </c>
      <c r="I106" s="290" t="str">
        <f>IF('ASIGNACIÓN ASIGNATURAS'!U8="","",'ASIGNACIÓN ASIGNATURAS'!U8)</f>
        <v/>
      </c>
      <c r="J106" s="290" t="str">
        <f>IF('ASIGNACIÓN ASIGNATURAS'!V8="","",'ASIGNACIÓN ASIGNATURAS'!V8)</f>
        <v/>
      </c>
      <c r="K106" s="301" t="str">
        <f>IF('ASIGNACIÓN ASIGNATURAS'!S8="","",'ASIGNACIÓN ASIGNATURAS'!S8)</f>
        <v/>
      </c>
      <c r="L106" s="244" t="str">
        <f>IF('ASIGNACIÓN ASIGNATURAS'!Q8="","",'ASIGNACIÓN ASIGNATURAS'!Q8)</f>
        <v/>
      </c>
      <c r="M106" s="244" t="str">
        <f>IF('ASIGNACIÓN ASIGNATURAS'!R8="","",'ASIGNACIÓN ASIGNATURAS'!R8)</f>
        <v/>
      </c>
      <c r="N106" s="244" t="str">
        <f>IF('ASIGNACIÓN ASIGNATURAS'!W8="","",'ASIGNACIÓN ASIGNATURAS'!W8)</f>
        <v/>
      </c>
      <c r="O106" s="244" t="str">
        <f>IF('ASIGNACIÓN ASIGNATURAS'!X8="","",'ASIGNACIÓN ASIGNATURAS'!X8)</f>
        <v/>
      </c>
      <c r="P106" s="244" t="str">
        <f>IF('ASIGNACIÓN ASIGNATURAS'!Y8="","",'ASIGNACIÓN ASIGNATURAS'!Y8)</f>
        <v/>
      </c>
      <c r="Q106" s="244" t="str">
        <f>IF('ASIGNACIÓN ASIGNATURAS'!Z8="","",'ASIGNACIÓN ASIGNATURAS'!Z8)</f>
        <v/>
      </c>
      <c r="R106" s="244" t="str">
        <f>IF('ASIGNACIÓN ASIGNATURAS'!AA8="","",'ASIGNACIÓN ASIGNATURAS'!AA8)</f>
        <v/>
      </c>
      <c r="S106" s="244" t="str">
        <f>IF('ASIGNACIÓN ASIGNATURAS'!AB8="","",'ASIGNACIÓN ASIGNATURAS'!AB8)</f>
        <v/>
      </c>
    </row>
    <row r="107" spans="1:19" x14ac:dyDescent="0.3">
      <c r="A107" s="290" t="str">
        <f>IF('ASIGNACIÓN ASIGNATURAS'!J6="","",'ASIGNACIÓN ASIGNATURAS'!J6)</f>
        <v/>
      </c>
      <c r="B107" s="290" t="str">
        <f>IF('ASIGNACIÓN ASIGNATURAS'!K6="","",'ASIGNACIÓN ASIGNATURAS'!K6)</f>
        <v/>
      </c>
      <c r="C107" s="290" t="str">
        <f>IF('ASIGNACIÓN ASIGNATURAS'!L6="","",'ASIGNACIÓN ASIGNATURAS'!L6)</f>
        <v/>
      </c>
      <c r="D107" s="290" t="str">
        <f>IF('ASIGNACIÓN ASIGNATURAS'!M6="","",'ASIGNACIÓN ASIGNATURAS'!M6)</f>
        <v/>
      </c>
      <c r="E107" s="290" t="str">
        <f>IF('ASIGNACIÓN ASIGNATURAS'!N6="","",'ASIGNACIÓN ASIGNATURAS'!N6)</f>
        <v/>
      </c>
      <c r="F107" s="290" t="str">
        <f>IF('ASIGNACIÓN ASIGNATURAS'!O6="","",'ASIGNACIÓN ASIGNATURAS'!O6)</f>
        <v/>
      </c>
      <c r="G107" s="290" t="str">
        <f>IF('ASIGNACIÓN ASIGNATURAS'!P6="","",'ASIGNACIÓN ASIGNATURAS'!P6)</f>
        <v/>
      </c>
      <c r="H107" s="290" t="str">
        <f>IF('ASIGNACIÓN ASIGNATURAS'!T6="","",'ASIGNACIÓN ASIGNATURAS'!T6)</f>
        <v/>
      </c>
      <c r="I107" s="290" t="str">
        <f>IF('ASIGNACIÓN ASIGNATURAS'!U6="","",'ASIGNACIÓN ASIGNATURAS'!U6)</f>
        <v/>
      </c>
      <c r="J107" s="290" t="str">
        <f>IF('ASIGNACIÓN ASIGNATURAS'!V6="","",'ASIGNACIÓN ASIGNATURAS'!V6)</f>
        <v/>
      </c>
      <c r="K107" s="301" t="str">
        <f>IF('ASIGNACIÓN ASIGNATURAS'!S6="","",'ASIGNACIÓN ASIGNATURAS'!S6)</f>
        <v/>
      </c>
      <c r="L107" s="244" t="str">
        <f>IF('ASIGNACIÓN ASIGNATURAS'!Q6="","",'ASIGNACIÓN ASIGNATURAS'!Q6)</f>
        <v/>
      </c>
      <c r="M107" s="244" t="str">
        <f>IF('ASIGNACIÓN ASIGNATURAS'!R6="","",'ASIGNACIÓN ASIGNATURAS'!R6)</f>
        <v/>
      </c>
      <c r="N107" s="244" t="str">
        <f>IF('ASIGNACIÓN ASIGNATURAS'!W6="","",'ASIGNACIÓN ASIGNATURAS'!W6)</f>
        <v/>
      </c>
      <c r="O107" s="244" t="str">
        <f>IF('ASIGNACIÓN ASIGNATURAS'!X6="","",'ASIGNACIÓN ASIGNATURAS'!X6)</f>
        <v/>
      </c>
      <c r="P107" s="244" t="str">
        <f>IF('ASIGNACIÓN ASIGNATURAS'!Y6="","",'ASIGNACIÓN ASIGNATURAS'!Y6)</f>
        <v/>
      </c>
      <c r="Q107" s="244" t="str">
        <f>IF('ASIGNACIÓN ASIGNATURAS'!Z6="","",'ASIGNACIÓN ASIGNATURAS'!Z6)</f>
        <v/>
      </c>
      <c r="R107" s="244" t="str">
        <f>IF('ASIGNACIÓN ASIGNATURAS'!AA6="","",'ASIGNACIÓN ASIGNATURAS'!AA6)</f>
        <v/>
      </c>
      <c r="S107" s="244" t="str">
        <f>IF('ASIGNACIÓN ASIGNATURAS'!AB6="","",'ASIGNACIÓN ASIGNATURAS'!AB6)</f>
        <v/>
      </c>
    </row>
    <row r="108" spans="1:19" x14ac:dyDescent="0.3">
      <c r="A108" s="290" t="str">
        <f>IF('ASIGNACIÓN ASIGNATURAS'!J14="","",'ASIGNACIÓN ASIGNATURAS'!J14)</f>
        <v/>
      </c>
      <c r="B108" s="290" t="str">
        <f>IF('ASIGNACIÓN ASIGNATURAS'!K14="","",'ASIGNACIÓN ASIGNATURAS'!K14)</f>
        <v/>
      </c>
      <c r="C108" s="290" t="str">
        <f>IF('ASIGNACIÓN ASIGNATURAS'!L14="","",'ASIGNACIÓN ASIGNATURAS'!L14)</f>
        <v/>
      </c>
      <c r="D108" s="290" t="str">
        <f>IF('ASIGNACIÓN ASIGNATURAS'!M14="","",'ASIGNACIÓN ASIGNATURAS'!M14)</f>
        <v/>
      </c>
      <c r="E108" s="290" t="str">
        <f>IF('ASIGNACIÓN ASIGNATURAS'!N14="","",'ASIGNACIÓN ASIGNATURAS'!N14)</f>
        <v/>
      </c>
      <c r="F108" s="290" t="str">
        <f>IF('ASIGNACIÓN ASIGNATURAS'!O14="","",'ASIGNACIÓN ASIGNATURAS'!O14)</f>
        <v/>
      </c>
      <c r="G108" s="290" t="str">
        <f>IF('ASIGNACIÓN ASIGNATURAS'!P14="","",'ASIGNACIÓN ASIGNATURAS'!P14)</f>
        <v/>
      </c>
      <c r="H108" s="290" t="str">
        <f>IF('ASIGNACIÓN ASIGNATURAS'!T14="","",'ASIGNACIÓN ASIGNATURAS'!T14)</f>
        <v/>
      </c>
      <c r="I108" s="290" t="str">
        <f>IF('ASIGNACIÓN ASIGNATURAS'!U14="","",'ASIGNACIÓN ASIGNATURAS'!U14)</f>
        <v/>
      </c>
      <c r="J108" s="290" t="str">
        <f>IF('ASIGNACIÓN ASIGNATURAS'!V14="","",'ASIGNACIÓN ASIGNATURAS'!V14)</f>
        <v/>
      </c>
      <c r="K108" s="301" t="str">
        <f>IF('ASIGNACIÓN ASIGNATURAS'!S14="","",'ASIGNACIÓN ASIGNATURAS'!S14)</f>
        <v/>
      </c>
      <c r="L108" s="244" t="str">
        <f>IF('ASIGNACIÓN ASIGNATURAS'!Q14="","",'ASIGNACIÓN ASIGNATURAS'!Q14)</f>
        <v/>
      </c>
      <c r="M108" s="244" t="str">
        <f>IF('ASIGNACIÓN ASIGNATURAS'!R14="","",'ASIGNACIÓN ASIGNATURAS'!R14)</f>
        <v/>
      </c>
      <c r="N108" s="244" t="str">
        <f>IF('ASIGNACIÓN ASIGNATURAS'!W14="","",'ASIGNACIÓN ASIGNATURAS'!W14)</f>
        <v/>
      </c>
      <c r="O108" s="244" t="str">
        <f>IF('ASIGNACIÓN ASIGNATURAS'!X14="","",'ASIGNACIÓN ASIGNATURAS'!X14)</f>
        <v/>
      </c>
      <c r="P108" s="244" t="str">
        <f>IF('ASIGNACIÓN ASIGNATURAS'!Y14="","",'ASIGNACIÓN ASIGNATURAS'!Y14)</f>
        <v/>
      </c>
      <c r="Q108" s="244" t="str">
        <f>IF('ASIGNACIÓN ASIGNATURAS'!Z14="","",'ASIGNACIÓN ASIGNATURAS'!Z14)</f>
        <v/>
      </c>
      <c r="R108" s="244" t="str">
        <f>IF('ASIGNACIÓN ASIGNATURAS'!AA14="","",'ASIGNACIÓN ASIGNATURAS'!AA14)</f>
        <v/>
      </c>
      <c r="S108" s="244" t="str">
        <f>IF('ASIGNACIÓN ASIGNATURAS'!AB14="","",'ASIGNACIÓN ASIGNATURAS'!AB14)</f>
        <v/>
      </c>
    </row>
    <row r="109" spans="1:19" x14ac:dyDescent="0.3">
      <c r="A109" s="290" t="str">
        <f>IF('ASIGNACIÓN ASIGNATURAS'!J18="","",'ASIGNACIÓN ASIGNATURAS'!J18)</f>
        <v/>
      </c>
      <c r="B109" s="290" t="str">
        <f>IF('ASIGNACIÓN ASIGNATURAS'!K18="","",'ASIGNACIÓN ASIGNATURAS'!K18)</f>
        <v/>
      </c>
      <c r="C109" s="290" t="str">
        <f>IF('ASIGNACIÓN ASIGNATURAS'!L18="","",'ASIGNACIÓN ASIGNATURAS'!L18)</f>
        <v/>
      </c>
      <c r="D109" s="290" t="str">
        <f>IF('ASIGNACIÓN ASIGNATURAS'!M18="","",'ASIGNACIÓN ASIGNATURAS'!M18)</f>
        <v/>
      </c>
      <c r="E109" s="290" t="str">
        <f>IF('ASIGNACIÓN ASIGNATURAS'!N18="","",'ASIGNACIÓN ASIGNATURAS'!N18)</f>
        <v/>
      </c>
      <c r="F109" s="290" t="str">
        <f>IF('ASIGNACIÓN ASIGNATURAS'!O18="","",'ASIGNACIÓN ASIGNATURAS'!O18)</f>
        <v/>
      </c>
      <c r="G109" s="290" t="str">
        <f>IF('ASIGNACIÓN ASIGNATURAS'!P18="","",'ASIGNACIÓN ASIGNATURAS'!P18)</f>
        <v/>
      </c>
      <c r="H109" s="290" t="str">
        <f>IF('ASIGNACIÓN ASIGNATURAS'!T18="","",'ASIGNACIÓN ASIGNATURAS'!T18)</f>
        <v/>
      </c>
      <c r="I109" s="290" t="str">
        <f>IF('ASIGNACIÓN ASIGNATURAS'!U18="","",'ASIGNACIÓN ASIGNATURAS'!U18)</f>
        <v/>
      </c>
      <c r="J109" s="290" t="str">
        <f>IF('ASIGNACIÓN ASIGNATURAS'!V18="","",'ASIGNACIÓN ASIGNATURAS'!V18)</f>
        <v/>
      </c>
      <c r="K109" s="301" t="str">
        <f>IF('ASIGNACIÓN ASIGNATURAS'!S18="","",'ASIGNACIÓN ASIGNATURAS'!S18)</f>
        <v/>
      </c>
      <c r="L109" s="244" t="str">
        <f>IF('ASIGNACIÓN ASIGNATURAS'!Q18="","",'ASIGNACIÓN ASIGNATURAS'!Q18)</f>
        <v/>
      </c>
      <c r="M109" s="244" t="str">
        <f>IF('ASIGNACIÓN ASIGNATURAS'!R18="","",'ASIGNACIÓN ASIGNATURAS'!R18)</f>
        <v/>
      </c>
      <c r="N109" s="244" t="str">
        <f>IF('ASIGNACIÓN ASIGNATURAS'!W18="","",'ASIGNACIÓN ASIGNATURAS'!W18)</f>
        <v/>
      </c>
      <c r="O109" s="244" t="str">
        <f>IF('ASIGNACIÓN ASIGNATURAS'!X18="","",'ASIGNACIÓN ASIGNATURAS'!X18)</f>
        <v/>
      </c>
      <c r="P109" s="244" t="str">
        <f>IF('ASIGNACIÓN ASIGNATURAS'!Y18="","",'ASIGNACIÓN ASIGNATURAS'!Y18)</f>
        <v/>
      </c>
      <c r="Q109" s="244" t="str">
        <f>IF('ASIGNACIÓN ASIGNATURAS'!Z18="","",'ASIGNACIÓN ASIGNATURAS'!Z18)</f>
        <v/>
      </c>
      <c r="R109" s="244" t="str">
        <f>IF('ASIGNACIÓN ASIGNATURAS'!AA18="","",'ASIGNACIÓN ASIGNATURAS'!AA18)</f>
        <v/>
      </c>
      <c r="S109" s="244" t="str">
        <f>IF('ASIGNACIÓN ASIGNATURAS'!AB18="","",'ASIGNACIÓN ASIGNATURAS'!AB18)</f>
        <v/>
      </c>
    </row>
    <row r="110" spans="1:19" x14ac:dyDescent="0.3">
      <c r="A110" s="290" t="str">
        <f>IF('ASIGNACIÓN ASIGNATURAS'!J11="","",'ASIGNACIÓN ASIGNATURAS'!J11)</f>
        <v/>
      </c>
      <c r="B110" s="290" t="str">
        <f>IF('ASIGNACIÓN ASIGNATURAS'!K11="","",'ASIGNACIÓN ASIGNATURAS'!K11)</f>
        <v/>
      </c>
      <c r="C110" s="290" t="str">
        <f>IF('ASIGNACIÓN ASIGNATURAS'!L11="","",'ASIGNACIÓN ASIGNATURAS'!L11)</f>
        <v/>
      </c>
      <c r="D110" s="290" t="str">
        <f>IF('ASIGNACIÓN ASIGNATURAS'!M11="","",'ASIGNACIÓN ASIGNATURAS'!M11)</f>
        <v/>
      </c>
      <c r="E110" s="290" t="str">
        <f>IF('ASIGNACIÓN ASIGNATURAS'!N11="","",'ASIGNACIÓN ASIGNATURAS'!N11)</f>
        <v/>
      </c>
      <c r="F110" s="290" t="str">
        <f>IF('ASIGNACIÓN ASIGNATURAS'!O11="","",'ASIGNACIÓN ASIGNATURAS'!O11)</f>
        <v/>
      </c>
      <c r="G110" s="290" t="str">
        <f>IF('ASIGNACIÓN ASIGNATURAS'!P11="","",'ASIGNACIÓN ASIGNATURAS'!P11)</f>
        <v/>
      </c>
      <c r="H110" s="290" t="str">
        <f>IF('ASIGNACIÓN ASIGNATURAS'!T11="","",'ASIGNACIÓN ASIGNATURAS'!T11)</f>
        <v/>
      </c>
      <c r="I110" s="290" t="str">
        <f>IF('ASIGNACIÓN ASIGNATURAS'!U11="","",'ASIGNACIÓN ASIGNATURAS'!U11)</f>
        <v/>
      </c>
      <c r="J110" s="290" t="str">
        <f>IF('ASIGNACIÓN ASIGNATURAS'!V11="","",'ASIGNACIÓN ASIGNATURAS'!V11)</f>
        <v/>
      </c>
      <c r="K110" s="301" t="str">
        <f>IF('ASIGNACIÓN ASIGNATURAS'!S11="","",'ASIGNACIÓN ASIGNATURAS'!S11)</f>
        <v/>
      </c>
      <c r="L110" s="244" t="str">
        <f>IF('ASIGNACIÓN ASIGNATURAS'!Q11="","",'ASIGNACIÓN ASIGNATURAS'!Q11)</f>
        <v/>
      </c>
      <c r="M110" s="244" t="str">
        <f>IF('ASIGNACIÓN ASIGNATURAS'!R11="","",'ASIGNACIÓN ASIGNATURAS'!R11)</f>
        <v/>
      </c>
      <c r="N110" s="244" t="str">
        <f>IF('ASIGNACIÓN ASIGNATURAS'!W11="","",'ASIGNACIÓN ASIGNATURAS'!W11)</f>
        <v/>
      </c>
      <c r="O110" s="244" t="str">
        <f>IF('ASIGNACIÓN ASIGNATURAS'!X11="","",'ASIGNACIÓN ASIGNATURAS'!X11)</f>
        <v/>
      </c>
      <c r="P110" s="244" t="str">
        <f>IF('ASIGNACIÓN ASIGNATURAS'!Y11="","",'ASIGNACIÓN ASIGNATURAS'!Y11)</f>
        <v/>
      </c>
      <c r="Q110" s="244" t="str">
        <f>IF('ASIGNACIÓN ASIGNATURAS'!Z11="","",'ASIGNACIÓN ASIGNATURAS'!Z11)</f>
        <v/>
      </c>
      <c r="R110" s="244" t="str">
        <f>IF('ASIGNACIÓN ASIGNATURAS'!AA11="","",'ASIGNACIÓN ASIGNATURAS'!AA11)</f>
        <v/>
      </c>
      <c r="S110" s="244" t="str">
        <f>IF('ASIGNACIÓN ASIGNATURAS'!AB11="","",'ASIGNACIÓN ASIGNATURAS'!AB11)</f>
        <v/>
      </c>
    </row>
    <row r="111" spans="1:19" x14ac:dyDescent="0.3">
      <c r="A111" s="290" t="str">
        <f>IF('ASIGNACIÓN ASIGNATURAS'!J161="","",'ASIGNACIÓN ASIGNATURAS'!J161)</f>
        <v/>
      </c>
      <c r="B111" s="290" t="str">
        <f>IF('ASIGNACIÓN ASIGNATURAS'!K161="","",'ASIGNACIÓN ASIGNATURAS'!K161)</f>
        <v/>
      </c>
      <c r="C111" s="290" t="str">
        <f>IF('ASIGNACIÓN ASIGNATURAS'!L161="","",'ASIGNACIÓN ASIGNATURAS'!L161)</f>
        <v/>
      </c>
      <c r="D111" s="290" t="str">
        <f>IF('ASIGNACIÓN ASIGNATURAS'!M161="","",'ASIGNACIÓN ASIGNATURAS'!M161)</f>
        <v/>
      </c>
      <c r="E111" s="290" t="str">
        <f>IF('ASIGNACIÓN ASIGNATURAS'!N161="","",'ASIGNACIÓN ASIGNATURAS'!N161)</f>
        <v/>
      </c>
      <c r="F111" s="290" t="str">
        <f>IF('ASIGNACIÓN ASIGNATURAS'!O161="","",'ASIGNACIÓN ASIGNATURAS'!O161)</f>
        <v/>
      </c>
      <c r="G111" s="290" t="str">
        <f>IF('ASIGNACIÓN ASIGNATURAS'!P161="","",'ASIGNACIÓN ASIGNATURAS'!P161)</f>
        <v/>
      </c>
      <c r="H111" s="290" t="str">
        <f>IF('ASIGNACIÓN ASIGNATURAS'!T161="","",'ASIGNACIÓN ASIGNATURAS'!T161)</f>
        <v/>
      </c>
      <c r="I111" s="290" t="str">
        <f>IF('ASIGNACIÓN ASIGNATURAS'!U161="","",'ASIGNACIÓN ASIGNATURAS'!U161)</f>
        <v/>
      </c>
      <c r="J111" s="290" t="str">
        <f>IF('ASIGNACIÓN ASIGNATURAS'!V161="","",'ASIGNACIÓN ASIGNATURAS'!V161)</f>
        <v/>
      </c>
      <c r="K111" s="301" t="str">
        <f>IF('ASIGNACIÓN ASIGNATURAS'!S161="","",'ASIGNACIÓN ASIGNATURAS'!S161)</f>
        <v/>
      </c>
      <c r="L111" s="244" t="str">
        <f>IF('ASIGNACIÓN ASIGNATURAS'!Q161="","",'ASIGNACIÓN ASIGNATURAS'!Q161)</f>
        <v/>
      </c>
      <c r="M111" s="244" t="str">
        <f>IF('ASIGNACIÓN ASIGNATURAS'!R161="","",'ASIGNACIÓN ASIGNATURAS'!R161)</f>
        <v/>
      </c>
      <c r="N111" s="244" t="str">
        <f>IF('ASIGNACIÓN ASIGNATURAS'!W161="","",'ASIGNACIÓN ASIGNATURAS'!W161)</f>
        <v/>
      </c>
      <c r="O111" s="244" t="str">
        <f>IF('ASIGNACIÓN ASIGNATURAS'!X161="","",'ASIGNACIÓN ASIGNATURAS'!X161)</f>
        <v/>
      </c>
      <c r="P111" s="244" t="str">
        <f>IF('ASIGNACIÓN ASIGNATURAS'!Y161="","",'ASIGNACIÓN ASIGNATURAS'!Y161)</f>
        <v/>
      </c>
      <c r="Q111" s="244" t="str">
        <f>IF('ASIGNACIÓN ASIGNATURAS'!Z161="","",'ASIGNACIÓN ASIGNATURAS'!Z161)</f>
        <v/>
      </c>
      <c r="R111" s="244" t="str">
        <f>IF('ASIGNACIÓN ASIGNATURAS'!AA161="","",'ASIGNACIÓN ASIGNATURAS'!AA161)</f>
        <v/>
      </c>
      <c r="S111" s="244" t="str">
        <f>IF('ASIGNACIÓN ASIGNATURAS'!AB161="","",'ASIGNACIÓN ASIGNATURAS'!AB161)</f>
        <v/>
      </c>
    </row>
    <row r="112" spans="1:19" x14ac:dyDescent="0.3">
      <c r="A112" s="290" t="str">
        <f>IF('ASIGNACIÓN ASIGNATURAS'!J69="","",'ASIGNACIÓN ASIGNATURAS'!J69)</f>
        <v/>
      </c>
      <c r="B112" s="290" t="str">
        <f>IF('ASIGNACIÓN ASIGNATURAS'!K69="","",'ASIGNACIÓN ASIGNATURAS'!K69)</f>
        <v/>
      </c>
      <c r="C112" s="290" t="str">
        <f>IF('ASIGNACIÓN ASIGNATURAS'!L69="","",'ASIGNACIÓN ASIGNATURAS'!L69)</f>
        <v/>
      </c>
      <c r="D112" s="290" t="str">
        <f>IF('ASIGNACIÓN ASIGNATURAS'!M69="","",'ASIGNACIÓN ASIGNATURAS'!M69)</f>
        <v/>
      </c>
      <c r="E112" s="290" t="str">
        <f>IF('ASIGNACIÓN ASIGNATURAS'!N69="","",'ASIGNACIÓN ASIGNATURAS'!N69)</f>
        <v/>
      </c>
      <c r="F112" s="290" t="str">
        <f>IF('ASIGNACIÓN ASIGNATURAS'!O69="","",'ASIGNACIÓN ASIGNATURAS'!O69)</f>
        <v/>
      </c>
      <c r="G112" s="290" t="str">
        <f>IF('ASIGNACIÓN ASIGNATURAS'!P69="","",'ASIGNACIÓN ASIGNATURAS'!P69)</f>
        <v/>
      </c>
      <c r="H112" s="290" t="str">
        <f>IF('ASIGNACIÓN ASIGNATURAS'!T69="","",'ASIGNACIÓN ASIGNATURAS'!T69)</f>
        <v/>
      </c>
      <c r="I112" s="290" t="str">
        <f>IF('ASIGNACIÓN ASIGNATURAS'!U69="","",'ASIGNACIÓN ASIGNATURAS'!U69)</f>
        <v/>
      </c>
      <c r="J112" s="290" t="str">
        <f>IF('ASIGNACIÓN ASIGNATURAS'!V69="","",'ASIGNACIÓN ASIGNATURAS'!V69)</f>
        <v/>
      </c>
      <c r="K112" s="301" t="str">
        <f>IF('ASIGNACIÓN ASIGNATURAS'!S69="","",'ASIGNACIÓN ASIGNATURAS'!S69)</f>
        <v/>
      </c>
      <c r="L112" s="244" t="str">
        <f>IF('ASIGNACIÓN ASIGNATURAS'!Q69="","",'ASIGNACIÓN ASIGNATURAS'!Q69)</f>
        <v/>
      </c>
      <c r="M112" s="244" t="str">
        <f>IF('ASIGNACIÓN ASIGNATURAS'!R69="","",'ASIGNACIÓN ASIGNATURAS'!R69)</f>
        <v/>
      </c>
      <c r="N112" s="244" t="str">
        <f>IF('ASIGNACIÓN ASIGNATURAS'!W69="","",'ASIGNACIÓN ASIGNATURAS'!W69)</f>
        <v/>
      </c>
      <c r="O112" s="244" t="str">
        <f>IF('ASIGNACIÓN ASIGNATURAS'!X69="","",'ASIGNACIÓN ASIGNATURAS'!X69)</f>
        <v/>
      </c>
      <c r="P112" s="244" t="str">
        <f>IF('ASIGNACIÓN ASIGNATURAS'!Y69="","",'ASIGNACIÓN ASIGNATURAS'!Y69)</f>
        <v/>
      </c>
      <c r="Q112" s="244" t="str">
        <f>IF('ASIGNACIÓN ASIGNATURAS'!Z69="","",'ASIGNACIÓN ASIGNATURAS'!Z69)</f>
        <v/>
      </c>
      <c r="R112" s="244" t="str">
        <f>IF('ASIGNACIÓN ASIGNATURAS'!AA69="","",'ASIGNACIÓN ASIGNATURAS'!AA69)</f>
        <v/>
      </c>
      <c r="S112" s="244" t="str">
        <f>IF('ASIGNACIÓN ASIGNATURAS'!AB69="","",'ASIGNACIÓN ASIGNATURAS'!AB69)</f>
        <v/>
      </c>
    </row>
    <row r="113" spans="1:19" x14ac:dyDescent="0.3">
      <c r="A113" s="290" t="str">
        <f>IF('ASIGNACIÓN ASIGNATURAS'!J115="","",'ASIGNACIÓN ASIGNATURAS'!J115)</f>
        <v/>
      </c>
      <c r="B113" s="290" t="str">
        <f>IF('ASIGNACIÓN ASIGNATURAS'!K115="","",'ASIGNACIÓN ASIGNATURAS'!K115)</f>
        <v/>
      </c>
      <c r="C113" s="290" t="str">
        <f>IF('ASIGNACIÓN ASIGNATURAS'!L115="","",'ASIGNACIÓN ASIGNATURAS'!L115)</f>
        <v/>
      </c>
      <c r="D113" s="290" t="str">
        <f>IF('ASIGNACIÓN ASIGNATURAS'!M115="","",'ASIGNACIÓN ASIGNATURAS'!M115)</f>
        <v/>
      </c>
      <c r="E113" s="290" t="str">
        <f>IF('ASIGNACIÓN ASIGNATURAS'!N115="","",'ASIGNACIÓN ASIGNATURAS'!N115)</f>
        <v/>
      </c>
      <c r="F113" s="290" t="str">
        <f>IF('ASIGNACIÓN ASIGNATURAS'!O115="","",'ASIGNACIÓN ASIGNATURAS'!O115)</f>
        <v/>
      </c>
      <c r="G113" s="290" t="str">
        <f>IF('ASIGNACIÓN ASIGNATURAS'!P115="","",'ASIGNACIÓN ASIGNATURAS'!P115)</f>
        <v/>
      </c>
      <c r="H113" s="290" t="str">
        <f>IF('ASIGNACIÓN ASIGNATURAS'!T115="","",'ASIGNACIÓN ASIGNATURAS'!T115)</f>
        <v/>
      </c>
      <c r="I113" s="290" t="str">
        <f>IF('ASIGNACIÓN ASIGNATURAS'!U115="","",'ASIGNACIÓN ASIGNATURAS'!U115)</f>
        <v/>
      </c>
      <c r="J113" s="290" t="str">
        <f>IF('ASIGNACIÓN ASIGNATURAS'!V115="","",'ASIGNACIÓN ASIGNATURAS'!V115)</f>
        <v/>
      </c>
      <c r="K113" s="301" t="str">
        <f>IF('ASIGNACIÓN ASIGNATURAS'!S115="","",'ASIGNACIÓN ASIGNATURAS'!S115)</f>
        <v/>
      </c>
      <c r="L113" s="244" t="str">
        <f>IF('ASIGNACIÓN ASIGNATURAS'!Q115="","",'ASIGNACIÓN ASIGNATURAS'!Q115)</f>
        <v/>
      </c>
      <c r="M113" s="244" t="str">
        <f>IF('ASIGNACIÓN ASIGNATURAS'!R115="","",'ASIGNACIÓN ASIGNATURAS'!R115)</f>
        <v/>
      </c>
      <c r="N113" s="244" t="str">
        <f>IF('ASIGNACIÓN ASIGNATURAS'!W115="","",'ASIGNACIÓN ASIGNATURAS'!W115)</f>
        <v/>
      </c>
      <c r="O113" s="244" t="str">
        <f>IF('ASIGNACIÓN ASIGNATURAS'!X115="","",'ASIGNACIÓN ASIGNATURAS'!X115)</f>
        <v/>
      </c>
      <c r="P113" s="244" t="str">
        <f>IF('ASIGNACIÓN ASIGNATURAS'!Y115="","",'ASIGNACIÓN ASIGNATURAS'!Y115)</f>
        <v/>
      </c>
      <c r="Q113" s="244" t="str">
        <f>IF('ASIGNACIÓN ASIGNATURAS'!Z115="","",'ASIGNACIÓN ASIGNATURAS'!Z115)</f>
        <v/>
      </c>
      <c r="R113" s="244" t="str">
        <f>IF('ASIGNACIÓN ASIGNATURAS'!AA115="","",'ASIGNACIÓN ASIGNATURAS'!AA115)</f>
        <v/>
      </c>
      <c r="S113" s="244" t="str">
        <f>IF('ASIGNACIÓN ASIGNATURAS'!AB115="","",'ASIGNACIÓN ASIGNATURAS'!AB115)</f>
        <v/>
      </c>
    </row>
    <row r="114" spans="1:19" x14ac:dyDescent="0.3">
      <c r="A114" s="290" t="str">
        <f>IF('ASIGNACIÓN ASIGNATURAS'!J92="","",'ASIGNACIÓN ASIGNATURAS'!J92)</f>
        <v/>
      </c>
      <c r="B114" s="290" t="str">
        <f>IF('ASIGNACIÓN ASIGNATURAS'!K92="","",'ASIGNACIÓN ASIGNATURAS'!K92)</f>
        <v/>
      </c>
      <c r="C114" s="290" t="str">
        <f>IF('ASIGNACIÓN ASIGNATURAS'!L92="","",'ASIGNACIÓN ASIGNATURAS'!L92)</f>
        <v/>
      </c>
      <c r="D114" s="290" t="str">
        <f>IF('ASIGNACIÓN ASIGNATURAS'!M92="","",'ASIGNACIÓN ASIGNATURAS'!M92)</f>
        <v/>
      </c>
      <c r="E114" s="290" t="str">
        <f>IF('ASIGNACIÓN ASIGNATURAS'!N92="","",'ASIGNACIÓN ASIGNATURAS'!N92)</f>
        <v/>
      </c>
      <c r="F114" s="290" t="str">
        <f>IF('ASIGNACIÓN ASIGNATURAS'!O92="","",'ASIGNACIÓN ASIGNATURAS'!O92)</f>
        <v/>
      </c>
      <c r="G114" s="290" t="str">
        <f>IF('ASIGNACIÓN ASIGNATURAS'!P92="","",'ASIGNACIÓN ASIGNATURAS'!P92)</f>
        <v/>
      </c>
      <c r="H114" s="290" t="str">
        <f>IF('ASIGNACIÓN ASIGNATURAS'!T92="","",'ASIGNACIÓN ASIGNATURAS'!T92)</f>
        <v/>
      </c>
      <c r="I114" s="290" t="str">
        <f>IF('ASIGNACIÓN ASIGNATURAS'!U92="","",'ASIGNACIÓN ASIGNATURAS'!U92)</f>
        <v/>
      </c>
      <c r="J114" s="290" t="str">
        <f>IF('ASIGNACIÓN ASIGNATURAS'!V92="","",'ASIGNACIÓN ASIGNATURAS'!V92)</f>
        <v/>
      </c>
      <c r="K114" s="301" t="str">
        <f>IF('ASIGNACIÓN ASIGNATURAS'!S92="","",'ASIGNACIÓN ASIGNATURAS'!S92)</f>
        <v/>
      </c>
      <c r="L114" s="244" t="str">
        <f>IF('ASIGNACIÓN ASIGNATURAS'!Q92="","",'ASIGNACIÓN ASIGNATURAS'!Q92)</f>
        <v/>
      </c>
      <c r="M114" s="244" t="str">
        <f>IF('ASIGNACIÓN ASIGNATURAS'!R92="","",'ASIGNACIÓN ASIGNATURAS'!R92)</f>
        <v/>
      </c>
      <c r="N114" s="244" t="str">
        <f>IF('ASIGNACIÓN ASIGNATURAS'!W92="","",'ASIGNACIÓN ASIGNATURAS'!W92)</f>
        <v/>
      </c>
      <c r="O114" s="244" t="str">
        <f>IF('ASIGNACIÓN ASIGNATURAS'!X92="","",'ASIGNACIÓN ASIGNATURAS'!X92)</f>
        <v/>
      </c>
      <c r="P114" s="244" t="str">
        <f>IF('ASIGNACIÓN ASIGNATURAS'!Y92="","",'ASIGNACIÓN ASIGNATURAS'!Y92)</f>
        <v/>
      </c>
      <c r="Q114" s="244" t="str">
        <f>IF('ASIGNACIÓN ASIGNATURAS'!Z92="","",'ASIGNACIÓN ASIGNATURAS'!Z92)</f>
        <v/>
      </c>
      <c r="R114" s="244" t="str">
        <f>IF('ASIGNACIÓN ASIGNATURAS'!AA92="","",'ASIGNACIÓN ASIGNATURAS'!AA92)</f>
        <v/>
      </c>
      <c r="S114" s="244" t="str">
        <f>IF('ASIGNACIÓN ASIGNATURAS'!AB92="","",'ASIGNACIÓN ASIGNATURAS'!AB92)</f>
        <v/>
      </c>
    </row>
    <row r="115" spans="1:19" x14ac:dyDescent="0.3">
      <c r="A115" s="290" t="str">
        <f>IF('ASIGNACIÓN ASIGNATURAS'!J46="","",'ASIGNACIÓN ASIGNATURAS'!J46)</f>
        <v/>
      </c>
      <c r="B115" s="290" t="str">
        <f>IF('ASIGNACIÓN ASIGNATURAS'!K46="","",'ASIGNACIÓN ASIGNATURAS'!K46)</f>
        <v/>
      </c>
      <c r="C115" s="290" t="str">
        <f>IF('ASIGNACIÓN ASIGNATURAS'!L46="","",'ASIGNACIÓN ASIGNATURAS'!L46)</f>
        <v/>
      </c>
      <c r="D115" s="290" t="str">
        <f>IF('ASIGNACIÓN ASIGNATURAS'!M46="","",'ASIGNACIÓN ASIGNATURAS'!M46)</f>
        <v/>
      </c>
      <c r="E115" s="290" t="str">
        <f>IF('ASIGNACIÓN ASIGNATURAS'!N46="","",'ASIGNACIÓN ASIGNATURAS'!N46)</f>
        <v/>
      </c>
      <c r="F115" s="290" t="str">
        <f>IF('ASIGNACIÓN ASIGNATURAS'!O46="","",'ASIGNACIÓN ASIGNATURAS'!O46)</f>
        <v/>
      </c>
      <c r="G115" s="290" t="str">
        <f>IF('ASIGNACIÓN ASIGNATURAS'!P46="","",'ASIGNACIÓN ASIGNATURAS'!P46)</f>
        <v/>
      </c>
      <c r="H115" s="290" t="str">
        <f>IF('ASIGNACIÓN ASIGNATURAS'!T46="","",'ASIGNACIÓN ASIGNATURAS'!T46)</f>
        <v/>
      </c>
      <c r="I115" s="290" t="str">
        <f>IF('ASIGNACIÓN ASIGNATURAS'!U46="","",'ASIGNACIÓN ASIGNATURAS'!U46)</f>
        <v/>
      </c>
      <c r="J115" s="290" t="str">
        <f>IF('ASIGNACIÓN ASIGNATURAS'!V46="","",'ASIGNACIÓN ASIGNATURAS'!V46)</f>
        <v/>
      </c>
      <c r="K115" s="301" t="str">
        <f>IF('ASIGNACIÓN ASIGNATURAS'!S46="","",'ASIGNACIÓN ASIGNATURAS'!S46)</f>
        <v/>
      </c>
      <c r="L115" s="244" t="str">
        <f>IF('ASIGNACIÓN ASIGNATURAS'!Q46="","",'ASIGNACIÓN ASIGNATURAS'!Q46)</f>
        <v/>
      </c>
      <c r="M115" s="244" t="str">
        <f>IF('ASIGNACIÓN ASIGNATURAS'!R46="","",'ASIGNACIÓN ASIGNATURAS'!R46)</f>
        <v/>
      </c>
      <c r="N115" s="244" t="str">
        <f>IF('ASIGNACIÓN ASIGNATURAS'!W46="","",'ASIGNACIÓN ASIGNATURAS'!W46)</f>
        <v/>
      </c>
      <c r="O115" s="244" t="str">
        <f>IF('ASIGNACIÓN ASIGNATURAS'!X46="","",'ASIGNACIÓN ASIGNATURAS'!X46)</f>
        <v/>
      </c>
      <c r="P115" s="244" t="str">
        <f>IF('ASIGNACIÓN ASIGNATURAS'!Y46="","",'ASIGNACIÓN ASIGNATURAS'!Y46)</f>
        <v/>
      </c>
      <c r="Q115" s="244" t="str">
        <f>IF('ASIGNACIÓN ASIGNATURAS'!Z46="","",'ASIGNACIÓN ASIGNATURAS'!Z46)</f>
        <v/>
      </c>
      <c r="R115" s="244" t="str">
        <f>IF('ASIGNACIÓN ASIGNATURAS'!AA46="","",'ASIGNACIÓN ASIGNATURAS'!AA46)</f>
        <v/>
      </c>
      <c r="S115" s="244" t="str">
        <f>IF('ASIGNACIÓN ASIGNATURAS'!AB46="","",'ASIGNACIÓN ASIGNATURAS'!AB46)</f>
        <v/>
      </c>
    </row>
    <row r="116" spans="1:19" x14ac:dyDescent="0.3">
      <c r="A116" s="290" t="str">
        <f>IF('ASIGNACIÓN ASIGNATURAS'!J138="","",'ASIGNACIÓN ASIGNATURAS'!J138)</f>
        <v/>
      </c>
      <c r="B116" s="290" t="str">
        <f>IF('ASIGNACIÓN ASIGNATURAS'!K138="","",'ASIGNACIÓN ASIGNATURAS'!K138)</f>
        <v/>
      </c>
      <c r="C116" s="290" t="str">
        <f>IF('ASIGNACIÓN ASIGNATURAS'!L138="","",'ASIGNACIÓN ASIGNATURAS'!L138)</f>
        <v/>
      </c>
      <c r="D116" s="290" t="str">
        <f>IF('ASIGNACIÓN ASIGNATURAS'!M138="","",'ASIGNACIÓN ASIGNATURAS'!M138)</f>
        <v/>
      </c>
      <c r="E116" s="290" t="str">
        <f>IF('ASIGNACIÓN ASIGNATURAS'!N138="","",'ASIGNACIÓN ASIGNATURAS'!N138)</f>
        <v/>
      </c>
      <c r="F116" s="290" t="str">
        <f>IF('ASIGNACIÓN ASIGNATURAS'!O138="","",'ASIGNACIÓN ASIGNATURAS'!O138)</f>
        <v/>
      </c>
      <c r="G116" s="290" t="str">
        <f>IF('ASIGNACIÓN ASIGNATURAS'!P138="","",'ASIGNACIÓN ASIGNATURAS'!P138)</f>
        <v/>
      </c>
      <c r="H116" s="290" t="str">
        <f>IF('ASIGNACIÓN ASIGNATURAS'!T138="","",'ASIGNACIÓN ASIGNATURAS'!T138)</f>
        <v/>
      </c>
      <c r="I116" s="290" t="str">
        <f>IF('ASIGNACIÓN ASIGNATURAS'!U138="","",'ASIGNACIÓN ASIGNATURAS'!U138)</f>
        <v/>
      </c>
      <c r="J116" s="290" t="str">
        <f>IF('ASIGNACIÓN ASIGNATURAS'!V138="","",'ASIGNACIÓN ASIGNATURAS'!V138)</f>
        <v/>
      </c>
      <c r="K116" s="301" t="str">
        <f>IF('ASIGNACIÓN ASIGNATURAS'!S138="","",'ASIGNACIÓN ASIGNATURAS'!S138)</f>
        <v/>
      </c>
      <c r="L116" s="244" t="str">
        <f>IF('ASIGNACIÓN ASIGNATURAS'!Q138="","",'ASIGNACIÓN ASIGNATURAS'!Q138)</f>
        <v/>
      </c>
      <c r="M116" s="244" t="str">
        <f>IF('ASIGNACIÓN ASIGNATURAS'!R138="","",'ASIGNACIÓN ASIGNATURAS'!R138)</f>
        <v/>
      </c>
      <c r="N116" s="244" t="str">
        <f>IF('ASIGNACIÓN ASIGNATURAS'!W138="","",'ASIGNACIÓN ASIGNATURAS'!W138)</f>
        <v/>
      </c>
      <c r="O116" s="244" t="str">
        <f>IF('ASIGNACIÓN ASIGNATURAS'!X138="","",'ASIGNACIÓN ASIGNATURAS'!X138)</f>
        <v/>
      </c>
      <c r="P116" s="244" t="str">
        <f>IF('ASIGNACIÓN ASIGNATURAS'!Y138="","",'ASIGNACIÓN ASIGNATURAS'!Y138)</f>
        <v/>
      </c>
      <c r="Q116" s="244" t="str">
        <f>IF('ASIGNACIÓN ASIGNATURAS'!Z138="","",'ASIGNACIÓN ASIGNATURAS'!Z138)</f>
        <v/>
      </c>
      <c r="R116" s="244" t="str">
        <f>IF('ASIGNACIÓN ASIGNATURAS'!AA138="","",'ASIGNACIÓN ASIGNATURAS'!AA138)</f>
        <v/>
      </c>
      <c r="S116" s="244" t="str">
        <f>IF('ASIGNACIÓN ASIGNATURAS'!AB138="","",'ASIGNACIÓN ASIGNATURAS'!AB138)</f>
        <v/>
      </c>
    </row>
    <row r="117" spans="1:19" x14ac:dyDescent="0.3">
      <c r="A117" s="290" t="str">
        <f>IF('ASIGNACIÓN ASIGNATURAS'!J23="","",'ASIGNACIÓN ASIGNATURAS'!J23)</f>
        <v/>
      </c>
      <c r="B117" s="290" t="str">
        <f>IF('ASIGNACIÓN ASIGNATURAS'!K23="","",'ASIGNACIÓN ASIGNATURAS'!K23)</f>
        <v/>
      </c>
      <c r="C117" s="290" t="str">
        <f>IF('ASIGNACIÓN ASIGNATURAS'!L23="","",'ASIGNACIÓN ASIGNATURAS'!L23)</f>
        <v/>
      </c>
      <c r="D117" s="290" t="str">
        <f>IF('ASIGNACIÓN ASIGNATURAS'!M23="","",'ASIGNACIÓN ASIGNATURAS'!M23)</f>
        <v/>
      </c>
      <c r="E117" s="290" t="str">
        <f>IF('ASIGNACIÓN ASIGNATURAS'!N23="","",'ASIGNACIÓN ASIGNATURAS'!N23)</f>
        <v/>
      </c>
      <c r="F117" s="290" t="str">
        <f>IF('ASIGNACIÓN ASIGNATURAS'!O23="","",'ASIGNACIÓN ASIGNATURAS'!O23)</f>
        <v/>
      </c>
      <c r="G117" s="290" t="str">
        <f>IF('ASIGNACIÓN ASIGNATURAS'!P23="","",'ASIGNACIÓN ASIGNATURAS'!P23)</f>
        <v/>
      </c>
      <c r="H117" s="290" t="str">
        <f>IF('ASIGNACIÓN ASIGNATURAS'!T23="","",'ASIGNACIÓN ASIGNATURAS'!T23)</f>
        <v/>
      </c>
      <c r="I117" s="290" t="str">
        <f>IF('ASIGNACIÓN ASIGNATURAS'!U23="","",'ASIGNACIÓN ASIGNATURAS'!U23)</f>
        <v/>
      </c>
      <c r="J117" s="290" t="str">
        <f>IF('ASIGNACIÓN ASIGNATURAS'!V23="","",'ASIGNACIÓN ASIGNATURAS'!V23)</f>
        <v/>
      </c>
      <c r="K117" s="301" t="str">
        <f>IF('ASIGNACIÓN ASIGNATURAS'!S23="","",'ASIGNACIÓN ASIGNATURAS'!S23)</f>
        <v/>
      </c>
      <c r="L117" s="244" t="str">
        <f>IF('ASIGNACIÓN ASIGNATURAS'!Q23="","",'ASIGNACIÓN ASIGNATURAS'!Q23)</f>
        <v/>
      </c>
      <c r="M117" s="244" t="str">
        <f>IF('ASIGNACIÓN ASIGNATURAS'!R23="","",'ASIGNACIÓN ASIGNATURAS'!R23)</f>
        <v/>
      </c>
      <c r="N117" s="244" t="str">
        <f>IF('ASIGNACIÓN ASIGNATURAS'!W23="","",'ASIGNACIÓN ASIGNATURAS'!W23)</f>
        <v/>
      </c>
      <c r="O117" s="244" t="str">
        <f>IF('ASIGNACIÓN ASIGNATURAS'!X23="","",'ASIGNACIÓN ASIGNATURAS'!X23)</f>
        <v/>
      </c>
      <c r="P117" s="244" t="str">
        <f>IF('ASIGNACIÓN ASIGNATURAS'!Y23="","",'ASIGNACIÓN ASIGNATURAS'!Y23)</f>
        <v/>
      </c>
      <c r="Q117" s="244" t="str">
        <f>IF('ASIGNACIÓN ASIGNATURAS'!Z23="","",'ASIGNACIÓN ASIGNATURAS'!Z23)</f>
        <v/>
      </c>
      <c r="R117" s="244" t="str">
        <f>IF('ASIGNACIÓN ASIGNATURAS'!AA23="","",'ASIGNACIÓN ASIGNATURAS'!AA23)</f>
        <v/>
      </c>
      <c r="S117" s="244" t="str">
        <f>IF('ASIGNACIÓN ASIGNATURAS'!AB23="","",'ASIGNACIÓN ASIGNATURAS'!AB23)</f>
        <v/>
      </c>
    </row>
    <row r="118" spans="1:19" x14ac:dyDescent="0.3">
      <c r="A118" s="290" t="str">
        <f>IF('ASIGNACIÓN ASIGNATURAS'!J81="","",'ASIGNACIÓN ASIGNATURAS'!J81)</f>
        <v/>
      </c>
      <c r="B118" s="290" t="str">
        <f>IF('ASIGNACIÓN ASIGNATURAS'!K81="","",'ASIGNACIÓN ASIGNATURAS'!K81)</f>
        <v/>
      </c>
      <c r="C118" s="290" t="str">
        <f>IF('ASIGNACIÓN ASIGNATURAS'!L81="","",'ASIGNACIÓN ASIGNATURAS'!L81)</f>
        <v/>
      </c>
      <c r="D118" s="290" t="str">
        <f>IF('ASIGNACIÓN ASIGNATURAS'!M81="","",'ASIGNACIÓN ASIGNATURAS'!M81)</f>
        <v/>
      </c>
      <c r="E118" s="290" t="str">
        <f>IF('ASIGNACIÓN ASIGNATURAS'!N81="","",'ASIGNACIÓN ASIGNATURAS'!N81)</f>
        <v/>
      </c>
      <c r="F118" s="290" t="str">
        <f>IF('ASIGNACIÓN ASIGNATURAS'!O81="","",'ASIGNACIÓN ASIGNATURAS'!O81)</f>
        <v/>
      </c>
      <c r="G118" s="290" t="str">
        <f>IF('ASIGNACIÓN ASIGNATURAS'!P81="","",'ASIGNACIÓN ASIGNATURAS'!P81)</f>
        <v/>
      </c>
      <c r="H118" s="290" t="str">
        <f>IF('ASIGNACIÓN ASIGNATURAS'!T81="","",'ASIGNACIÓN ASIGNATURAS'!T81)</f>
        <v/>
      </c>
      <c r="I118" s="290" t="str">
        <f>IF('ASIGNACIÓN ASIGNATURAS'!U81="","",'ASIGNACIÓN ASIGNATURAS'!U81)</f>
        <v/>
      </c>
      <c r="J118" s="290" t="str">
        <f>IF('ASIGNACIÓN ASIGNATURAS'!V81="","",'ASIGNACIÓN ASIGNATURAS'!V81)</f>
        <v/>
      </c>
      <c r="K118" s="301" t="str">
        <f>IF('ASIGNACIÓN ASIGNATURAS'!S81="","",'ASIGNACIÓN ASIGNATURAS'!S81)</f>
        <v/>
      </c>
      <c r="L118" s="244" t="str">
        <f>IF('ASIGNACIÓN ASIGNATURAS'!Q81="","",'ASIGNACIÓN ASIGNATURAS'!Q81)</f>
        <v/>
      </c>
      <c r="M118" s="244" t="str">
        <f>IF('ASIGNACIÓN ASIGNATURAS'!R81="","",'ASIGNACIÓN ASIGNATURAS'!R81)</f>
        <v/>
      </c>
      <c r="N118" s="244" t="str">
        <f>IF('ASIGNACIÓN ASIGNATURAS'!W81="","",'ASIGNACIÓN ASIGNATURAS'!W81)</f>
        <v/>
      </c>
      <c r="O118" s="244" t="str">
        <f>IF('ASIGNACIÓN ASIGNATURAS'!X81="","",'ASIGNACIÓN ASIGNATURAS'!X81)</f>
        <v/>
      </c>
      <c r="P118" s="244" t="str">
        <f>IF('ASIGNACIÓN ASIGNATURAS'!Y81="","",'ASIGNACIÓN ASIGNATURAS'!Y81)</f>
        <v/>
      </c>
      <c r="Q118" s="244" t="str">
        <f>IF('ASIGNACIÓN ASIGNATURAS'!Z81="","",'ASIGNACIÓN ASIGNATURAS'!Z81)</f>
        <v/>
      </c>
      <c r="R118" s="244" t="str">
        <f>IF('ASIGNACIÓN ASIGNATURAS'!AA81="","",'ASIGNACIÓN ASIGNATURAS'!AA81)</f>
        <v/>
      </c>
      <c r="S118" s="244" t="str">
        <f>IF('ASIGNACIÓN ASIGNATURAS'!AB81="","",'ASIGNACIÓN ASIGNATURAS'!AB81)</f>
        <v/>
      </c>
    </row>
    <row r="119" spans="1:19" x14ac:dyDescent="0.3">
      <c r="A119" s="290" t="str">
        <f>IF('ASIGNACIÓN ASIGNATURAS'!J101="","",'ASIGNACIÓN ASIGNATURAS'!J101)</f>
        <v/>
      </c>
      <c r="B119" s="290" t="str">
        <f>IF('ASIGNACIÓN ASIGNATURAS'!K101="","",'ASIGNACIÓN ASIGNATURAS'!K101)</f>
        <v/>
      </c>
      <c r="C119" s="290" t="str">
        <f>IF('ASIGNACIÓN ASIGNATURAS'!L101="","",'ASIGNACIÓN ASIGNATURAS'!L101)</f>
        <v/>
      </c>
      <c r="D119" s="290" t="str">
        <f>IF('ASIGNACIÓN ASIGNATURAS'!M101="","",'ASIGNACIÓN ASIGNATURAS'!M101)</f>
        <v/>
      </c>
      <c r="E119" s="290" t="str">
        <f>IF('ASIGNACIÓN ASIGNATURAS'!N101="","",'ASIGNACIÓN ASIGNATURAS'!N101)</f>
        <v/>
      </c>
      <c r="F119" s="290" t="str">
        <f>IF('ASIGNACIÓN ASIGNATURAS'!O101="","",'ASIGNACIÓN ASIGNATURAS'!O101)</f>
        <v/>
      </c>
      <c r="G119" s="290" t="str">
        <f>IF('ASIGNACIÓN ASIGNATURAS'!P101="","",'ASIGNACIÓN ASIGNATURAS'!P101)</f>
        <v/>
      </c>
      <c r="H119" s="290" t="str">
        <f>IF('ASIGNACIÓN ASIGNATURAS'!T101="","",'ASIGNACIÓN ASIGNATURAS'!T101)</f>
        <v/>
      </c>
      <c r="I119" s="290" t="str">
        <f>IF('ASIGNACIÓN ASIGNATURAS'!U101="","",'ASIGNACIÓN ASIGNATURAS'!U101)</f>
        <v/>
      </c>
      <c r="J119" s="290" t="str">
        <f>IF('ASIGNACIÓN ASIGNATURAS'!V101="","",'ASIGNACIÓN ASIGNATURAS'!V101)</f>
        <v/>
      </c>
      <c r="K119" s="301" t="str">
        <f>IF('ASIGNACIÓN ASIGNATURAS'!S101="","",'ASIGNACIÓN ASIGNATURAS'!S101)</f>
        <v/>
      </c>
      <c r="L119" s="244" t="str">
        <f>IF('ASIGNACIÓN ASIGNATURAS'!Q101="","",'ASIGNACIÓN ASIGNATURAS'!Q101)</f>
        <v/>
      </c>
      <c r="M119" s="244" t="str">
        <f>IF('ASIGNACIÓN ASIGNATURAS'!R101="","",'ASIGNACIÓN ASIGNATURAS'!R101)</f>
        <v/>
      </c>
      <c r="N119" s="244" t="str">
        <f>IF('ASIGNACIÓN ASIGNATURAS'!W101="","",'ASIGNACIÓN ASIGNATURAS'!W101)</f>
        <v/>
      </c>
      <c r="O119" s="244" t="str">
        <f>IF('ASIGNACIÓN ASIGNATURAS'!X101="","",'ASIGNACIÓN ASIGNATURAS'!X101)</f>
        <v/>
      </c>
      <c r="P119" s="244" t="str">
        <f>IF('ASIGNACIÓN ASIGNATURAS'!Y101="","",'ASIGNACIÓN ASIGNATURAS'!Y101)</f>
        <v/>
      </c>
      <c r="Q119" s="244" t="str">
        <f>IF('ASIGNACIÓN ASIGNATURAS'!Z101="","",'ASIGNACIÓN ASIGNATURAS'!Z101)</f>
        <v/>
      </c>
      <c r="R119" s="244" t="str">
        <f>IF('ASIGNACIÓN ASIGNATURAS'!AA101="","",'ASIGNACIÓN ASIGNATURAS'!AA101)</f>
        <v/>
      </c>
      <c r="S119" s="244" t="str">
        <f>IF('ASIGNACIÓN ASIGNATURAS'!AB101="","",'ASIGNACIÓN ASIGNATURAS'!AB101)</f>
        <v/>
      </c>
    </row>
    <row r="120" spans="1:19" x14ac:dyDescent="0.3">
      <c r="A120" s="290" t="str">
        <f>IF('ASIGNACIÓN ASIGNATURAS'!J35="","",'ASIGNACIÓN ASIGNATURAS'!J35)</f>
        <v/>
      </c>
      <c r="B120" s="290" t="str">
        <f>IF('ASIGNACIÓN ASIGNATURAS'!K35="","",'ASIGNACIÓN ASIGNATURAS'!K35)</f>
        <v/>
      </c>
      <c r="C120" s="290" t="str">
        <f>IF('ASIGNACIÓN ASIGNATURAS'!L35="","",'ASIGNACIÓN ASIGNATURAS'!L35)</f>
        <v/>
      </c>
      <c r="D120" s="290" t="str">
        <f>IF('ASIGNACIÓN ASIGNATURAS'!M35="","",'ASIGNACIÓN ASIGNATURAS'!M35)</f>
        <v/>
      </c>
      <c r="E120" s="290" t="str">
        <f>IF('ASIGNACIÓN ASIGNATURAS'!N35="","",'ASIGNACIÓN ASIGNATURAS'!N35)</f>
        <v/>
      </c>
      <c r="F120" s="290" t="str">
        <f>IF('ASIGNACIÓN ASIGNATURAS'!O35="","",'ASIGNACIÓN ASIGNATURAS'!O35)</f>
        <v/>
      </c>
      <c r="G120" s="290" t="str">
        <f>IF('ASIGNACIÓN ASIGNATURAS'!P35="","",'ASIGNACIÓN ASIGNATURAS'!P35)</f>
        <v/>
      </c>
      <c r="H120" s="290" t="str">
        <f>IF('ASIGNACIÓN ASIGNATURAS'!T35="","",'ASIGNACIÓN ASIGNATURAS'!T35)</f>
        <v/>
      </c>
      <c r="I120" s="290" t="str">
        <f>IF('ASIGNACIÓN ASIGNATURAS'!U35="","",'ASIGNACIÓN ASIGNATURAS'!U35)</f>
        <v/>
      </c>
      <c r="J120" s="290" t="str">
        <f>IF('ASIGNACIÓN ASIGNATURAS'!V35="","",'ASIGNACIÓN ASIGNATURAS'!V35)</f>
        <v/>
      </c>
      <c r="K120" s="301" t="str">
        <f>IF('ASIGNACIÓN ASIGNATURAS'!S35="","",'ASIGNACIÓN ASIGNATURAS'!S35)</f>
        <v/>
      </c>
      <c r="L120" s="244" t="str">
        <f>IF('ASIGNACIÓN ASIGNATURAS'!Q35="","",'ASIGNACIÓN ASIGNATURAS'!Q35)</f>
        <v/>
      </c>
      <c r="M120" s="244" t="str">
        <f>IF('ASIGNACIÓN ASIGNATURAS'!R35="","",'ASIGNACIÓN ASIGNATURAS'!R35)</f>
        <v/>
      </c>
      <c r="N120" s="244" t="str">
        <f>IF('ASIGNACIÓN ASIGNATURAS'!W35="","",'ASIGNACIÓN ASIGNATURAS'!W35)</f>
        <v/>
      </c>
      <c r="O120" s="244" t="str">
        <f>IF('ASIGNACIÓN ASIGNATURAS'!X35="","",'ASIGNACIÓN ASIGNATURAS'!X35)</f>
        <v/>
      </c>
      <c r="P120" s="244" t="str">
        <f>IF('ASIGNACIÓN ASIGNATURAS'!Y35="","",'ASIGNACIÓN ASIGNATURAS'!Y35)</f>
        <v/>
      </c>
      <c r="Q120" s="244" t="str">
        <f>IF('ASIGNACIÓN ASIGNATURAS'!Z35="","",'ASIGNACIÓN ASIGNATURAS'!Z35)</f>
        <v/>
      </c>
      <c r="R120" s="244" t="str">
        <f>IF('ASIGNACIÓN ASIGNATURAS'!AA35="","",'ASIGNACIÓN ASIGNATURAS'!AA35)</f>
        <v/>
      </c>
      <c r="S120" s="244" t="str">
        <f>IF('ASIGNACIÓN ASIGNATURAS'!AB35="","",'ASIGNACIÓN ASIGNATURAS'!AB35)</f>
        <v/>
      </c>
    </row>
    <row r="121" spans="1:19" x14ac:dyDescent="0.3">
      <c r="A121" s="290" t="str">
        <f>IF('ASIGNACIÓN ASIGNATURAS'!J55="","",'ASIGNACIÓN ASIGNATURAS'!J55)</f>
        <v/>
      </c>
      <c r="B121" s="290" t="str">
        <f>IF('ASIGNACIÓN ASIGNATURAS'!K55="","",'ASIGNACIÓN ASIGNATURAS'!K55)</f>
        <v/>
      </c>
      <c r="C121" s="290" t="str">
        <f>IF('ASIGNACIÓN ASIGNATURAS'!L55="","",'ASIGNACIÓN ASIGNATURAS'!L55)</f>
        <v/>
      </c>
      <c r="D121" s="290" t="str">
        <f>IF('ASIGNACIÓN ASIGNATURAS'!M55="","",'ASIGNACIÓN ASIGNATURAS'!M55)</f>
        <v/>
      </c>
      <c r="E121" s="290" t="str">
        <f>IF('ASIGNACIÓN ASIGNATURAS'!N55="","",'ASIGNACIÓN ASIGNATURAS'!N55)</f>
        <v/>
      </c>
      <c r="F121" s="290" t="str">
        <f>IF('ASIGNACIÓN ASIGNATURAS'!O55="","",'ASIGNACIÓN ASIGNATURAS'!O55)</f>
        <v/>
      </c>
      <c r="G121" s="290" t="str">
        <f>IF('ASIGNACIÓN ASIGNATURAS'!P55="","",'ASIGNACIÓN ASIGNATURAS'!P55)</f>
        <v/>
      </c>
      <c r="H121" s="290" t="str">
        <f>IF('ASIGNACIÓN ASIGNATURAS'!T55="","",'ASIGNACIÓN ASIGNATURAS'!T55)</f>
        <v/>
      </c>
      <c r="I121" s="290" t="str">
        <f>IF('ASIGNACIÓN ASIGNATURAS'!U55="","",'ASIGNACIÓN ASIGNATURAS'!U55)</f>
        <v/>
      </c>
      <c r="J121" s="290" t="str">
        <f>IF('ASIGNACIÓN ASIGNATURAS'!V55="","",'ASIGNACIÓN ASIGNATURAS'!V55)</f>
        <v/>
      </c>
      <c r="K121" s="301" t="str">
        <f>IF('ASIGNACIÓN ASIGNATURAS'!S55="","",'ASIGNACIÓN ASIGNATURAS'!S55)</f>
        <v/>
      </c>
      <c r="L121" s="244" t="str">
        <f>IF('ASIGNACIÓN ASIGNATURAS'!Q55="","",'ASIGNACIÓN ASIGNATURAS'!Q55)</f>
        <v/>
      </c>
      <c r="M121" s="244" t="str">
        <f>IF('ASIGNACIÓN ASIGNATURAS'!R55="","",'ASIGNACIÓN ASIGNATURAS'!R55)</f>
        <v/>
      </c>
      <c r="N121" s="244" t="str">
        <f>IF('ASIGNACIÓN ASIGNATURAS'!W55="","",'ASIGNACIÓN ASIGNATURAS'!W55)</f>
        <v/>
      </c>
      <c r="O121" s="244" t="str">
        <f>IF('ASIGNACIÓN ASIGNATURAS'!X55="","",'ASIGNACIÓN ASIGNATURAS'!X55)</f>
        <v/>
      </c>
      <c r="P121" s="244" t="str">
        <f>IF('ASIGNACIÓN ASIGNATURAS'!Y55="","",'ASIGNACIÓN ASIGNATURAS'!Y55)</f>
        <v/>
      </c>
      <c r="Q121" s="244" t="str">
        <f>IF('ASIGNACIÓN ASIGNATURAS'!Z55="","",'ASIGNACIÓN ASIGNATURAS'!Z55)</f>
        <v/>
      </c>
      <c r="R121" s="244" t="str">
        <f>IF('ASIGNACIÓN ASIGNATURAS'!AA55="","",'ASIGNACIÓN ASIGNATURAS'!AA55)</f>
        <v/>
      </c>
      <c r="S121" s="244" t="str">
        <f>IF('ASIGNACIÓN ASIGNATURAS'!AB55="","",'ASIGNACIÓN ASIGNATURAS'!AB55)</f>
        <v/>
      </c>
    </row>
    <row r="122" spans="1:19" x14ac:dyDescent="0.3">
      <c r="A122" s="290" t="str">
        <f>IF('ASIGNACIÓN ASIGNATURAS'!J127="","",'ASIGNACIÓN ASIGNATURAS'!J127)</f>
        <v/>
      </c>
      <c r="B122" s="290" t="str">
        <f>IF('ASIGNACIÓN ASIGNATURAS'!K127="","",'ASIGNACIÓN ASIGNATURAS'!K127)</f>
        <v/>
      </c>
      <c r="C122" s="290" t="str">
        <f>IF('ASIGNACIÓN ASIGNATURAS'!L127="","",'ASIGNACIÓN ASIGNATURAS'!L127)</f>
        <v/>
      </c>
      <c r="D122" s="290" t="str">
        <f>IF('ASIGNACIÓN ASIGNATURAS'!M127="","",'ASIGNACIÓN ASIGNATURAS'!M127)</f>
        <v/>
      </c>
      <c r="E122" s="290" t="str">
        <f>IF('ASIGNACIÓN ASIGNATURAS'!N127="","",'ASIGNACIÓN ASIGNATURAS'!N127)</f>
        <v/>
      </c>
      <c r="F122" s="290" t="str">
        <f>IF('ASIGNACIÓN ASIGNATURAS'!O127="","",'ASIGNACIÓN ASIGNATURAS'!O127)</f>
        <v/>
      </c>
      <c r="G122" s="290" t="str">
        <f>IF('ASIGNACIÓN ASIGNATURAS'!P127="","",'ASIGNACIÓN ASIGNATURAS'!P127)</f>
        <v/>
      </c>
      <c r="H122" s="290" t="str">
        <f>IF('ASIGNACIÓN ASIGNATURAS'!T127="","",'ASIGNACIÓN ASIGNATURAS'!T127)</f>
        <v/>
      </c>
      <c r="I122" s="290" t="str">
        <f>IF('ASIGNACIÓN ASIGNATURAS'!U127="","",'ASIGNACIÓN ASIGNATURAS'!U127)</f>
        <v/>
      </c>
      <c r="J122" s="290" t="str">
        <f>IF('ASIGNACIÓN ASIGNATURAS'!V127="","",'ASIGNACIÓN ASIGNATURAS'!V127)</f>
        <v/>
      </c>
      <c r="K122" s="301" t="str">
        <f>IF('ASIGNACIÓN ASIGNATURAS'!S127="","",'ASIGNACIÓN ASIGNATURAS'!S127)</f>
        <v/>
      </c>
      <c r="L122" s="244" t="str">
        <f>IF('ASIGNACIÓN ASIGNATURAS'!Q127="","",'ASIGNACIÓN ASIGNATURAS'!Q127)</f>
        <v/>
      </c>
      <c r="M122" s="244" t="str">
        <f>IF('ASIGNACIÓN ASIGNATURAS'!R127="","",'ASIGNACIÓN ASIGNATURAS'!R127)</f>
        <v/>
      </c>
      <c r="N122" s="244" t="str">
        <f>IF('ASIGNACIÓN ASIGNATURAS'!W127="","",'ASIGNACIÓN ASIGNATURAS'!W127)</f>
        <v/>
      </c>
      <c r="O122" s="244" t="str">
        <f>IF('ASIGNACIÓN ASIGNATURAS'!X127="","",'ASIGNACIÓN ASIGNATURAS'!X127)</f>
        <v/>
      </c>
      <c r="P122" s="244" t="str">
        <f>IF('ASIGNACIÓN ASIGNATURAS'!Y127="","",'ASIGNACIÓN ASIGNATURAS'!Y127)</f>
        <v/>
      </c>
      <c r="Q122" s="244" t="str">
        <f>IF('ASIGNACIÓN ASIGNATURAS'!Z127="","",'ASIGNACIÓN ASIGNATURAS'!Z127)</f>
        <v/>
      </c>
      <c r="R122" s="244" t="str">
        <f>IF('ASIGNACIÓN ASIGNATURAS'!AA127="","",'ASIGNACIÓN ASIGNATURAS'!AA127)</f>
        <v/>
      </c>
      <c r="S122" s="244" t="str">
        <f>IF('ASIGNACIÓN ASIGNATURAS'!AB127="","",'ASIGNACIÓN ASIGNATURAS'!AB127)</f>
        <v/>
      </c>
    </row>
    <row r="123" spans="1:19" x14ac:dyDescent="0.3">
      <c r="A123" s="290" t="str">
        <f>IF('ASIGNACIÓN ASIGNATURAS'!J147="","",'ASIGNACIÓN ASIGNATURAS'!J147)</f>
        <v/>
      </c>
      <c r="B123" s="290" t="str">
        <f>IF('ASIGNACIÓN ASIGNATURAS'!K147="","",'ASIGNACIÓN ASIGNATURAS'!K147)</f>
        <v/>
      </c>
      <c r="C123" s="290" t="str">
        <f>IF('ASIGNACIÓN ASIGNATURAS'!L147="","",'ASIGNACIÓN ASIGNATURAS'!L147)</f>
        <v/>
      </c>
      <c r="D123" s="290" t="str">
        <f>IF('ASIGNACIÓN ASIGNATURAS'!M147="","",'ASIGNACIÓN ASIGNATURAS'!M147)</f>
        <v/>
      </c>
      <c r="E123" s="290" t="str">
        <f>IF('ASIGNACIÓN ASIGNATURAS'!N147="","",'ASIGNACIÓN ASIGNATURAS'!N147)</f>
        <v/>
      </c>
      <c r="F123" s="290" t="str">
        <f>IF('ASIGNACIÓN ASIGNATURAS'!O147="","",'ASIGNACIÓN ASIGNATURAS'!O147)</f>
        <v/>
      </c>
      <c r="G123" s="290" t="str">
        <f>IF('ASIGNACIÓN ASIGNATURAS'!P147="","",'ASIGNACIÓN ASIGNATURAS'!P147)</f>
        <v/>
      </c>
      <c r="H123" s="290" t="str">
        <f>IF('ASIGNACIÓN ASIGNATURAS'!T147="","",'ASIGNACIÓN ASIGNATURAS'!T147)</f>
        <v/>
      </c>
      <c r="I123" s="290" t="str">
        <f>IF('ASIGNACIÓN ASIGNATURAS'!U147="","",'ASIGNACIÓN ASIGNATURAS'!U147)</f>
        <v/>
      </c>
      <c r="J123" s="290" t="str">
        <f>IF('ASIGNACIÓN ASIGNATURAS'!V147="","",'ASIGNACIÓN ASIGNATURAS'!V147)</f>
        <v/>
      </c>
      <c r="K123" s="301" t="str">
        <f>IF('ASIGNACIÓN ASIGNATURAS'!S147="","",'ASIGNACIÓN ASIGNATURAS'!S147)</f>
        <v/>
      </c>
      <c r="L123" s="244" t="str">
        <f>IF('ASIGNACIÓN ASIGNATURAS'!Q147="","",'ASIGNACIÓN ASIGNATURAS'!Q147)</f>
        <v/>
      </c>
      <c r="M123" s="244" t="str">
        <f>IF('ASIGNACIÓN ASIGNATURAS'!R147="","",'ASIGNACIÓN ASIGNATURAS'!R147)</f>
        <v/>
      </c>
      <c r="N123" s="244" t="str">
        <f>IF('ASIGNACIÓN ASIGNATURAS'!W147="","",'ASIGNACIÓN ASIGNATURAS'!W147)</f>
        <v/>
      </c>
      <c r="O123" s="244" t="str">
        <f>IF('ASIGNACIÓN ASIGNATURAS'!X147="","",'ASIGNACIÓN ASIGNATURAS'!X147)</f>
        <v/>
      </c>
      <c r="P123" s="244" t="str">
        <f>IF('ASIGNACIÓN ASIGNATURAS'!Y147="","",'ASIGNACIÓN ASIGNATURAS'!Y147)</f>
        <v/>
      </c>
      <c r="Q123" s="244" t="str">
        <f>IF('ASIGNACIÓN ASIGNATURAS'!Z147="","",'ASIGNACIÓN ASIGNATURAS'!Z147)</f>
        <v/>
      </c>
      <c r="R123" s="244" t="str">
        <f>IF('ASIGNACIÓN ASIGNATURAS'!AA147="","",'ASIGNACIÓN ASIGNATURAS'!AA147)</f>
        <v/>
      </c>
      <c r="S123" s="244" t="str">
        <f>IF('ASIGNACIÓN ASIGNATURAS'!AB147="","",'ASIGNACIÓN ASIGNATURAS'!AB147)</f>
        <v/>
      </c>
    </row>
    <row r="124" spans="1:19" x14ac:dyDescent="0.3">
      <c r="A124" s="290" t="str">
        <f>IF('ASIGNACIÓN ASIGNATURAS'!J12="","",'ASIGNACIÓN ASIGNATURAS'!J12)</f>
        <v/>
      </c>
      <c r="B124" s="290" t="str">
        <f>IF('ASIGNACIÓN ASIGNATURAS'!K12="","",'ASIGNACIÓN ASIGNATURAS'!K12)</f>
        <v/>
      </c>
      <c r="C124" s="290" t="str">
        <f>IF('ASIGNACIÓN ASIGNATURAS'!L12="","",'ASIGNACIÓN ASIGNATURAS'!L12)</f>
        <v/>
      </c>
      <c r="D124" s="290" t="str">
        <f>IF('ASIGNACIÓN ASIGNATURAS'!M12="","",'ASIGNACIÓN ASIGNATURAS'!M12)</f>
        <v/>
      </c>
      <c r="E124" s="290" t="str">
        <f>IF('ASIGNACIÓN ASIGNATURAS'!N12="","",'ASIGNACIÓN ASIGNATURAS'!N12)</f>
        <v/>
      </c>
      <c r="F124" s="290" t="str">
        <f>IF('ASIGNACIÓN ASIGNATURAS'!O12="","",'ASIGNACIÓN ASIGNATURAS'!O12)</f>
        <v/>
      </c>
      <c r="G124" s="290" t="str">
        <f>IF('ASIGNACIÓN ASIGNATURAS'!P12="","",'ASIGNACIÓN ASIGNATURAS'!P12)</f>
        <v/>
      </c>
      <c r="H124" s="290" t="str">
        <f>IF('ASIGNACIÓN ASIGNATURAS'!T12="","",'ASIGNACIÓN ASIGNATURAS'!T12)</f>
        <v/>
      </c>
      <c r="I124" s="290" t="str">
        <f>IF('ASIGNACIÓN ASIGNATURAS'!U12="","",'ASIGNACIÓN ASIGNATURAS'!U12)</f>
        <v/>
      </c>
      <c r="J124" s="290" t="str">
        <f>IF('ASIGNACIÓN ASIGNATURAS'!V12="","",'ASIGNACIÓN ASIGNATURAS'!V12)</f>
        <v/>
      </c>
      <c r="K124" s="301" t="str">
        <f>IF('ASIGNACIÓN ASIGNATURAS'!S12="","",'ASIGNACIÓN ASIGNATURAS'!S12)</f>
        <v/>
      </c>
      <c r="L124" s="244" t="str">
        <f>IF('ASIGNACIÓN ASIGNATURAS'!Q12="","",'ASIGNACIÓN ASIGNATURAS'!Q12)</f>
        <v/>
      </c>
      <c r="M124" s="244" t="str">
        <f>IF('ASIGNACIÓN ASIGNATURAS'!R12="","",'ASIGNACIÓN ASIGNATURAS'!R12)</f>
        <v/>
      </c>
      <c r="N124" s="244" t="str">
        <f>IF('ASIGNACIÓN ASIGNATURAS'!W12="","",'ASIGNACIÓN ASIGNATURAS'!W12)</f>
        <v/>
      </c>
      <c r="O124" s="244" t="str">
        <f>IF('ASIGNACIÓN ASIGNATURAS'!X12="","",'ASIGNACIÓN ASIGNATURAS'!X12)</f>
        <v/>
      </c>
      <c r="P124" s="244" t="str">
        <f>IF('ASIGNACIÓN ASIGNATURAS'!Y12="","",'ASIGNACIÓN ASIGNATURAS'!Y12)</f>
        <v/>
      </c>
      <c r="Q124" s="244" t="str">
        <f>IF('ASIGNACIÓN ASIGNATURAS'!Z12="","",'ASIGNACIÓN ASIGNATURAS'!Z12)</f>
        <v/>
      </c>
      <c r="R124" s="244" t="str">
        <f>IF('ASIGNACIÓN ASIGNATURAS'!AA12="","",'ASIGNACIÓN ASIGNATURAS'!AA12)</f>
        <v/>
      </c>
      <c r="S124" s="244" t="str">
        <f>IF('ASIGNACIÓN ASIGNATURAS'!AB12="","",'ASIGNACIÓN ASIGNATURAS'!AB12)</f>
        <v/>
      </c>
    </row>
    <row r="125" spans="1:19" x14ac:dyDescent="0.3">
      <c r="A125" s="290" t="str">
        <f>IF('ASIGNACIÓN ASIGNATURAS'!J104="","",'ASIGNACIÓN ASIGNATURAS'!J104)</f>
        <v/>
      </c>
      <c r="B125" s="290" t="str">
        <f>IF('ASIGNACIÓN ASIGNATURAS'!K104="","",'ASIGNACIÓN ASIGNATURAS'!K104)</f>
        <v/>
      </c>
      <c r="C125" s="290" t="str">
        <f>IF('ASIGNACIÓN ASIGNATURAS'!L104="","",'ASIGNACIÓN ASIGNATURAS'!L104)</f>
        <v/>
      </c>
      <c r="D125" s="290" t="str">
        <f>IF('ASIGNACIÓN ASIGNATURAS'!M104="","",'ASIGNACIÓN ASIGNATURAS'!M104)</f>
        <v/>
      </c>
      <c r="E125" s="290" t="str">
        <f>IF('ASIGNACIÓN ASIGNATURAS'!N104="","",'ASIGNACIÓN ASIGNATURAS'!N104)</f>
        <v/>
      </c>
      <c r="F125" s="290" t="str">
        <f>IF('ASIGNACIÓN ASIGNATURAS'!O104="","",'ASIGNACIÓN ASIGNATURAS'!O104)</f>
        <v/>
      </c>
      <c r="G125" s="290" t="str">
        <f>IF('ASIGNACIÓN ASIGNATURAS'!P104="","",'ASIGNACIÓN ASIGNATURAS'!P104)</f>
        <v/>
      </c>
      <c r="H125" s="290" t="str">
        <f>IF('ASIGNACIÓN ASIGNATURAS'!T104="","",'ASIGNACIÓN ASIGNATURAS'!T104)</f>
        <v/>
      </c>
      <c r="I125" s="290" t="str">
        <f>IF('ASIGNACIÓN ASIGNATURAS'!U104="","",'ASIGNACIÓN ASIGNATURAS'!U104)</f>
        <v/>
      </c>
      <c r="J125" s="290" t="str">
        <f>IF('ASIGNACIÓN ASIGNATURAS'!V104="","",'ASIGNACIÓN ASIGNATURAS'!V104)</f>
        <v/>
      </c>
      <c r="K125" s="301" t="str">
        <f>IF('ASIGNACIÓN ASIGNATURAS'!S104="","",'ASIGNACIÓN ASIGNATURAS'!S104)</f>
        <v/>
      </c>
      <c r="L125" s="244" t="str">
        <f>IF('ASIGNACIÓN ASIGNATURAS'!Q104="","",'ASIGNACIÓN ASIGNATURAS'!Q104)</f>
        <v/>
      </c>
      <c r="M125" s="244" t="str">
        <f>IF('ASIGNACIÓN ASIGNATURAS'!R104="","",'ASIGNACIÓN ASIGNATURAS'!R104)</f>
        <v/>
      </c>
      <c r="N125" s="244" t="str">
        <f>IF('ASIGNACIÓN ASIGNATURAS'!W104="","",'ASIGNACIÓN ASIGNATURAS'!W104)</f>
        <v/>
      </c>
      <c r="O125" s="244" t="str">
        <f>IF('ASIGNACIÓN ASIGNATURAS'!X104="","",'ASIGNACIÓN ASIGNATURAS'!X104)</f>
        <v/>
      </c>
      <c r="P125" s="244" t="str">
        <f>IF('ASIGNACIÓN ASIGNATURAS'!Y104="","",'ASIGNACIÓN ASIGNATURAS'!Y104)</f>
        <v/>
      </c>
      <c r="Q125" s="244" t="str">
        <f>IF('ASIGNACIÓN ASIGNATURAS'!Z104="","",'ASIGNACIÓN ASIGNATURAS'!Z104)</f>
        <v/>
      </c>
      <c r="R125" s="244" t="str">
        <f>IF('ASIGNACIÓN ASIGNATURAS'!AA104="","",'ASIGNACIÓN ASIGNATURAS'!AA104)</f>
        <v/>
      </c>
      <c r="S125" s="244" t="str">
        <f>IF('ASIGNACIÓN ASIGNATURAS'!AB104="","",'ASIGNACIÓN ASIGNATURAS'!AB104)</f>
        <v/>
      </c>
    </row>
    <row r="126" spans="1:19" x14ac:dyDescent="0.3">
      <c r="A126" s="290" t="str">
        <f>IF('ASIGNACIÓN ASIGNATURAS'!J124="","",'ASIGNACIÓN ASIGNATURAS'!J124)</f>
        <v/>
      </c>
      <c r="B126" s="290" t="str">
        <f>IF('ASIGNACIÓN ASIGNATURAS'!K124="","",'ASIGNACIÓN ASIGNATURAS'!K124)</f>
        <v/>
      </c>
      <c r="C126" s="290" t="str">
        <f>IF('ASIGNACIÓN ASIGNATURAS'!L124="","",'ASIGNACIÓN ASIGNATURAS'!L124)</f>
        <v/>
      </c>
      <c r="D126" s="290" t="str">
        <f>IF('ASIGNACIÓN ASIGNATURAS'!M124="","",'ASIGNACIÓN ASIGNATURAS'!M124)</f>
        <v/>
      </c>
      <c r="E126" s="290" t="str">
        <f>IF('ASIGNACIÓN ASIGNATURAS'!N124="","",'ASIGNACIÓN ASIGNATURAS'!N124)</f>
        <v/>
      </c>
      <c r="F126" s="290" t="str">
        <f>IF('ASIGNACIÓN ASIGNATURAS'!O124="","",'ASIGNACIÓN ASIGNATURAS'!O124)</f>
        <v/>
      </c>
      <c r="G126" s="290" t="str">
        <f>IF('ASIGNACIÓN ASIGNATURAS'!P124="","",'ASIGNACIÓN ASIGNATURAS'!P124)</f>
        <v/>
      </c>
      <c r="H126" s="290" t="str">
        <f>IF('ASIGNACIÓN ASIGNATURAS'!T124="","",'ASIGNACIÓN ASIGNATURAS'!T124)</f>
        <v/>
      </c>
      <c r="I126" s="290" t="str">
        <f>IF('ASIGNACIÓN ASIGNATURAS'!U124="","",'ASIGNACIÓN ASIGNATURAS'!U124)</f>
        <v/>
      </c>
      <c r="J126" s="290" t="str">
        <f>IF('ASIGNACIÓN ASIGNATURAS'!V124="","",'ASIGNACIÓN ASIGNATURAS'!V124)</f>
        <v/>
      </c>
      <c r="K126" s="301" t="str">
        <f>IF('ASIGNACIÓN ASIGNATURAS'!S124="","",'ASIGNACIÓN ASIGNATURAS'!S124)</f>
        <v/>
      </c>
      <c r="L126" s="244" t="str">
        <f>IF('ASIGNACIÓN ASIGNATURAS'!Q124="","",'ASIGNACIÓN ASIGNATURAS'!Q124)</f>
        <v/>
      </c>
      <c r="M126" s="244" t="str">
        <f>IF('ASIGNACIÓN ASIGNATURAS'!R124="","",'ASIGNACIÓN ASIGNATURAS'!R124)</f>
        <v/>
      </c>
      <c r="N126" s="244" t="str">
        <f>IF('ASIGNACIÓN ASIGNATURAS'!W124="","",'ASIGNACIÓN ASIGNATURAS'!W124)</f>
        <v/>
      </c>
      <c r="O126" s="244" t="str">
        <f>IF('ASIGNACIÓN ASIGNATURAS'!X124="","",'ASIGNACIÓN ASIGNATURAS'!X124)</f>
        <v/>
      </c>
      <c r="P126" s="244" t="str">
        <f>IF('ASIGNACIÓN ASIGNATURAS'!Y124="","",'ASIGNACIÓN ASIGNATURAS'!Y124)</f>
        <v/>
      </c>
      <c r="Q126" s="244" t="str">
        <f>IF('ASIGNACIÓN ASIGNATURAS'!Z124="","",'ASIGNACIÓN ASIGNATURAS'!Z124)</f>
        <v/>
      </c>
      <c r="R126" s="244" t="str">
        <f>IF('ASIGNACIÓN ASIGNATURAS'!AA124="","",'ASIGNACIÓN ASIGNATURAS'!AA124)</f>
        <v/>
      </c>
      <c r="S126" s="244" t="str">
        <f>IF('ASIGNACIÓN ASIGNATURAS'!AB124="","",'ASIGNACIÓN ASIGNATURAS'!AB124)</f>
        <v/>
      </c>
    </row>
    <row r="127" spans="1:19" x14ac:dyDescent="0.3">
      <c r="A127" s="290" t="str">
        <f>IF('ASIGNACIÓN ASIGNATURAS'!J58="","",'ASIGNACIÓN ASIGNATURAS'!J58)</f>
        <v/>
      </c>
      <c r="B127" s="290" t="str">
        <f>IF('ASIGNACIÓN ASIGNATURAS'!K58="","",'ASIGNACIÓN ASIGNATURAS'!K58)</f>
        <v/>
      </c>
      <c r="C127" s="290" t="str">
        <f>IF('ASIGNACIÓN ASIGNATURAS'!L58="","",'ASIGNACIÓN ASIGNATURAS'!L58)</f>
        <v/>
      </c>
      <c r="D127" s="290" t="str">
        <f>IF('ASIGNACIÓN ASIGNATURAS'!M58="","",'ASIGNACIÓN ASIGNATURAS'!M58)</f>
        <v/>
      </c>
      <c r="E127" s="290" t="str">
        <f>IF('ASIGNACIÓN ASIGNATURAS'!N58="","",'ASIGNACIÓN ASIGNATURAS'!N58)</f>
        <v/>
      </c>
      <c r="F127" s="290" t="str">
        <f>IF('ASIGNACIÓN ASIGNATURAS'!O58="","",'ASIGNACIÓN ASIGNATURAS'!O58)</f>
        <v/>
      </c>
      <c r="G127" s="290" t="str">
        <f>IF('ASIGNACIÓN ASIGNATURAS'!P58="","",'ASIGNACIÓN ASIGNATURAS'!P58)</f>
        <v/>
      </c>
      <c r="H127" s="290" t="str">
        <f>IF('ASIGNACIÓN ASIGNATURAS'!T58="","",'ASIGNACIÓN ASIGNATURAS'!T58)</f>
        <v/>
      </c>
      <c r="I127" s="290" t="str">
        <f>IF('ASIGNACIÓN ASIGNATURAS'!U58="","",'ASIGNACIÓN ASIGNATURAS'!U58)</f>
        <v/>
      </c>
      <c r="J127" s="290" t="str">
        <f>IF('ASIGNACIÓN ASIGNATURAS'!V58="","",'ASIGNACIÓN ASIGNATURAS'!V58)</f>
        <v/>
      </c>
      <c r="K127" s="301" t="str">
        <f>IF('ASIGNACIÓN ASIGNATURAS'!S58="","",'ASIGNACIÓN ASIGNATURAS'!S58)</f>
        <v/>
      </c>
      <c r="L127" s="244" t="str">
        <f>IF('ASIGNACIÓN ASIGNATURAS'!Q58="","",'ASIGNACIÓN ASIGNATURAS'!Q58)</f>
        <v/>
      </c>
      <c r="M127" s="244" t="str">
        <f>IF('ASIGNACIÓN ASIGNATURAS'!R58="","",'ASIGNACIÓN ASIGNATURAS'!R58)</f>
        <v/>
      </c>
      <c r="N127" s="244" t="str">
        <f>IF('ASIGNACIÓN ASIGNATURAS'!W58="","",'ASIGNACIÓN ASIGNATURAS'!W58)</f>
        <v/>
      </c>
      <c r="O127" s="244" t="str">
        <f>IF('ASIGNACIÓN ASIGNATURAS'!X58="","",'ASIGNACIÓN ASIGNATURAS'!X58)</f>
        <v/>
      </c>
      <c r="P127" s="244" t="str">
        <f>IF('ASIGNACIÓN ASIGNATURAS'!Y58="","",'ASIGNACIÓN ASIGNATURAS'!Y58)</f>
        <v/>
      </c>
      <c r="Q127" s="244" t="str">
        <f>IF('ASIGNACIÓN ASIGNATURAS'!Z58="","",'ASIGNACIÓN ASIGNATURAS'!Z58)</f>
        <v/>
      </c>
      <c r="R127" s="244" t="str">
        <f>IF('ASIGNACIÓN ASIGNATURAS'!AA58="","",'ASIGNACIÓN ASIGNATURAS'!AA58)</f>
        <v/>
      </c>
      <c r="S127" s="244" t="str">
        <f>IF('ASIGNACIÓN ASIGNATURAS'!AB58="","",'ASIGNACIÓN ASIGNATURAS'!AB58)</f>
        <v/>
      </c>
    </row>
    <row r="128" spans="1:19" x14ac:dyDescent="0.3">
      <c r="A128" s="290" t="str">
        <f>IF('ASIGNACIÓN ASIGNATURAS'!J78="","",'ASIGNACIÓN ASIGNATURAS'!J78)</f>
        <v/>
      </c>
      <c r="B128" s="290" t="str">
        <f>IF('ASIGNACIÓN ASIGNATURAS'!K78="","",'ASIGNACIÓN ASIGNATURAS'!K78)</f>
        <v/>
      </c>
      <c r="C128" s="290" t="str">
        <f>IF('ASIGNACIÓN ASIGNATURAS'!L78="","",'ASIGNACIÓN ASIGNATURAS'!L78)</f>
        <v/>
      </c>
      <c r="D128" s="290" t="str">
        <f>IF('ASIGNACIÓN ASIGNATURAS'!M78="","",'ASIGNACIÓN ASIGNATURAS'!M78)</f>
        <v/>
      </c>
      <c r="E128" s="290" t="str">
        <f>IF('ASIGNACIÓN ASIGNATURAS'!N78="","",'ASIGNACIÓN ASIGNATURAS'!N78)</f>
        <v/>
      </c>
      <c r="F128" s="290" t="str">
        <f>IF('ASIGNACIÓN ASIGNATURAS'!O78="","",'ASIGNACIÓN ASIGNATURAS'!O78)</f>
        <v/>
      </c>
      <c r="G128" s="290" t="str">
        <f>IF('ASIGNACIÓN ASIGNATURAS'!P78="","",'ASIGNACIÓN ASIGNATURAS'!P78)</f>
        <v/>
      </c>
      <c r="H128" s="290" t="str">
        <f>IF('ASIGNACIÓN ASIGNATURAS'!T78="","",'ASIGNACIÓN ASIGNATURAS'!T78)</f>
        <v/>
      </c>
      <c r="I128" s="290" t="str">
        <f>IF('ASIGNACIÓN ASIGNATURAS'!U78="","",'ASIGNACIÓN ASIGNATURAS'!U78)</f>
        <v/>
      </c>
      <c r="J128" s="290" t="str">
        <f>IF('ASIGNACIÓN ASIGNATURAS'!V78="","",'ASIGNACIÓN ASIGNATURAS'!V78)</f>
        <v/>
      </c>
      <c r="K128" s="301" t="str">
        <f>IF('ASIGNACIÓN ASIGNATURAS'!S78="","",'ASIGNACIÓN ASIGNATURAS'!S78)</f>
        <v/>
      </c>
      <c r="L128" s="244" t="str">
        <f>IF('ASIGNACIÓN ASIGNATURAS'!Q78="","",'ASIGNACIÓN ASIGNATURAS'!Q78)</f>
        <v/>
      </c>
      <c r="M128" s="244" t="str">
        <f>IF('ASIGNACIÓN ASIGNATURAS'!R78="","",'ASIGNACIÓN ASIGNATURAS'!R78)</f>
        <v/>
      </c>
      <c r="N128" s="244" t="str">
        <f>IF('ASIGNACIÓN ASIGNATURAS'!W78="","",'ASIGNACIÓN ASIGNATURAS'!W78)</f>
        <v/>
      </c>
      <c r="O128" s="244" t="str">
        <f>IF('ASIGNACIÓN ASIGNATURAS'!X78="","",'ASIGNACIÓN ASIGNATURAS'!X78)</f>
        <v/>
      </c>
      <c r="P128" s="244" t="str">
        <f>IF('ASIGNACIÓN ASIGNATURAS'!Y78="","",'ASIGNACIÓN ASIGNATURAS'!Y78)</f>
        <v/>
      </c>
      <c r="Q128" s="244" t="str">
        <f>IF('ASIGNACIÓN ASIGNATURAS'!Z78="","",'ASIGNACIÓN ASIGNATURAS'!Z78)</f>
        <v/>
      </c>
      <c r="R128" s="244" t="str">
        <f>IF('ASIGNACIÓN ASIGNATURAS'!AA78="","",'ASIGNACIÓN ASIGNATURAS'!AA78)</f>
        <v/>
      </c>
      <c r="S128" s="244" t="str">
        <f>IF('ASIGNACIÓN ASIGNATURAS'!AB78="","",'ASIGNACIÓN ASIGNATURAS'!AB78)</f>
        <v/>
      </c>
    </row>
    <row r="129" spans="1:19" x14ac:dyDescent="0.3">
      <c r="A129" s="290" t="str">
        <f>IF('ASIGNACIÓN ASIGNATURAS'!J150="","",'ASIGNACIÓN ASIGNATURAS'!J150)</f>
        <v/>
      </c>
      <c r="B129" s="290" t="str">
        <f>IF('ASIGNACIÓN ASIGNATURAS'!K150="","",'ASIGNACIÓN ASIGNATURAS'!K150)</f>
        <v/>
      </c>
      <c r="C129" s="290" t="str">
        <f>IF('ASIGNACIÓN ASIGNATURAS'!L150="","",'ASIGNACIÓN ASIGNATURAS'!L150)</f>
        <v/>
      </c>
      <c r="D129" s="290" t="str">
        <f>IF('ASIGNACIÓN ASIGNATURAS'!M150="","",'ASIGNACIÓN ASIGNATURAS'!M150)</f>
        <v/>
      </c>
      <c r="E129" s="290" t="str">
        <f>IF('ASIGNACIÓN ASIGNATURAS'!N150="","",'ASIGNACIÓN ASIGNATURAS'!N150)</f>
        <v/>
      </c>
      <c r="F129" s="290" t="str">
        <f>IF('ASIGNACIÓN ASIGNATURAS'!O150="","",'ASIGNACIÓN ASIGNATURAS'!O150)</f>
        <v/>
      </c>
      <c r="G129" s="290" t="str">
        <f>IF('ASIGNACIÓN ASIGNATURAS'!P150="","",'ASIGNACIÓN ASIGNATURAS'!P150)</f>
        <v/>
      </c>
      <c r="H129" s="290" t="str">
        <f>IF('ASIGNACIÓN ASIGNATURAS'!T150="","",'ASIGNACIÓN ASIGNATURAS'!T150)</f>
        <v/>
      </c>
      <c r="I129" s="290" t="str">
        <f>IF('ASIGNACIÓN ASIGNATURAS'!U150="","",'ASIGNACIÓN ASIGNATURAS'!U150)</f>
        <v/>
      </c>
      <c r="J129" s="290" t="str">
        <f>IF('ASIGNACIÓN ASIGNATURAS'!V150="","",'ASIGNACIÓN ASIGNATURAS'!V150)</f>
        <v/>
      </c>
      <c r="K129" s="301" t="str">
        <f>IF('ASIGNACIÓN ASIGNATURAS'!S150="","",'ASIGNACIÓN ASIGNATURAS'!S150)</f>
        <v/>
      </c>
      <c r="L129" s="244" t="str">
        <f>IF('ASIGNACIÓN ASIGNATURAS'!Q150="","",'ASIGNACIÓN ASIGNATURAS'!Q150)</f>
        <v/>
      </c>
      <c r="M129" s="244" t="str">
        <f>IF('ASIGNACIÓN ASIGNATURAS'!R150="","",'ASIGNACIÓN ASIGNATURAS'!R150)</f>
        <v/>
      </c>
      <c r="N129" s="244" t="str">
        <f>IF('ASIGNACIÓN ASIGNATURAS'!W150="","",'ASIGNACIÓN ASIGNATURAS'!W150)</f>
        <v/>
      </c>
      <c r="O129" s="244" t="str">
        <f>IF('ASIGNACIÓN ASIGNATURAS'!X150="","",'ASIGNACIÓN ASIGNATURAS'!X150)</f>
        <v/>
      </c>
      <c r="P129" s="244" t="str">
        <f>IF('ASIGNACIÓN ASIGNATURAS'!Y150="","",'ASIGNACIÓN ASIGNATURAS'!Y150)</f>
        <v/>
      </c>
      <c r="Q129" s="244" t="str">
        <f>IF('ASIGNACIÓN ASIGNATURAS'!Z150="","",'ASIGNACIÓN ASIGNATURAS'!Z150)</f>
        <v/>
      </c>
      <c r="R129" s="244" t="str">
        <f>IF('ASIGNACIÓN ASIGNATURAS'!AA150="","",'ASIGNACIÓN ASIGNATURAS'!AA150)</f>
        <v/>
      </c>
      <c r="S129" s="244" t="str">
        <f>IF('ASIGNACIÓN ASIGNATURAS'!AB150="","",'ASIGNACIÓN ASIGNATURAS'!AB150)</f>
        <v/>
      </c>
    </row>
    <row r="130" spans="1:19" x14ac:dyDescent="0.3">
      <c r="A130" s="290" t="str">
        <f>IF('ASIGNACIÓN ASIGNATURAS'!J32="","",'ASIGNACIÓN ASIGNATURAS'!J32)</f>
        <v/>
      </c>
      <c r="B130" s="290" t="str">
        <f>IF('ASIGNACIÓN ASIGNATURAS'!K32="","",'ASIGNACIÓN ASIGNATURAS'!K32)</f>
        <v/>
      </c>
      <c r="C130" s="290" t="str">
        <f>IF('ASIGNACIÓN ASIGNATURAS'!L32="","",'ASIGNACIÓN ASIGNATURAS'!L32)</f>
        <v/>
      </c>
      <c r="D130" s="290" t="str">
        <f>IF('ASIGNACIÓN ASIGNATURAS'!M32="","",'ASIGNACIÓN ASIGNATURAS'!M32)</f>
        <v/>
      </c>
      <c r="E130" s="290" t="str">
        <f>IF('ASIGNACIÓN ASIGNATURAS'!N32="","",'ASIGNACIÓN ASIGNATURAS'!N32)</f>
        <v/>
      </c>
      <c r="F130" s="290" t="str">
        <f>IF('ASIGNACIÓN ASIGNATURAS'!O32="","",'ASIGNACIÓN ASIGNATURAS'!O32)</f>
        <v/>
      </c>
      <c r="G130" s="290" t="str">
        <f>IF('ASIGNACIÓN ASIGNATURAS'!P32="","",'ASIGNACIÓN ASIGNATURAS'!P32)</f>
        <v/>
      </c>
      <c r="H130" s="290" t="str">
        <f>IF('ASIGNACIÓN ASIGNATURAS'!T32="","",'ASIGNACIÓN ASIGNATURAS'!T32)</f>
        <v/>
      </c>
      <c r="I130" s="290" t="str">
        <f>IF('ASIGNACIÓN ASIGNATURAS'!U32="","",'ASIGNACIÓN ASIGNATURAS'!U32)</f>
        <v/>
      </c>
      <c r="J130" s="290" t="str">
        <f>IF('ASIGNACIÓN ASIGNATURAS'!V32="","",'ASIGNACIÓN ASIGNATURAS'!V32)</f>
        <v/>
      </c>
      <c r="K130" s="301" t="str">
        <f>IF('ASIGNACIÓN ASIGNATURAS'!S32="","",'ASIGNACIÓN ASIGNATURAS'!S32)</f>
        <v/>
      </c>
      <c r="L130" s="244" t="str">
        <f>IF('ASIGNACIÓN ASIGNATURAS'!Q32="","",'ASIGNACIÓN ASIGNATURAS'!Q32)</f>
        <v/>
      </c>
      <c r="M130" s="244" t="str">
        <f>IF('ASIGNACIÓN ASIGNATURAS'!R32="","",'ASIGNACIÓN ASIGNATURAS'!R32)</f>
        <v/>
      </c>
      <c r="N130" s="244" t="str">
        <f>IF('ASIGNACIÓN ASIGNATURAS'!W32="","",'ASIGNACIÓN ASIGNATURAS'!W32)</f>
        <v/>
      </c>
      <c r="O130" s="244" t="str">
        <f>IF('ASIGNACIÓN ASIGNATURAS'!X32="","",'ASIGNACIÓN ASIGNATURAS'!X32)</f>
        <v/>
      </c>
      <c r="P130" s="244" t="str">
        <f>IF('ASIGNACIÓN ASIGNATURAS'!Y32="","",'ASIGNACIÓN ASIGNATURAS'!Y32)</f>
        <v/>
      </c>
      <c r="Q130" s="244" t="str">
        <f>IF('ASIGNACIÓN ASIGNATURAS'!Z32="","",'ASIGNACIÓN ASIGNATURAS'!Z32)</f>
        <v/>
      </c>
      <c r="R130" s="244" t="str">
        <f>IF('ASIGNACIÓN ASIGNATURAS'!AA32="","",'ASIGNACIÓN ASIGNATURAS'!AA32)</f>
        <v/>
      </c>
      <c r="S130" s="244" t="str">
        <f>IF('ASIGNACIÓN ASIGNATURAS'!AB32="","",'ASIGNACIÓN ASIGNATURAS'!AB32)</f>
        <v/>
      </c>
    </row>
    <row r="131" spans="1:19" x14ac:dyDescent="0.3">
      <c r="A131" s="290" t="str">
        <f>IF('ASIGNACIÓN ASIGNATURAS'!J9="","",'ASIGNACIÓN ASIGNATURAS'!J9)</f>
        <v/>
      </c>
      <c r="B131" s="290" t="str">
        <f>IF('ASIGNACIÓN ASIGNATURAS'!K9="","",'ASIGNACIÓN ASIGNATURAS'!K9)</f>
        <v/>
      </c>
      <c r="C131" s="290" t="str">
        <f>IF('ASIGNACIÓN ASIGNATURAS'!L9="","",'ASIGNACIÓN ASIGNATURAS'!L9)</f>
        <v/>
      </c>
      <c r="D131" s="290" t="str">
        <f>IF('ASIGNACIÓN ASIGNATURAS'!M9="","",'ASIGNACIÓN ASIGNATURAS'!M9)</f>
        <v/>
      </c>
      <c r="E131" s="290" t="str">
        <f>IF('ASIGNACIÓN ASIGNATURAS'!N9="","",'ASIGNACIÓN ASIGNATURAS'!N9)</f>
        <v/>
      </c>
      <c r="F131" s="290" t="str">
        <f>IF('ASIGNACIÓN ASIGNATURAS'!O9="","",'ASIGNACIÓN ASIGNATURAS'!O9)</f>
        <v/>
      </c>
      <c r="G131" s="290" t="str">
        <f>IF('ASIGNACIÓN ASIGNATURAS'!P9="","",'ASIGNACIÓN ASIGNATURAS'!P9)</f>
        <v/>
      </c>
      <c r="H131" s="290" t="str">
        <f>IF('ASIGNACIÓN ASIGNATURAS'!T9="","",'ASIGNACIÓN ASIGNATURAS'!T9)</f>
        <v/>
      </c>
      <c r="I131" s="290" t="str">
        <f>IF('ASIGNACIÓN ASIGNATURAS'!U9="","",'ASIGNACIÓN ASIGNATURAS'!U9)</f>
        <v/>
      </c>
      <c r="J131" s="290" t="str">
        <f>IF('ASIGNACIÓN ASIGNATURAS'!V9="","",'ASIGNACIÓN ASIGNATURAS'!V9)</f>
        <v/>
      </c>
      <c r="K131" s="301" t="str">
        <f>IF('ASIGNACIÓN ASIGNATURAS'!S9="","",'ASIGNACIÓN ASIGNATURAS'!S9)</f>
        <v/>
      </c>
      <c r="L131" s="244" t="str">
        <f>IF('ASIGNACIÓN ASIGNATURAS'!Q9="","",'ASIGNACIÓN ASIGNATURAS'!Q9)</f>
        <v/>
      </c>
      <c r="M131" s="244" t="str">
        <f>IF('ASIGNACIÓN ASIGNATURAS'!R9="","",'ASIGNACIÓN ASIGNATURAS'!R9)</f>
        <v/>
      </c>
      <c r="N131" s="244" t="str">
        <f>IF('ASIGNACIÓN ASIGNATURAS'!W9="","",'ASIGNACIÓN ASIGNATURAS'!W9)</f>
        <v/>
      </c>
      <c r="O131" s="244" t="str">
        <f>IF('ASIGNACIÓN ASIGNATURAS'!X9="","",'ASIGNACIÓN ASIGNATURAS'!X9)</f>
        <v/>
      </c>
      <c r="P131" s="244" t="str">
        <f>IF('ASIGNACIÓN ASIGNATURAS'!Y9="","",'ASIGNACIÓN ASIGNATURAS'!Y9)</f>
        <v/>
      </c>
      <c r="Q131" s="244" t="str">
        <f>IF('ASIGNACIÓN ASIGNATURAS'!Z9="","",'ASIGNACIÓN ASIGNATURAS'!Z9)</f>
        <v/>
      </c>
      <c r="R131" s="244" t="str">
        <f>IF('ASIGNACIÓN ASIGNATURAS'!AA9="","",'ASIGNACIÓN ASIGNATURAS'!AA9)</f>
        <v/>
      </c>
      <c r="S131" s="244" t="str">
        <f>IF('ASIGNACIÓN ASIGNATURAS'!AB9="","",'ASIGNACIÓN ASIGNATURAS'!AB9)</f>
        <v/>
      </c>
    </row>
    <row r="132" spans="1:19" x14ac:dyDescent="0.3">
      <c r="A132" s="290" t="str">
        <f>IF('ASIGNACIÓN ASIGNATURAS'!J162="","",'ASIGNACIÓN ASIGNATURAS'!J162)</f>
        <v/>
      </c>
      <c r="B132" s="290" t="str">
        <f>IF('ASIGNACIÓN ASIGNATURAS'!K162="","",'ASIGNACIÓN ASIGNATURAS'!K162)</f>
        <v/>
      </c>
      <c r="C132" s="290" t="str">
        <f>IF('ASIGNACIÓN ASIGNATURAS'!L162="","",'ASIGNACIÓN ASIGNATURAS'!L162)</f>
        <v/>
      </c>
      <c r="D132" s="290" t="str">
        <f>IF('ASIGNACIÓN ASIGNATURAS'!M162="","",'ASIGNACIÓN ASIGNATURAS'!M162)</f>
        <v/>
      </c>
      <c r="E132" s="290" t="str">
        <f>IF('ASIGNACIÓN ASIGNATURAS'!N162="","",'ASIGNACIÓN ASIGNATURAS'!N162)</f>
        <v/>
      </c>
      <c r="F132" s="290" t="str">
        <f>IF('ASIGNACIÓN ASIGNATURAS'!O162="","",'ASIGNACIÓN ASIGNATURAS'!O162)</f>
        <v/>
      </c>
      <c r="G132" s="290" t="str">
        <f>IF('ASIGNACIÓN ASIGNATURAS'!P162="","",'ASIGNACIÓN ASIGNATURAS'!P162)</f>
        <v/>
      </c>
      <c r="H132" s="290" t="str">
        <f>IF('ASIGNACIÓN ASIGNATURAS'!T162="","",'ASIGNACIÓN ASIGNATURAS'!T162)</f>
        <v/>
      </c>
      <c r="I132" s="290" t="str">
        <f>IF('ASIGNACIÓN ASIGNATURAS'!U162="","",'ASIGNACIÓN ASIGNATURAS'!U162)</f>
        <v/>
      </c>
      <c r="J132" s="290" t="str">
        <f>IF('ASIGNACIÓN ASIGNATURAS'!V162="","",'ASIGNACIÓN ASIGNATURAS'!V162)</f>
        <v/>
      </c>
      <c r="K132" s="301" t="str">
        <f>IF('ASIGNACIÓN ASIGNATURAS'!S162="","",'ASIGNACIÓN ASIGNATURAS'!S162)</f>
        <v/>
      </c>
      <c r="L132" s="244" t="str">
        <f>IF('ASIGNACIÓN ASIGNATURAS'!Q162="","",'ASIGNACIÓN ASIGNATURAS'!Q162)</f>
        <v/>
      </c>
      <c r="M132" s="244" t="str">
        <f>IF('ASIGNACIÓN ASIGNATURAS'!R162="","",'ASIGNACIÓN ASIGNATURAS'!R162)</f>
        <v/>
      </c>
      <c r="N132" s="244" t="str">
        <f>IF('ASIGNACIÓN ASIGNATURAS'!W162="","",'ASIGNACIÓN ASIGNATURAS'!W162)</f>
        <v/>
      </c>
      <c r="O132" s="244" t="str">
        <f>IF('ASIGNACIÓN ASIGNATURAS'!X162="","",'ASIGNACIÓN ASIGNATURAS'!X162)</f>
        <v/>
      </c>
      <c r="P132" s="244" t="str">
        <f>IF('ASIGNACIÓN ASIGNATURAS'!Y162="","",'ASIGNACIÓN ASIGNATURAS'!Y162)</f>
        <v/>
      </c>
      <c r="Q132" s="244" t="str">
        <f>IF('ASIGNACIÓN ASIGNATURAS'!Z162="","",'ASIGNACIÓN ASIGNATURAS'!Z162)</f>
        <v/>
      </c>
      <c r="R132" s="244" t="str">
        <f>IF('ASIGNACIÓN ASIGNATURAS'!AA162="","",'ASIGNACIÓN ASIGNATURAS'!AA162)</f>
        <v/>
      </c>
      <c r="S132" s="244" t="str">
        <f>IF('ASIGNACIÓN ASIGNATURAS'!AB162="","",'ASIGNACIÓN ASIGNATURAS'!AB162)</f>
        <v/>
      </c>
    </row>
    <row r="133" spans="1:19" x14ac:dyDescent="0.3">
      <c r="A133" s="290" t="str">
        <f>IF('ASIGNACIÓN ASIGNATURAS'!J93="","",'ASIGNACIÓN ASIGNATURAS'!J93)</f>
        <v/>
      </c>
      <c r="B133" s="290" t="str">
        <f>IF('ASIGNACIÓN ASIGNATURAS'!K93="","",'ASIGNACIÓN ASIGNATURAS'!K93)</f>
        <v/>
      </c>
      <c r="C133" s="290" t="str">
        <f>IF('ASIGNACIÓN ASIGNATURAS'!L93="","",'ASIGNACIÓN ASIGNATURAS'!L93)</f>
        <v/>
      </c>
      <c r="D133" s="290" t="str">
        <f>IF('ASIGNACIÓN ASIGNATURAS'!M93="","",'ASIGNACIÓN ASIGNATURAS'!M93)</f>
        <v/>
      </c>
      <c r="E133" s="290" t="str">
        <f>IF('ASIGNACIÓN ASIGNATURAS'!N93="","",'ASIGNACIÓN ASIGNATURAS'!N93)</f>
        <v/>
      </c>
      <c r="F133" s="290" t="str">
        <f>IF('ASIGNACIÓN ASIGNATURAS'!O93="","",'ASIGNACIÓN ASIGNATURAS'!O93)</f>
        <v/>
      </c>
      <c r="G133" s="290" t="str">
        <f>IF('ASIGNACIÓN ASIGNATURAS'!P93="","",'ASIGNACIÓN ASIGNATURAS'!P93)</f>
        <v/>
      </c>
      <c r="H133" s="290" t="str">
        <f>IF('ASIGNACIÓN ASIGNATURAS'!T93="","",'ASIGNACIÓN ASIGNATURAS'!T93)</f>
        <v/>
      </c>
      <c r="I133" s="290" t="str">
        <f>IF('ASIGNACIÓN ASIGNATURAS'!U93="","",'ASIGNACIÓN ASIGNATURAS'!U93)</f>
        <v/>
      </c>
      <c r="J133" s="290" t="str">
        <f>IF('ASIGNACIÓN ASIGNATURAS'!V93="","",'ASIGNACIÓN ASIGNATURAS'!V93)</f>
        <v/>
      </c>
      <c r="K133" s="301" t="str">
        <f>IF('ASIGNACIÓN ASIGNATURAS'!S93="","",'ASIGNACIÓN ASIGNATURAS'!S93)</f>
        <v/>
      </c>
      <c r="L133" s="244" t="str">
        <f>IF('ASIGNACIÓN ASIGNATURAS'!Q93="","",'ASIGNACIÓN ASIGNATURAS'!Q93)</f>
        <v/>
      </c>
      <c r="M133" s="244" t="str">
        <f>IF('ASIGNACIÓN ASIGNATURAS'!R93="","",'ASIGNACIÓN ASIGNATURAS'!R93)</f>
        <v/>
      </c>
      <c r="N133" s="244" t="str">
        <f>IF('ASIGNACIÓN ASIGNATURAS'!W93="","",'ASIGNACIÓN ASIGNATURAS'!W93)</f>
        <v/>
      </c>
      <c r="O133" s="244" t="str">
        <f>IF('ASIGNACIÓN ASIGNATURAS'!X93="","",'ASIGNACIÓN ASIGNATURAS'!X93)</f>
        <v/>
      </c>
      <c r="P133" s="244" t="str">
        <f>IF('ASIGNACIÓN ASIGNATURAS'!Y93="","",'ASIGNACIÓN ASIGNATURAS'!Y93)</f>
        <v/>
      </c>
      <c r="Q133" s="244" t="str">
        <f>IF('ASIGNACIÓN ASIGNATURAS'!Z93="","",'ASIGNACIÓN ASIGNATURAS'!Z93)</f>
        <v/>
      </c>
      <c r="R133" s="244" t="str">
        <f>IF('ASIGNACIÓN ASIGNATURAS'!AA93="","",'ASIGNACIÓN ASIGNATURAS'!AA93)</f>
        <v/>
      </c>
      <c r="S133" s="244" t="str">
        <f>IF('ASIGNACIÓN ASIGNATURAS'!AB93="","",'ASIGNACIÓN ASIGNATURAS'!AB93)</f>
        <v/>
      </c>
    </row>
    <row r="134" spans="1:19" x14ac:dyDescent="0.3">
      <c r="A134" s="290" t="str">
        <f>IF('ASIGNACIÓN ASIGNATURAS'!J47="","",'ASIGNACIÓN ASIGNATURAS'!J47)</f>
        <v/>
      </c>
      <c r="B134" s="290" t="str">
        <f>IF('ASIGNACIÓN ASIGNATURAS'!K47="","",'ASIGNACIÓN ASIGNATURAS'!K47)</f>
        <v/>
      </c>
      <c r="C134" s="290" t="str">
        <f>IF('ASIGNACIÓN ASIGNATURAS'!L47="","",'ASIGNACIÓN ASIGNATURAS'!L47)</f>
        <v/>
      </c>
      <c r="D134" s="290" t="str">
        <f>IF('ASIGNACIÓN ASIGNATURAS'!M47="","",'ASIGNACIÓN ASIGNATURAS'!M47)</f>
        <v/>
      </c>
      <c r="E134" s="290" t="str">
        <f>IF('ASIGNACIÓN ASIGNATURAS'!N47="","",'ASIGNACIÓN ASIGNATURAS'!N47)</f>
        <v/>
      </c>
      <c r="F134" s="290" t="str">
        <f>IF('ASIGNACIÓN ASIGNATURAS'!O47="","",'ASIGNACIÓN ASIGNATURAS'!O47)</f>
        <v/>
      </c>
      <c r="G134" s="290" t="str">
        <f>IF('ASIGNACIÓN ASIGNATURAS'!P47="","",'ASIGNACIÓN ASIGNATURAS'!P47)</f>
        <v/>
      </c>
      <c r="H134" s="290" t="str">
        <f>IF('ASIGNACIÓN ASIGNATURAS'!T47="","",'ASIGNACIÓN ASIGNATURAS'!T47)</f>
        <v/>
      </c>
      <c r="I134" s="290" t="str">
        <f>IF('ASIGNACIÓN ASIGNATURAS'!U47="","",'ASIGNACIÓN ASIGNATURAS'!U47)</f>
        <v/>
      </c>
      <c r="J134" s="290" t="str">
        <f>IF('ASIGNACIÓN ASIGNATURAS'!V47="","",'ASIGNACIÓN ASIGNATURAS'!V47)</f>
        <v/>
      </c>
      <c r="K134" s="301" t="str">
        <f>IF('ASIGNACIÓN ASIGNATURAS'!S47="","",'ASIGNACIÓN ASIGNATURAS'!S47)</f>
        <v/>
      </c>
      <c r="L134" s="244" t="str">
        <f>IF('ASIGNACIÓN ASIGNATURAS'!Q47="","",'ASIGNACIÓN ASIGNATURAS'!Q47)</f>
        <v/>
      </c>
      <c r="M134" s="244" t="str">
        <f>IF('ASIGNACIÓN ASIGNATURAS'!R47="","",'ASIGNACIÓN ASIGNATURAS'!R47)</f>
        <v/>
      </c>
      <c r="N134" s="244" t="str">
        <f>IF('ASIGNACIÓN ASIGNATURAS'!W47="","",'ASIGNACIÓN ASIGNATURAS'!W47)</f>
        <v/>
      </c>
      <c r="O134" s="244" t="str">
        <f>IF('ASIGNACIÓN ASIGNATURAS'!X47="","",'ASIGNACIÓN ASIGNATURAS'!X47)</f>
        <v/>
      </c>
      <c r="P134" s="244" t="str">
        <f>IF('ASIGNACIÓN ASIGNATURAS'!Y47="","",'ASIGNACIÓN ASIGNATURAS'!Y47)</f>
        <v/>
      </c>
      <c r="Q134" s="244" t="str">
        <f>IF('ASIGNACIÓN ASIGNATURAS'!Z47="","",'ASIGNACIÓN ASIGNATURAS'!Z47)</f>
        <v/>
      </c>
      <c r="R134" s="244" t="str">
        <f>IF('ASIGNACIÓN ASIGNATURAS'!AA47="","",'ASIGNACIÓN ASIGNATURAS'!AA47)</f>
        <v/>
      </c>
      <c r="S134" s="244" t="str">
        <f>IF('ASIGNACIÓN ASIGNATURAS'!AB47="","",'ASIGNACIÓN ASIGNATURAS'!AB47)</f>
        <v/>
      </c>
    </row>
    <row r="135" spans="1:19" x14ac:dyDescent="0.3">
      <c r="A135" s="290" t="str">
        <f>IF('ASIGNACIÓN ASIGNATURAS'!J139="","",'ASIGNACIÓN ASIGNATURAS'!J139)</f>
        <v/>
      </c>
      <c r="B135" s="290" t="str">
        <f>IF('ASIGNACIÓN ASIGNATURAS'!K139="","",'ASIGNACIÓN ASIGNATURAS'!K139)</f>
        <v/>
      </c>
      <c r="C135" s="290" t="str">
        <f>IF('ASIGNACIÓN ASIGNATURAS'!L139="","",'ASIGNACIÓN ASIGNATURAS'!L139)</f>
        <v/>
      </c>
      <c r="D135" s="290" t="str">
        <f>IF('ASIGNACIÓN ASIGNATURAS'!M139="","",'ASIGNACIÓN ASIGNATURAS'!M139)</f>
        <v/>
      </c>
      <c r="E135" s="290" t="str">
        <f>IF('ASIGNACIÓN ASIGNATURAS'!N139="","",'ASIGNACIÓN ASIGNATURAS'!N139)</f>
        <v/>
      </c>
      <c r="F135" s="290" t="str">
        <f>IF('ASIGNACIÓN ASIGNATURAS'!O139="","",'ASIGNACIÓN ASIGNATURAS'!O139)</f>
        <v/>
      </c>
      <c r="G135" s="290" t="str">
        <f>IF('ASIGNACIÓN ASIGNATURAS'!P139="","",'ASIGNACIÓN ASIGNATURAS'!P139)</f>
        <v/>
      </c>
      <c r="H135" s="290" t="str">
        <f>IF('ASIGNACIÓN ASIGNATURAS'!T139="","",'ASIGNACIÓN ASIGNATURAS'!T139)</f>
        <v/>
      </c>
      <c r="I135" s="290" t="str">
        <f>IF('ASIGNACIÓN ASIGNATURAS'!U139="","",'ASIGNACIÓN ASIGNATURAS'!U139)</f>
        <v/>
      </c>
      <c r="J135" s="290" t="str">
        <f>IF('ASIGNACIÓN ASIGNATURAS'!V139="","",'ASIGNACIÓN ASIGNATURAS'!V139)</f>
        <v/>
      </c>
      <c r="K135" s="301" t="str">
        <f>IF('ASIGNACIÓN ASIGNATURAS'!S139="","",'ASIGNACIÓN ASIGNATURAS'!S139)</f>
        <v/>
      </c>
      <c r="L135" s="244" t="str">
        <f>IF('ASIGNACIÓN ASIGNATURAS'!Q139="","",'ASIGNACIÓN ASIGNATURAS'!Q139)</f>
        <v/>
      </c>
      <c r="M135" s="244" t="str">
        <f>IF('ASIGNACIÓN ASIGNATURAS'!R139="","",'ASIGNACIÓN ASIGNATURAS'!R139)</f>
        <v/>
      </c>
      <c r="N135" s="244" t="str">
        <f>IF('ASIGNACIÓN ASIGNATURAS'!W139="","",'ASIGNACIÓN ASIGNATURAS'!W139)</f>
        <v/>
      </c>
      <c r="O135" s="244" t="str">
        <f>IF('ASIGNACIÓN ASIGNATURAS'!X139="","",'ASIGNACIÓN ASIGNATURAS'!X139)</f>
        <v/>
      </c>
      <c r="P135" s="244" t="str">
        <f>IF('ASIGNACIÓN ASIGNATURAS'!Y139="","",'ASIGNACIÓN ASIGNATURAS'!Y139)</f>
        <v/>
      </c>
      <c r="Q135" s="244" t="str">
        <f>IF('ASIGNACIÓN ASIGNATURAS'!Z139="","",'ASIGNACIÓN ASIGNATURAS'!Z139)</f>
        <v/>
      </c>
      <c r="R135" s="244" t="str">
        <f>IF('ASIGNACIÓN ASIGNATURAS'!AA139="","",'ASIGNACIÓN ASIGNATURAS'!AA139)</f>
        <v/>
      </c>
      <c r="S135" s="244" t="str">
        <f>IF('ASIGNACIÓN ASIGNATURAS'!AB139="","",'ASIGNACIÓN ASIGNATURAS'!AB139)</f>
        <v/>
      </c>
    </row>
    <row r="136" spans="1:19" x14ac:dyDescent="0.3">
      <c r="A136" s="290" t="str">
        <f>IF('ASIGNACIÓN ASIGNATURAS'!J116="","",'ASIGNACIÓN ASIGNATURAS'!J116)</f>
        <v/>
      </c>
      <c r="B136" s="290" t="str">
        <f>IF('ASIGNACIÓN ASIGNATURAS'!K116="","",'ASIGNACIÓN ASIGNATURAS'!K116)</f>
        <v/>
      </c>
      <c r="C136" s="290" t="str">
        <f>IF('ASIGNACIÓN ASIGNATURAS'!L116="","",'ASIGNACIÓN ASIGNATURAS'!L116)</f>
        <v/>
      </c>
      <c r="D136" s="290" t="str">
        <f>IF('ASIGNACIÓN ASIGNATURAS'!M116="","",'ASIGNACIÓN ASIGNATURAS'!M116)</f>
        <v/>
      </c>
      <c r="E136" s="290" t="str">
        <f>IF('ASIGNACIÓN ASIGNATURAS'!N116="","",'ASIGNACIÓN ASIGNATURAS'!N116)</f>
        <v/>
      </c>
      <c r="F136" s="290" t="str">
        <f>IF('ASIGNACIÓN ASIGNATURAS'!O116="","",'ASIGNACIÓN ASIGNATURAS'!O116)</f>
        <v/>
      </c>
      <c r="G136" s="290" t="str">
        <f>IF('ASIGNACIÓN ASIGNATURAS'!P116="","",'ASIGNACIÓN ASIGNATURAS'!P116)</f>
        <v/>
      </c>
      <c r="H136" s="290" t="str">
        <f>IF('ASIGNACIÓN ASIGNATURAS'!T116="","",'ASIGNACIÓN ASIGNATURAS'!T116)</f>
        <v/>
      </c>
      <c r="I136" s="290" t="str">
        <f>IF('ASIGNACIÓN ASIGNATURAS'!U116="","",'ASIGNACIÓN ASIGNATURAS'!U116)</f>
        <v/>
      </c>
      <c r="J136" s="290" t="str">
        <f>IF('ASIGNACIÓN ASIGNATURAS'!V116="","",'ASIGNACIÓN ASIGNATURAS'!V116)</f>
        <v/>
      </c>
      <c r="K136" s="301" t="str">
        <f>IF('ASIGNACIÓN ASIGNATURAS'!S116="","",'ASIGNACIÓN ASIGNATURAS'!S116)</f>
        <v/>
      </c>
      <c r="L136" s="244" t="str">
        <f>IF('ASIGNACIÓN ASIGNATURAS'!Q116="","",'ASIGNACIÓN ASIGNATURAS'!Q116)</f>
        <v/>
      </c>
      <c r="M136" s="244" t="str">
        <f>IF('ASIGNACIÓN ASIGNATURAS'!R116="","",'ASIGNACIÓN ASIGNATURAS'!R116)</f>
        <v/>
      </c>
      <c r="N136" s="244" t="str">
        <f>IF('ASIGNACIÓN ASIGNATURAS'!W116="","",'ASIGNACIÓN ASIGNATURAS'!W116)</f>
        <v/>
      </c>
      <c r="O136" s="244" t="str">
        <f>IF('ASIGNACIÓN ASIGNATURAS'!X116="","",'ASIGNACIÓN ASIGNATURAS'!X116)</f>
        <v/>
      </c>
      <c r="P136" s="244" t="str">
        <f>IF('ASIGNACIÓN ASIGNATURAS'!Y116="","",'ASIGNACIÓN ASIGNATURAS'!Y116)</f>
        <v/>
      </c>
      <c r="Q136" s="244" t="str">
        <f>IF('ASIGNACIÓN ASIGNATURAS'!Z116="","",'ASIGNACIÓN ASIGNATURAS'!Z116)</f>
        <v/>
      </c>
      <c r="R136" s="244" t="str">
        <f>IF('ASIGNACIÓN ASIGNATURAS'!AA116="","",'ASIGNACIÓN ASIGNATURAS'!AA116)</f>
        <v/>
      </c>
      <c r="S136" s="244" t="str">
        <f>IF('ASIGNACIÓN ASIGNATURAS'!AB116="","",'ASIGNACIÓN ASIGNATURAS'!AB116)</f>
        <v/>
      </c>
    </row>
    <row r="137" spans="1:19" x14ac:dyDescent="0.3">
      <c r="A137" s="290" t="str">
        <f>IF('ASIGNACIÓN ASIGNATURAS'!J70="","",'ASIGNACIÓN ASIGNATURAS'!J70)</f>
        <v/>
      </c>
      <c r="B137" s="290" t="str">
        <f>IF('ASIGNACIÓN ASIGNATURAS'!K70="","",'ASIGNACIÓN ASIGNATURAS'!K70)</f>
        <v/>
      </c>
      <c r="C137" s="290" t="str">
        <f>IF('ASIGNACIÓN ASIGNATURAS'!L70="","",'ASIGNACIÓN ASIGNATURAS'!L70)</f>
        <v/>
      </c>
      <c r="D137" s="290" t="str">
        <f>IF('ASIGNACIÓN ASIGNATURAS'!M70="","",'ASIGNACIÓN ASIGNATURAS'!M70)</f>
        <v/>
      </c>
      <c r="E137" s="290" t="str">
        <f>IF('ASIGNACIÓN ASIGNATURAS'!N70="","",'ASIGNACIÓN ASIGNATURAS'!N70)</f>
        <v/>
      </c>
      <c r="F137" s="290" t="str">
        <f>IF('ASIGNACIÓN ASIGNATURAS'!O70="","",'ASIGNACIÓN ASIGNATURAS'!O70)</f>
        <v/>
      </c>
      <c r="G137" s="290" t="str">
        <f>IF('ASIGNACIÓN ASIGNATURAS'!P70="","",'ASIGNACIÓN ASIGNATURAS'!P70)</f>
        <v/>
      </c>
      <c r="H137" s="290" t="str">
        <f>IF('ASIGNACIÓN ASIGNATURAS'!T70="","",'ASIGNACIÓN ASIGNATURAS'!T70)</f>
        <v/>
      </c>
      <c r="I137" s="290" t="str">
        <f>IF('ASIGNACIÓN ASIGNATURAS'!U70="","",'ASIGNACIÓN ASIGNATURAS'!U70)</f>
        <v/>
      </c>
      <c r="J137" s="290" t="str">
        <f>IF('ASIGNACIÓN ASIGNATURAS'!V70="","",'ASIGNACIÓN ASIGNATURAS'!V70)</f>
        <v/>
      </c>
      <c r="K137" s="301" t="str">
        <f>IF('ASIGNACIÓN ASIGNATURAS'!S70="","",'ASIGNACIÓN ASIGNATURAS'!S70)</f>
        <v/>
      </c>
      <c r="L137" s="244" t="str">
        <f>IF('ASIGNACIÓN ASIGNATURAS'!Q70="","",'ASIGNACIÓN ASIGNATURAS'!Q70)</f>
        <v/>
      </c>
      <c r="M137" s="244" t="str">
        <f>IF('ASIGNACIÓN ASIGNATURAS'!R70="","",'ASIGNACIÓN ASIGNATURAS'!R70)</f>
        <v/>
      </c>
      <c r="N137" s="244" t="str">
        <f>IF('ASIGNACIÓN ASIGNATURAS'!W70="","",'ASIGNACIÓN ASIGNATURAS'!W70)</f>
        <v/>
      </c>
      <c r="O137" s="244" t="str">
        <f>IF('ASIGNACIÓN ASIGNATURAS'!X70="","",'ASIGNACIÓN ASIGNATURAS'!X70)</f>
        <v/>
      </c>
      <c r="P137" s="244" t="str">
        <f>IF('ASIGNACIÓN ASIGNATURAS'!Y70="","",'ASIGNACIÓN ASIGNATURAS'!Y70)</f>
        <v/>
      </c>
      <c r="Q137" s="244" t="str">
        <f>IF('ASIGNACIÓN ASIGNATURAS'!Z70="","",'ASIGNACIÓN ASIGNATURAS'!Z70)</f>
        <v/>
      </c>
      <c r="R137" s="244" t="str">
        <f>IF('ASIGNACIÓN ASIGNATURAS'!AA70="","",'ASIGNACIÓN ASIGNATURAS'!AA70)</f>
        <v/>
      </c>
      <c r="S137" s="244" t="str">
        <f>IF('ASIGNACIÓN ASIGNATURAS'!AB70="","",'ASIGNACIÓN ASIGNATURAS'!AB70)</f>
        <v/>
      </c>
    </row>
    <row r="138" spans="1:19" x14ac:dyDescent="0.3">
      <c r="A138" s="290" t="str">
        <f>IF('ASIGNACIÓN ASIGNATURAS'!J24="","",'ASIGNACIÓN ASIGNATURAS'!J24)</f>
        <v/>
      </c>
      <c r="B138" s="290" t="str">
        <f>IF('ASIGNACIÓN ASIGNATURAS'!K24="","",'ASIGNACIÓN ASIGNATURAS'!K24)</f>
        <v/>
      </c>
      <c r="C138" s="290" t="str">
        <f>IF('ASIGNACIÓN ASIGNATURAS'!L24="","",'ASIGNACIÓN ASIGNATURAS'!L24)</f>
        <v/>
      </c>
      <c r="D138" s="290" t="str">
        <f>IF('ASIGNACIÓN ASIGNATURAS'!M24="","",'ASIGNACIÓN ASIGNATURAS'!M24)</f>
        <v/>
      </c>
      <c r="E138" s="290" t="str">
        <f>IF('ASIGNACIÓN ASIGNATURAS'!N24="","",'ASIGNACIÓN ASIGNATURAS'!N24)</f>
        <v/>
      </c>
      <c r="F138" s="290" t="str">
        <f>IF('ASIGNACIÓN ASIGNATURAS'!O24="","",'ASIGNACIÓN ASIGNATURAS'!O24)</f>
        <v/>
      </c>
      <c r="G138" s="290" t="str">
        <f>IF('ASIGNACIÓN ASIGNATURAS'!P24="","",'ASIGNACIÓN ASIGNATURAS'!P24)</f>
        <v/>
      </c>
      <c r="H138" s="290" t="str">
        <f>IF('ASIGNACIÓN ASIGNATURAS'!T24="","",'ASIGNACIÓN ASIGNATURAS'!T24)</f>
        <v/>
      </c>
      <c r="I138" s="290" t="str">
        <f>IF('ASIGNACIÓN ASIGNATURAS'!U24="","",'ASIGNACIÓN ASIGNATURAS'!U24)</f>
        <v/>
      </c>
      <c r="J138" s="290" t="str">
        <f>IF('ASIGNACIÓN ASIGNATURAS'!V24="","",'ASIGNACIÓN ASIGNATURAS'!V24)</f>
        <v/>
      </c>
      <c r="K138" s="301" t="str">
        <f>IF('ASIGNACIÓN ASIGNATURAS'!S24="","",'ASIGNACIÓN ASIGNATURAS'!S24)</f>
        <v/>
      </c>
      <c r="L138" s="244" t="str">
        <f>IF('ASIGNACIÓN ASIGNATURAS'!Q24="","",'ASIGNACIÓN ASIGNATURAS'!Q24)</f>
        <v/>
      </c>
      <c r="M138" s="244" t="str">
        <f>IF('ASIGNACIÓN ASIGNATURAS'!R24="","",'ASIGNACIÓN ASIGNATURAS'!R24)</f>
        <v/>
      </c>
      <c r="N138" s="244" t="str">
        <f>IF('ASIGNACIÓN ASIGNATURAS'!W24="","",'ASIGNACIÓN ASIGNATURAS'!W24)</f>
        <v/>
      </c>
      <c r="O138" s="244" t="str">
        <f>IF('ASIGNACIÓN ASIGNATURAS'!X24="","",'ASIGNACIÓN ASIGNATURAS'!X24)</f>
        <v/>
      </c>
      <c r="P138" s="244" t="str">
        <f>IF('ASIGNACIÓN ASIGNATURAS'!Y24="","",'ASIGNACIÓN ASIGNATURAS'!Y24)</f>
        <v/>
      </c>
      <c r="Q138" s="244" t="str">
        <f>IF('ASIGNACIÓN ASIGNATURAS'!Z24="","",'ASIGNACIÓN ASIGNATURAS'!Z24)</f>
        <v/>
      </c>
      <c r="R138" s="244" t="str">
        <f>IF('ASIGNACIÓN ASIGNATURAS'!AA24="","",'ASIGNACIÓN ASIGNATURAS'!AA24)</f>
        <v/>
      </c>
      <c r="S138" s="244" t="str">
        <f>IF('ASIGNACIÓN ASIGNATURAS'!AB24="","",'ASIGNACIÓN ASIGNATURAS'!AB24)</f>
        <v/>
      </c>
    </row>
    <row r="139" spans="1:19" x14ac:dyDescent="0.3">
      <c r="A139" s="290" t="str">
        <f>IF('ASIGNACIÓN ASIGNATURAS'!J17="","",'ASIGNACIÓN ASIGNATURAS'!J17)</f>
        <v/>
      </c>
      <c r="B139" s="290" t="str">
        <f>IF('ASIGNACIÓN ASIGNATURAS'!K17="","",'ASIGNACIÓN ASIGNATURAS'!K17)</f>
        <v/>
      </c>
      <c r="C139" s="290" t="str">
        <f>IF('ASIGNACIÓN ASIGNATURAS'!L17="","",'ASIGNACIÓN ASIGNATURAS'!L17)</f>
        <v/>
      </c>
      <c r="D139" s="290" t="str">
        <f>IF('ASIGNACIÓN ASIGNATURAS'!M17="","",'ASIGNACIÓN ASIGNATURAS'!M17)</f>
        <v/>
      </c>
      <c r="E139" s="290" t="str">
        <f>IF('ASIGNACIÓN ASIGNATURAS'!N17="","",'ASIGNACIÓN ASIGNATURAS'!N17)</f>
        <v/>
      </c>
      <c r="F139" s="290" t="str">
        <f>IF('ASIGNACIÓN ASIGNATURAS'!O17="","",'ASIGNACIÓN ASIGNATURAS'!O17)</f>
        <v/>
      </c>
      <c r="G139" s="290" t="str">
        <f>IF('ASIGNACIÓN ASIGNATURAS'!P17="","",'ASIGNACIÓN ASIGNATURAS'!P17)</f>
        <v/>
      </c>
      <c r="H139" s="290" t="str">
        <f>IF('ASIGNACIÓN ASIGNATURAS'!T17="","",'ASIGNACIÓN ASIGNATURAS'!T17)</f>
        <v/>
      </c>
      <c r="I139" s="290" t="str">
        <f>IF('ASIGNACIÓN ASIGNATURAS'!U17="","",'ASIGNACIÓN ASIGNATURAS'!U17)</f>
        <v/>
      </c>
      <c r="J139" s="290" t="str">
        <f>IF('ASIGNACIÓN ASIGNATURAS'!V17="","",'ASIGNACIÓN ASIGNATURAS'!V17)</f>
        <v/>
      </c>
      <c r="K139" s="301" t="str">
        <f>IF('ASIGNACIÓN ASIGNATURAS'!S17="","",'ASIGNACIÓN ASIGNATURAS'!S17)</f>
        <v/>
      </c>
      <c r="L139" s="244" t="str">
        <f>IF('ASIGNACIÓN ASIGNATURAS'!Q17="","",'ASIGNACIÓN ASIGNATURAS'!Q17)</f>
        <v/>
      </c>
      <c r="M139" s="244" t="str">
        <f>IF('ASIGNACIÓN ASIGNATURAS'!R17="","",'ASIGNACIÓN ASIGNATURAS'!R17)</f>
        <v/>
      </c>
      <c r="N139" s="244" t="str">
        <f>IF('ASIGNACIÓN ASIGNATURAS'!W17="","",'ASIGNACIÓN ASIGNATURAS'!W17)</f>
        <v/>
      </c>
      <c r="O139" s="244" t="str">
        <f>IF('ASIGNACIÓN ASIGNATURAS'!X17="","",'ASIGNACIÓN ASIGNATURAS'!X17)</f>
        <v/>
      </c>
      <c r="P139" s="244" t="str">
        <f>IF('ASIGNACIÓN ASIGNATURAS'!Y17="","",'ASIGNACIÓN ASIGNATURAS'!Y17)</f>
        <v/>
      </c>
      <c r="Q139" s="244" t="str">
        <f>IF('ASIGNACIÓN ASIGNATURAS'!Z17="","",'ASIGNACIÓN ASIGNATURAS'!Z17)</f>
        <v/>
      </c>
      <c r="R139" s="244" t="str">
        <f>IF('ASIGNACIÓN ASIGNATURAS'!AA17="","",'ASIGNACIÓN ASIGNATURAS'!AA17)</f>
        <v/>
      </c>
      <c r="S139" s="244" t="str">
        <f>IF('ASIGNACIÓN ASIGNATURAS'!AB17="","",'ASIGNACIÓN ASIGNATURAS'!AB17)</f>
        <v/>
      </c>
    </row>
    <row r="140" spans="1:19" x14ac:dyDescent="0.3">
      <c r="A140" s="290" t="str">
        <f>IF('ASIGNACIÓN ASIGNATURAS'!J105="","",'ASIGNACIÓN ASIGNATURAS'!J105)</f>
        <v/>
      </c>
      <c r="B140" s="290" t="str">
        <f>IF('ASIGNACIÓN ASIGNATURAS'!K105="","",'ASIGNACIÓN ASIGNATURAS'!K105)</f>
        <v/>
      </c>
      <c r="C140" s="290" t="str">
        <f>IF('ASIGNACIÓN ASIGNATURAS'!L105="","",'ASIGNACIÓN ASIGNATURAS'!L105)</f>
        <v/>
      </c>
      <c r="D140" s="290" t="str">
        <f>IF('ASIGNACIÓN ASIGNATURAS'!M105="","",'ASIGNACIÓN ASIGNATURAS'!M105)</f>
        <v/>
      </c>
      <c r="E140" s="290" t="str">
        <f>IF('ASIGNACIÓN ASIGNATURAS'!N105="","",'ASIGNACIÓN ASIGNATURAS'!N105)</f>
        <v/>
      </c>
      <c r="F140" s="290" t="str">
        <f>IF('ASIGNACIÓN ASIGNATURAS'!O105="","",'ASIGNACIÓN ASIGNATURAS'!O105)</f>
        <v/>
      </c>
      <c r="G140" s="290" t="str">
        <f>IF('ASIGNACIÓN ASIGNATURAS'!P105="","",'ASIGNACIÓN ASIGNATURAS'!P105)</f>
        <v/>
      </c>
      <c r="H140" s="290" t="str">
        <f>IF('ASIGNACIÓN ASIGNATURAS'!T105="","",'ASIGNACIÓN ASIGNATURAS'!T105)</f>
        <v/>
      </c>
      <c r="I140" s="290" t="str">
        <f>IF('ASIGNACIÓN ASIGNATURAS'!U105="","",'ASIGNACIÓN ASIGNATURAS'!U105)</f>
        <v/>
      </c>
      <c r="J140" s="290" t="str">
        <f>IF('ASIGNACIÓN ASIGNATURAS'!V105="","",'ASIGNACIÓN ASIGNATURAS'!V105)</f>
        <v/>
      </c>
      <c r="K140" s="301" t="str">
        <f>IF('ASIGNACIÓN ASIGNATURAS'!S105="","",'ASIGNACIÓN ASIGNATURAS'!S105)</f>
        <v/>
      </c>
      <c r="L140" s="244" t="str">
        <f>IF('ASIGNACIÓN ASIGNATURAS'!Q105="","",'ASIGNACIÓN ASIGNATURAS'!Q105)</f>
        <v/>
      </c>
      <c r="M140" s="244" t="str">
        <f>IF('ASIGNACIÓN ASIGNATURAS'!R105="","",'ASIGNACIÓN ASIGNATURAS'!R105)</f>
        <v/>
      </c>
      <c r="N140" s="244" t="str">
        <f>IF('ASIGNACIÓN ASIGNATURAS'!W105="","",'ASIGNACIÓN ASIGNATURAS'!W105)</f>
        <v/>
      </c>
      <c r="O140" s="244" t="str">
        <f>IF('ASIGNACIÓN ASIGNATURAS'!X105="","",'ASIGNACIÓN ASIGNATURAS'!X105)</f>
        <v/>
      </c>
      <c r="P140" s="244" t="str">
        <f>IF('ASIGNACIÓN ASIGNATURAS'!Y105="","",'ASIGNACIÓN ASIGNATURAS'!Y105)</f>
        <v/>
      </c>
      <c r="Q140" s="244" t="str">
        <f>IF('ASIGNACIÓN ASIGNATURAS'!Z105="","",'ASIGNACIÓN ASIGNATURAS'!Z105)</f>
        <v/>
      </c>
      <c r="R140" s="244" t="str">
        <f>IF('ASIGNACIÓN ASIGNATURAS'!AA105="","",'ASIGNACIÓN ASIGNATURAS'!AA105)</f>
        <v/>
      </c>
      <c r="S140" s="244" t="str">
        <f>IF('ASIGNACIÓN ASIGNATURAS'!AB105="","",'ASIGNACIÓN ASIGNATURAS'!AB105)</f>
        <v/>
      </c>
    </row>
    <row r="141" spans="1:19" x14ac:dyDescent="0.3">
      <c r="A141" s="290" t="str">
        <f>IF('ASIGNACIÓN ASIGNATURAS'!J109="","",'ASIGNACIÓN ASIGNATURAS'!J109)</f>
        <v/>
      </c>
      <c r="B141" s="290" t="str">
        <f>IF('ASIGNACIÓN ASIGNATURAS'!K109="","",'ASIGNACIÓN ASIGNATURAS'!K109)</f>
        <v/>
      </c>
      <c r="C141" s="290" t="str">
        <f>IF('ASIGNACIÓN ASIGNATURAS'!L109="","",'ASIGNACIÓN ASIGNATURAS'!L109)</f>
        <v/>
      </c>
      <c r="D141" s="290" t="str">
        <f>IF('ASIGNACIÓN ASIGNATURAS'!M109="","",'ASIGNACIÓN ASIGNATURAS'!M109)</f>
        <v/>
      </c>
      <c r="E141" s="290" t="str">
        <f>IF('ASIGNACIÓN ASIGNATURAS'!N109="","",'ASIGNACIÓN ASIGNATURAS'!N109)</f>
        <v/>
      </c>
      <c r="F141" s="290" t="str">
        <f>IF('ASIGNACIÓN ASIGNATURAS'!O109="","",'ASIGNACIÓN ASIGNATURAS'!O109)</f>
        <v/>
      </c>
      <c r="G141" s="290" t="str">
        <f>IF('ASIGNACIÓN ASIGNATURAS'!P109="","",'ASIGNACIÓN ASIGNATURAS'!P109)</f>
        <v/>
      </c>
      <c r="H141" s="290" t="str">
        <f>IF('ASIGNACIÓN ASIGNATURAS'!T109="","",'ASIGNACIÓN ASIGNATURAS'!T109)</f>
        <v/>
      </c>
      <c r="I141" s="290" t="str">
        <f>IF('ASIGNACIÓN ASIGNATURAS'!U109="","",'ASIGNACIÓN ASIGNATURAS'!U109)</f>
        <v/>
      </c>
      <c r="J141" s="290" t="str">
        <f>IF('ASIGNACIÓN ASIGNATURAS'!V109="","",'ASIGNACIÓN ASIGNATURAS'!V109)</f>
        <v/>
      </c>
      <c r="K141" s="301" t="str">
        <f>IF('ASIGNACIÓN ASIGNATURAS'!S109="","",'ASIGNACIÓN ASIGNATURAS'!S109)</f>
        <v/>
      </c>
      <c r="L141" s="244" t="str">
        <f>IF('ASIGNACIÓN ASIGNATURAS'!Q109="","",'ASIGNACIÓN ASIGNATURAS'!Q109)</f>
        <v/>
      </c>
      <c r="M141" s="244" t="str">
        <f>IF('ASIGNACIÓN ASIGNATURAS'!R109="","",'ASIGNACIÓN ASIGNATURAS'!R109)</f>
        <v/>
      </c>
      <c r="N141" s="244" t="str">
        <f>IF('ASIGNACIÓN ASIGNATURAS'!W109="","",'ASIGNACIÓN ASIGNATURAS'!W109)</f>
        <v/>
      </c>
      <c r="O141" s="244" t="str">
        <f>IF('ASIGNACIÓN ASIGNATURAS'!X109="","",'ASIGNACIÓN ASIGNATURAS'!X109)</f>
        <v/>
      </c>
      <c r="P141" s="244" t="str">
        <f>IF('ASIGNACIÓN ASIGNATURAS'!Y109="","",'ASIGNACIÓN ASIGNATURAS'!Y109)</f>
        <v/>
      </c>
      <c r="Q141" s="244" t="str">
        <f>IF('ASIGNACIÓN ASIGNATURAS'!Z109="","",'ASIGNACIÓN ASIGNATURAS'!Z109)</f>
        <v/>
      </c>
      <c r="R141" s="244" t="str">
        <f>IF('ASIGNACIÓN ASIGNATURAS'!AA109="","",'ASIGNACIÓN ASIGNATURAS'!AA109)</f>
        <v/>
      </c>
      <c r="S141" s="244" t="str">
        <f>IF('ASIGNACIÓN ASIGNATURAS'!AB109="","",'ASIGNACIÓN ASIGNATURAS'!AB109)</f>
        <v/>
      </c>
    </row>
    <row r="142" spans="1:19" x14ac:dyDescent="0.3">
      <c r="A142" s="290" t="str">
        <f>IF('ASIGNACIÓN ASIGNATURAS'!J151="","",'ASIGNACIÓN ASIGNATURAS'!J151)</f>
        <v/>
      </c>
      <c r="B142" s="290" t="str">
        <f>IF('ASIGNACIÓN ASIGNATURAS'!K151="","",'ASIGNACIÓN ASIGNATURAS'!K151)</f>
        <v/>
      </c>
      <c r="C142" s="290" t="str">
        <f>IF('ASIGNACIÓN ASIGNATURAS'!L151="","",'ASIGNACIÓN ASIGNATURAS'!L151)</f>
        <v/>
      </c>
      <c r="D142" s="290" t="str">
        <f>IF('ASIGNACIÓN ASIGNATURAS'!M151="","",'ASIGNACIÓN ASIGNATURAS'!M151)</f>
        <v/>
      </c>
      <c r="E142" s="290" t="str">
        <f>IF('ASIGNACIÓN ASIGNATURAS'!N151="","",'ASIGNACIÓN ASIGNATURAS'!N151)</f>
        <v/>
      </c>
      <c r="F142" s="290" t="str">
        <f>IF('ASIGNACIÓN ASIGNATURAS'!O151="","",'ASIGNACIÓN ASIGNATURAS'!O151)</f>
        <v/>
      </c>
      <c r="G142" s="290" t="str">
        <f>IF('ASIGNACIÓN ASIGNATURAS'!P151="","",'ASIGNACIÓN ASIGNATURAS'!P151)</f>
        <v/>
      </c>
      <c r="H142" s="290" t="str">
        <f>IF('ASIGNACIÓN ASIGNATURAS'!T151="","",'ASIGNACIÓN ASIGNATURAS'!T151)</f>
        <v/>
      </c>
      <c r="I142" s="290" t="str">
        <f>IF('ASIGNACIÓN ASIGNATURAS'!U151="","",'ASIGNACIÓN ASIGNATURAS'!U151)</f>
        <v/>
      </c>
      <c r="J142" s="290" t="str">
        <f>IF('ASIGNACIÓN ASIGNATURAS'!V151="","",'ASIGNACIÓN ASIGNATURAS'!V151)</f>
        <v/>
      </c>
      <c r="K142" s="301" t="str">
        <f>IF('ASIGNACIÓN ASIGNATURAS'!S151="","",'ASIGNACIÓN ASIGNATURAS'!S151)</f>
        <v/>
      </c>
      <c r="L142" s="244" t="str">
        <f>IF('ASIGNACIÓN ASIGNATURAS'!Q151="","",'ASIGNACIÓN ASIGNATURAS'!Q151)</f>
        <v/>
      </c>
      <c r="M142" s="244" t="str">
        <f>IF('ASIGNACIÓN ASIGNATURAS'!R151="","",'ASIGNACIÓN ASIGNATURAS'!R151)</f>
        <v/>
      </c>
      <c r="N142" s="244" t="str">
        <f>IF('ASIGNACIÓN ASIGNATURAS'!W151="","",'ASIGNACIÓN ASIGNATURAS'!W151)</f>
        <v/>
      </c>
      <c r="O142" s="244" t="str">
        <f>IF('ASIGNACIÓN ASIGNATURAS'!X151="","",'ASIGNACIÓN ASIGNATURAS'!X151)</f>
        <v/>
      </c>
      <c r="P142" s="244" t="str">
        <f>IF('ASIGNACIÓN ASIGNATURAS'!Y151="","",'ASIGNACIÓN ASIGNATURAS'!Y151)</f>
        <v/>
      </c>
      <c r="Q142" s="244" t="str">
        <f>IF('ASIGNACIÓN ASIGNATURAS'!Z151="","",'ASIGNACIÓN ASIGNATURAS'!Z151)</f>
        <v/>
      </c>
      <c r="R142" s="244" t="str">
        <f>IF('ASIGNACIÓN ASIGNATURAS'!AA151="","",'ASIGNACIÓN ASIGNATURAS'!AA151)</f>
        <v/>
      </c>
      <c r="S142" s="244" t="str">
        <f>IF('ASIGNACIÓN ASIGNATURAS'!AB151="","",'ASIGNACIÓN ASIGNATURAS'!AB151)</f>
        <v/>
      </c>
    </row>
    <row r="143" spans="1:19" x14ac:dyDescent="0.3">
      <c r="A143" s="290" t="str">
        <f>IF('ASIGNACIÓN ASIGNATURAS'!J155="","",'ASIGNACIÓN ASIGNATURAS'!J155)</f>
        <v/>
      </c>
      <c r="B143" s="290" t="str">
        <f>IF('ASIGNACIÓN ASIGNATURAS'!K155="","",'ASIGNACIÓN ASIGNATURAS'!K155)</f>
        <v/>
      </c>
      <c r="C143" s="290" t="str">
        <f>IF('ASIGNACIÓN ASIGNATURAS'!L155="","",'ASIGNACIÓN ASIGNATURAS'!L155)</f>
        <v/>
      </c>
      <c r="D143" s="290" t="str">
        <f>IF('ASIGNACIÓN ASIGNATURAS'!M155="","",'ASIGNACIÓN ASIGNATURAS'!M155)</f>
        <v/>
      </c>
      <c r="E143" s="290" t="str">
        <f>IF('ASIGNACIÓN ASIGNATURAS'!N155="","",'ASIGNACIÓN ASIGNATURAS'!N155)</f>
        <v/>
      </c>
      <c r="F143" s="290" t="str">
        <f>IF('ASIGNACIÓN ASIGNATURAS'!O155="","",'ASIGNACIÓN ASIGNATURAS'!O155)</f>
        <v/>
      </c>
      <c r="G143" s="290" t="str">
        <f>IF('ASIGNACIÓN ASIGNATURAS'!P155="","",'ASIGNACIÓN ASIGNATURAS'!P155)</f>
        <v/>
      </c>
      <c r="H143" s="290" t="str">
        <f>IF('ASIGNACIÓN ASIGNATURAS'!T155="","",'ASIGNACIÓN ASIGNATURAS'!T155)</f>
        <v/>
      </c>
      <c r="I143" s="290" t="str">
        <f>IF('ASIGNACIÓN ASIGNATURAS'!U155="","",'ASIGNACIÓN ASIGNATURAS'!U155)</f>
        <v/>
      </c>
      <c r="J143" s="290" t="str">
        <f>IF('ASIGNACIÓN ASIGNATURAS'!V155="","",'ASIGNACIÓN ASIGNATURAS'!V155)</f>
        <v/>
      </c>
      <c r="K143" s="301" t="str">
        <f>IF('ASIGNACIÓN ASIGNATURAS'!S155="","",'ASIGNACIÓN ASIGNATURAS'!S155)</f>
        <v/>
      </c>
      <c r="L143" s="244" t="str">
        <f>IF('ASIGNACIÓN ASIGNATURAS'!Q155="","",'ASIGNACIÓN ASIGNATURAS'!Q155)</f>
        <v/>
      </c>
      <c r="M143" s="244" t="str">
        <f>IF('ASIGNACIÓN ASIGNATURAS'!R155="","",'ASIGNACIÓN ASIGNATURAS'!R155)</f>
        <v/>
      </c>
      <c r="N143" s="244" t="str">
        <f>IF('ASIGNACIÓN ASIGNATURAS'!W155="","",'ASIGNACIÓN ASIGNATURAS'!W155)</f>
        <v/>
      </c>
      <c r="O143" s="244" t="str">
        <f>IF('ASIGNACIÓN ASIGNATURAS'!X155="","",'ASIGNACIÓN ASIGNATURAS'!X155)</f>
        <v/>
      </c>
      <c r="P143" s="244" t="str">
        <f>IF('ASIGNACIÓN ASIGNATURAS'!Y155="","",'ASIGNACIÓN ASIGNATURAS'!Y155)</f>
        <v/>
      </c>
      <c r="Q143" s="244" t="str">
        <f>IF('ASIGNACIÓN ASIGNATURAS'!Z155="","",'ASIGNACIÓN ASIGNATURAS'!Z155)</f>
        <v/>
      </c>
      <c r="R143" s="244" t="str">
        <f>IF('ASIGNACIÓN ASIGNATURAS'!AA155="","",'ASIGNACIÓN ASIGNATURAS'!AA155)</f>
        <v/>
      </c>
      <c r="S143" s="244" t="str">
        <f>IF('ASIGNACIÓN ASIGNATURAS'!AB155="","",'ASIGNACIÓN ASIGNATURAS'!AB155)</f>
        <v/>
      </c>
    </row>
    <row r="144" spans="1:19" x14ac:dyDescent="0.3">
      <c r="A144" s="290" t="str">
        <f>IF('ASIGNACIÓN ASIGNATURAS'!J59="","",'ASIGNACIÓN ASIGNATURAS'!J59)</f>
        <v/>
      </c>
      <c r="B144" s="290" t="str">
        <f>IF('ASIGNACIÓN ASIGNATURAS'!K59="","",'ASIGNACIÓN ASIGNATURAS'!K59)</f>
        <v/>
      </c>
      <c r="C144" s="290" t="str">
        <f>IF('ASIGNACIÓN ASIGNATURAS'!L59="","",'ASIGNACIÓN ASIGNATURAS'!L59)</f>
        <v/>
      </c>
      <c r="D144" s="290" t="str">
        <f>IF('ASIGNACIÓN ASIGNATURAS'!M59="","",'ASIGNACIÓN ASIGNATURAS'!M59)</f>
        <v/>
      </c>
      <c r="E144" s="290" t="str">
        <f>IF('ASIGNACIÓN ASIGNATURAS'!N59="","",'ASIGNACIÓN ASIGNATURAS'!N59)</f>
        <v/>
      </c>
      <c r="F144" s="290" t="str">
        <f>IF('ASIGNACIÓN ASIGNATURAS'!O59="","",'ASIGNACIÓN ASIGNATURAS'!O59)</f>
        <v/>
      </c>
      <c r="G144" s="290" t="str">
        <f>IF('ASIGNACIÓN ASIGNATURAS'!P59="","",'ASIGNACIÓN ASIGNATURAS'!P59)</f>
        <v/>
      </c>
      <c r="H144" s="290" t="str">
        <f>IF('ASIGNACIÓN ASIGNATURAS'!T59="","",'ASIGNACIÓN ASIGNATURAS'!T59)</f>
        <v/>
      </c>
      <c r="I144" s="290" t="str">
        <f>IF('ASIGNACIÓN ASIGNATURAS'!U59="","",'ASIGNACIÓN ASIGNATURAS'!U59)</f>
        <v/>
      </c>
      <c r="J144" s="290" t="str">
        <f>IF('ASIGNACIÓN ASIGNATURAS'!V59="","",'ASIGNACIÓN ASIGNATURAS'!V59)</f>
        <v/>
      </c>
      <c r="K144" s="301" t="str">
        <f>IF('ASIGNACIÓN ASIGNATURAS'!S59="","",'ASIGNACIÓN ASIGNATURAS'!S59)</f>
        <v/>
      </c>
      <c r="L144" s="244" t="str">
        <f>IF('ASIGNACIÓN ASIGNATURAS'!Q59="","",'ASIGNACIÓN ASIGNATURAS'!Q59)</f>
        <v/>
      </c>
      <c r="M144" s="244" t="str">
        <f>IF('ASIGNACIÓN ASIGNATURAS'!R59="","",'ASIGNACIÓN ASIGNATURAS'!R59)</f>
        <v/>
      </c>
      <c r="N144" s="244" t="str">
        <f>IF('ASIGNACIÓN ASIGNATURAS'!W59="","",'ASIGNACIÓN ASIGNATURAS'!W59)</f>
        <v/>
      </c>
      <c r="O144" s="244" t="str">
        <f>IF('ASIGNACIÓN ASIGNATURAS'!X59="","",'ASIGNACIÓN ASIGNATURAS'!X59)</f>
        <v/>
      </c>
      <c r="P144" s="244" t="str">
        <f>IF('ASIGNACIÓN ASIGNATURAS'!Y59="","",'ASIGNACIÓN ASIGNATURAS'!Y59)</f>
        <v/>
      </c>
      <c r="Q144" s="244" t="str">
        <f>IF('ASIGNACIÓN ASIGNATURAS'!Z59="","",'ASIGNACIÓN ASIGNATURAS'!Z59)</f>
        <v/>
      </c>
      <c r="R144" s="244" t="str">
        <f>IF('ASIGNACIÓN ASIGNATURAS'!AA59="","",'ASIGNACIÓN ASIGNATURAS'!AA59)</f>
        <v/>
      </c>
      <c r="S144" s="244" t="str">
        <f>IF('ASIGNACIÓN ASIGNATURAS'!AB59="","",'ASIGNACIÓN ASIGNATURAS'!AB59)</f>
        <v/>
      </c>
    </row>
    <row r="145" spans="1:19" x14ac:dyDescent="0.3">
      <c r="A145" s="290" t="str">
        <f>IF('ASIGNACIÓN ASIGNATURAS'!J63="","",'ASIGNACIÓN ASIGNATURAS'!J63)</f>
        <v/>
      </c>
      <c r="B145" s="290" t="str">
        <f>IF('ASIGNACIÓN ASIGNATURAS'!K63="","",'ASIGNACIÓN ASIGNATURAS'!K63)</f>
        <v/>
      </c>
      <c r="C145" s="290" t="str">
        <f>IF('ASIGNACIÓN ASIGNATURAS'!L63="","",'ASIGNACIÓN ASIGNATURAS'!L63)</f>
        <v/>
      </c>
      <c r="D145" s="290" t="str">
        <f>IF('ASIGNACIÓN ASIGNATURAS'!M63="","",'ASIGNACIÓN ASIGNATURAS'!M63)</f>
        <v/>
      </c>
      <c r="E145" s="290" t="str">
        <f>IF('ASIGNACIÓN ASIGNATURAS'!N63="","",'ASIGNACIÓN ASIGNATURAS'!N63)</f>
        <v/>
      </c>
      <c r="F145" s="290" t="str">
        <f>IF('ASIGNACIÓN ASIGNATURAS'!O63="","",'ASIGNACIÓN ASIGNATURAS'!O63)</f>
        <v/>
      </c>
      <c r="G145" s="290" t="str">
        <f>IF('ASIGNACIÓN ASIGNATURAS'!P63="","",'ASIGNACIÓN ASIGNATURAS'!P63)</f>
        <v/>
      </c>
      <c r="H145" s="290" t="str">
        <f>IF('ASIGNACIÓN ASIGNATURAS'!T63="","",'ASIGNACIÓN ASIGNATURAS'!T63)</f>
        <v/>
      </c>
      <c r="I145" s="290" t="str">
        <f>IF('ASIGNACIÓN ASIGNATURAS'!U63="","",'ASIGNACIÓN ASIGNATURAS'!U63)</f>
        <v/>
      </c>
      <c r="J145" s="290" t="str">
        <f>IF('ASIGNACIÓN ASIGNATURAS'!V63="","",'ASIGNACIÓN ASIGNATURAS'!V63)</f>
        <v/>
      </c>
      <c r="K145" s="301" t="str">
        <f>IF('ASIGNACIÓN ASIGNATURAS'!S63="","",'ASIGNACIÓN ASIGNATURAS'!S63)</f>
        <v/>
      </c>
      <c r="L145" s="244" t="str">
        <f>IF('ASIGNACIÓN ASIGNATURAS'!Q63="","",'ASIGNACIÓN ASIGNATURAS'!Q63)</f>
        <v/>
      </c>
      <c r="M145" s="244" t="str">
        <f>IF('ASIGNACIÓN ASIGNATURAS'!R63="","",'ASIGNACIÓN ASIGNATURAS'!R63)</f>
        <v/>
      </c>
      <c r="N145" s="244" t="str">
        <f>IF('ASIGNACIÓN ASIGNATURAS'!W63="","",'ASIGNACIÓN ASIGNATURAS'!W63)</f>
        <v/>
      </c>
      <c r="O145" s="244" t="str">
        <f>IF('ASIGNACIÓN ASIGNATURAS'!X63="","",'ASIGNACIÓN ASIGNATURAS'!X63)</f>
        <v/>
      </c>
      <c r="P145" s="244" t="str">
        <f>IF('ASIGNACIÓN ASIGNATURAS'!Y63="","",'ASIGNACIÓN ASIGNATURAS'!Y63)</f>
        <v/>
      </c>
      <c r="Q145" s="244" t="str">
        <f>IF('ASIGNACIÓN ASIGNATURAS'!Z63="","",'ASIGNACIÓN ASIGNATURAS'!Z63)</f>
        <v/>
      </c>
      <c r="R145" s="244" t="str">
        <f>IF('ASIGNACIÓN ASIGNATURAS'!AA63="","",'ASIGNACIÓN ASIGNATURAS'!AA63)</f>
        <v/>
      </c>
      <c r="S145" s="244" t="str">
        <f>IF('ASIGNACIÓN ASIGNATURAS'!AB63="","",'ASIGNACIÓN ASIGNATURAS'!AB63)</f>
        <v/>
      </c>
    </row>
    <row r="146" spans="1:19" x14ac:dyDescent="0.3">
      <c r="A146" s="290" t="str">
        <f>IF('ASIGNACIÓN ASIGNATURAS'!J36="","",'ASIGNACIÓN ASIGNATURAS'!J36)</f>
        <v/>
      </c>
      <c r="B146" s="290" t="str">
        <f>IF('ASIGNACIÓN ASIGNATURAS'!K36="","",'ASIGNACIÓN ASIGNATURAS'!K36)</f>
        <v/>
      </c>
      <c r="C146" s="290" t="str">
        <f>IF('ASIGNACIÓN ASIGNATURAS'!L36="","",'ASIGNACIÓN ASIGNATURAS'!L36)</f>
        <v/>
      </c>
      <c r="D146" s="290" t="str">
        <f>IF('ASIGNACIÓN ASIGNATURAS'!M36="","",'ASIGNACIÓN ASIGNATURAS'!M36)</f>
        <v/>
      </c>
      <c r="E146" s="290" t="str">
        <f>IF('ASIGNACIÓN ASIGNATURAS'!N36="","",'ASIGNACIÓN ASIGNATURAS'!N36)</f>
        <v/>
      </c>
      <c r="F146" s="290" t="str">
        <f>IF('ASIGNACIÓN ASIGNATURAS'!O36="","",'ASIGNACIÓN ASIGNATURAS'!O36)</f>
        <v/>
      </c>
      <c r="G146" s="290" t="str">
        <f>IF('ASIGNACIÓN ASIGNATURAS'!P36="","",'ASIGNACIÓN ASIGNATURAS'!P36)</f>
        <v/>
      </c>
      <c r="H146" s="290" t="str">
        <f>IF('ASIGNACIÓN ASIGNATURAS'!T36="","",'ASIGNACIÓN ASIGNATURAS'!T36)</f>
        <v/>
      </c>
      <c r="I146" s="290" t="str">
        <f>IF('ASIGNACIÓN ASIGNATURAS'!U36="","",'ASIGNACIÓN ASIGNATURAS'!U36)</f>
        <v/>
      </c>
      <c r="J146" s="290" t="str">
        <f>IF('ASIGNACIÓN ASIGNATURAS'!V36="","",'ASIGNACIÓN ASIGNATURAS'!V36)</f>
        <v/>
      </c>
      <c r="K146" s="301" t="str">
        <f>IF('ASIGNACIÓN ASIGNATURAS'!S36="","",'ASIGNACIÓN ASIGNATURAS'!S36)</f>
        <v/>
      </c>
      <c r="L146" s="244" t="str">
        <f>IF('ASIGNACIÓN ASIGNATURAS'!Q36="","",'ASIGNACIÓN ASIGNATURAS'!Q36)</f>
        <v/>
      </c>
      <c r="M146" s="244" t="str">
        <f>IF('ASIGNACIÓN ASIGNATURAS'!R36="","",'ASIGNACIÓN ASIGNATURAS'!R36)</f>
        <v/>
      </c>
      <c r="N146" s="244" t="str">
        <f>IF('ASIGNACIÓN ASIGNATURAS'!W36="","",'ASIGNACIÓN ASIGNATURAS'!W36)</f>
        <v/>
      </c>
      <c r="O146" s="244" t="str">
        <f>IF('ASIGNACIÓN ASIGNATURAS'!X36="","",'ASIGNACIÓN ASIGNATURAS'!X36)</f>
        <v/>
      </c>
      <c r="P146" s="244" t="str">
        <f>IF('ASIGNACIÓN ASIGNATURAS'!Y36="","",'ASIGNACIÓN ASIGNATURAS'!Y36)</f>
        <v/>
      </c>
      <c r="Q146" s="244" t="str">
        <f>IF('ASIGNACIÓN ASIGNATURAS'!Z36="","",'ASIGNACIÓN ASIGNATURAS'!Z36)</f>
        <v/>
      </c>
      <c r="R146" s="244" t="str">
        <f>IF('ASIGNACIÓN ASIGNATURAS'!AA36="","",'ASIGNACIÓN ASIGNATURAS'!AA36)</f>
        <v/>
      </c>
      <c r="S146" s="244" t="str">
        <f>IF('ASIGNACIÓN ASIGNATURAS'!AB36="","",'ASIGNACIÓN ASIGNATURAS'!AB36)</f>
        <v/>
      </c>
    </row>
    <row r="147" spans="1:19" x14ac:dyDescent="0.3">
      <c r="A147" s="290" t="str">
        <f>IF('ASIGNACIÓN ASIGNATURAS'!J40="","",'ASIGNACIÓN ASIGNATURAS'!J40)</f>
        <v/>
      </c>
      <c r="B147" s="290" t="str">
        <f>IF('ASIGNACIÓN ASIGNATURAS'!K40="","",'ASIGNACIÓN ASIGNATURAS'!K40)</f>
        <v/>
      </c>
      <c r="C147" s="290" t="str">
        <f>IF('ASIGNACIÓN ASIGNATURAS'!L40="","",'ASIGNACIÓN ASIGNATURAS'!L40)</f>
        <v/>
      </c>
      <c r="D147" s="290" t="str">
        <f>IF('ASIGNACIÓN ASIGNATURAS'!M40="","",'ASIGNACIÓN ASIGNATURAS'!M40)</f>
        <v/>
      </c>
      <c r="E147" s="290" t="str">
        <f>IF('ASIGNACIÓN ASIGNATURAS'!N40="","",'ASIGNACIÓN ASIGNATURAS'!N40)</f>
        <v/>
      </c>
      <c r="F147" s="290" t="str">
        <f>IF('ASIGNACIÓN ASIGNATURAS'!O40="","",'ASIGNACIÓN ASIGNATURAS'!O40)</f>
        <v/>
      </c>
      <c r="G147" s="290" t="str">
        <f>IF('ASIGNACIÓN ASIGNATURAS'!P40="","",'ASIGNACIÓN ASIGNATURAS'!P40)</f>
        <v/>
      </c>
      <c r="H147" s="290" t="str">
        <f>IF('ASIGNACIÓN ASIGNATURAS'!T40="","",'ASIGNACIÓN ASIGNATURAS'!T40)</f>
        <v/>
      </c>
      <c r="I147" s="290" t="str">
        <f>IF('ASIGNACIÓN ASIGNATURAS'!U40="","",'ASIGNACIÓN ASIGNATURAS'!U40)</f>
        <v/>
      </c>
      <c r="J147" s="290" t="str">
        <f>IF('ASIGNACIÓN ASIGNATURAS'!V40="","",'ASIGNACIÓN ASIGNATURAS'!V40)</f>
        <v/>
      </c>
      <c r="K147" s="301" t="str">
        <f>IF('ASIGNACIÓN ASIGNATURAS'!S40="","",'ASIGNACIÓN ASIGNATURAS'!S40)</f>
        <v/>
      </c>
      <c r="L147" s="244" t="str">
        <f>IF('ASIGNACIÓN ASIGNATURAS'!Q40="","",'ASIGNACIÓN ASIGNATURAS'!Q40)</f>
        <v/>
      </c>
      <c r="M147" s="244" t="str">
        <f>IF('ASIGNACIÓN ASIGNATURAS'!R40="","",'ASIGNACIÓN ASIGNATURAS'!R40)</f>
        <v/>
      </c>
      <c r="N147" s="244" t="str">
        <f>IF('ASIGNACIÓN ASIGNATURAS'!W40="","",'ASIGNACIÓN ASIGNATURAS'!W40)</f>
        <v/>
      </c>
      <c r="O147" s="244" t="str">
        <f>IF('ASIGNACIÓN ASIGNATURAS'!X40="","",'ASIGNACIÓN ASIGNATURAS'!X40)</f>
        <v/>
      </c>
      <c r="P147" s="244" t="str">
        <f>IF('ASIGNACIÓN ASIGNATURAS'!Y40="","",'ASIGNACIÓN ASIGNATURAS'!Y40)</f>
        <v/>
      </c>
      <c r="Q147" s="244" t="str">
        <f>IF('ASIGNACIÓN ASIGNATURAS'!Z40="","",'ASIGNACIÓN ASIGNATURAS'!Z40)</f>
        <v/>
      </c>
      <c r="R147" s="244" t="str">
        <f>IF('ASIGNACIÓN ASIGNATURAS'!AA40="","",'ASIGNACIÓN ASIGNATURAS'!AA40)</f>
        <v/>
      </c>
      <c r="S147" s="244" t="str">
        <f>IF('ASIGNACIÓN ASIGNATURAS'!AB40="","",'ASIGNACIÓN ASIGNATURAS'!AB40)</f>
        <v/>
      </c>
    </row>
    <row r="148" spans="1:19" x14ac:dyDescent="0.3">
      <c r="A148" s="290" t="str">
        <f>IF('ASIGNACIÓN ASIGNATURAS'!J128="","",'ASIGNACIÓN ASIGNATURAS'!J128)</f>
        <v/>
      </c>
      <c r="B148" s="290" t="str">
        <f>IF('ASIGNACIÓN ASIGNATURAS'!K128="","",'ASIGNACIÓN ASIGNATURAS'!K128)</f>
        <v/>
      </c>
      <c r="C148" s="290" t="str">
        <f>IF('ASIGNACIÓN ASIGNATURAS'!L128="","",'ASIGNACIÓN ASIGNATURAS'!L128)</f>
        <v/>
      </c>
      <c r="D148" s="290" t="str">
        <f>IF('ASIGNACIÓN ASIGNATURAS'!M128="","",'ASIGNACIÓN ASIGNATURAS'!M128)</f>
        <v/>
      </c>
      <c r="E148" s="290" t="str">
        <f>IF('ASIGNACIÓN ASIGNATURAS'!N128="","",'ASIGNACIÓN ASIGNATURAS'!N128)</f>
        <v/>
      </c>
      <c r="F148" s="290" t="str">
        <f>IF('ASIGNACIÓN ASIGNATURAS'!O128="","",'ASIGNACIÓN ASIGNATURAS'!O128)</f>
        <v/>
      </c>
      <c r="G148" s="290" t="str">
        <f>IF('ASIGNACIÓN ASIGNATURAS'!P128="","",'ASIGNACIÓN ASIGNATURAS'!P128)</f>
        <v/>
      </c>
      <c r="H148" s="290" t="str">
        <f>IF('ASIGNACIÓN ASIGNATURAS'!T128="","",'ASIGNACIÓN ASIGNATURAS'!T128)</f>
        <v/>
      </c>
      <c r="I148" s="290" t="str">
        <f>IF('ASIGNACIÓN ASIGNATURAS'!U128="","",'ASIGNACIÓN ASIGNATURAS'!U128)</f>
        <v/>
      </c>
      <c r="J148" s="290" t="str">
        <f>IF('ASIGNACIÓN ASIGNATURAS'!V128="","",'ASIGNACIÓN ASIGNATURAS'!V128)</f>
        <v/>
      </c>
      <c r="K148" s="301" t="str">
        <f>IF('ASIGNACIÓN ASIGNATURAS'!S128="","",'ASIGNACIÓN ASIGNATURAS'!S128)</f>
        <v/>
      </c>
      <c r="L148" s="244" t="str">
        <f>IF('ASIGNACIÓN ASIGNATURAS'!Q128="","",'ASIGNACIÓN ASIGNATURAS'!Q128)</f>
        <v/>
      </c>
      <c r="M148" s="244" t="str">
        <f>IF('ASIGNACIÓN ASIGNATURAS'!R128="","",'ASIGNACIÓN ASIGNATURAS'!R128)</f>
        <v/>
      </c>
      <c r="N148" s="244" t="str">
        <f>IF('ASIGNACIÓN ASIGNATURAS'!W128="","",'ASIGNACIÓN ASIGNATURAS'!W128)</f>
        <v/>
      </c>
      <c r="O148" s="244" t="str">
        <f>IF('ASIGNACIÓN ASIGNATURAS'!X128="","",'ASIGNACIÓN ASIGNATURAS'!X128)</f>
        <v/>
      </c>
      <c r="P148" s="244" t="str">
        <f>IF('ASIGNACIÓN ASIGNATURAS'!Y128="","",'ASIGNACIÓN ASIGNATURAS'!Y128)</f>
        <v/>
      </c>
      <c r="Q148" s="244" t="str">
        <f>IF('ASIGNACIÓN ASIGNATURAS'!Z128="","",'ASIGNACIÓN ASIGNATURAS'!Z128)</f>
        <v/>
      </c>
      <c r="R148" s="244" t="str">
        <f>IF('ASIGNACIÓN ASIGNATURAS'!AA128="","",'ASIGNACIÓN ASIGNATURAS'!AA128)</f>
        <v/>
      </c>
      <c r="S148" s="244" t="str">
        <f>IF('ASIGNACIÓN ASIGNATURAS'!AB128="","",'ASIGNACIÓN ASIGNATURAS'!AB128)</f>
        <v/>
      </c>
    </row>
    <row r="149" spans="1:19" x14ac:dyDescent="0.3">
      <c r="A149" s="290" t="str">
        <f>IF('ASIGNACIÓN ASIGNATURAS'!J132="","",'ASIGNACIÓN ASIGNATURAS'!J132)</f>
        <v/>
      </c>
      <c r="B149" s="290" t="str">
        <f>IF('ASIGNACIÓN ASIGNATURAS'!K132="","",'ASIGNACIÓN ASIGNATURAS'!K132)</f>
        <v/>
      </c>
      <c r="C149" s="290" t="str">
        <f>IF('ASIGNACIÓN ASIGNATURAS'!L132="","",'ASIGNACIÓN ASIGNATURAS'!L132)</f>
        <v/>
      </c>
      <c r="D149" s="290" t="str">
        <f>IF('ASIGNACIÓN ASIGNATURAS'!M132="","",'ASIGNACIÓN ASIGNATURAS'!M132)</f>
        <v/>
      </c>
      <c r="E149" s="290" t="str">
        <f>IF('ASIGNACIÓN ASIGNATURAS'!N132="","",'ASIGNACIÓN ASIGNATURAS'!N132)</f>
        <v/>
      </c>
      <c r="F149" s="290" t="str">
        <f>IF('ASIGNACIÓN ASIGNATURAS'!O132="","",'ASIGNACIÓN ASIGNATURAS'!O132)</f>
        <v/>
      </c>
      <c r="G149" s="290" t="str">
        <f>IF('ASIGNACIÓN ASIGNATURAS'!P132="","",'ASIGNACIÓN ASIGNATURAS'!P132)</f>
        <v/>
      </c>
      <c r="H149" s="290" t="str">
        <f>IF('ASIGNACIÓN ASIGNATURAS'!T132="","",'ASIGNACIÓN ASIGNATURAS'!T132)</f>
        <v/>
      </c>
      <c r="I149" s="290" t="str">
        <f>IF('ASIGNACIÓN ASIGNATURAS'!U132="","",'ASIGNACIÓN ASIGNATURAS'!U132)</f>
        <v/>
      </c>
      <c r="J149" s="290" t="str">
        <f>IF('ASIGNACIÓN ASIGNATURAS'!V132="","",'ASIGNACIÓN ASIGNATURAS'!V132)</f>
        <v/>
      </c>
      <c r="K149" s="301" t="str">
        <f>IF('ASIGNACIÓN ASIGNATURAS'!S132="","",'ASIGNACIÓN ASIGNATURAS'!S132)</f>
        <v/>
      </c>
      <c r="L149" s="244" t="str">
        <f>IF('ASIGNACIÓN ASIGNATURAS'!Q132="","",'ASIGNACIÓN ASIGNATURAS'!Q132)</f>
        <v/>
      </c>
      <c r="M149" s="244" t="str">
        <f>IF('ASIGNACIÓN ASIGNATURAS'!R132="","",'ASIGNACIÓN ASIGNATURAS'!R132)</f>
        <v/>
      </c>
      <c r="N149" s="244" t="str">
        <f>IF('ASIGNACIÓN ASIGNATURAS'!W132="","",'ASIGNACIÓN ASIGNATURAS'!W132)</f>
        <v/>
      </c>
      <c r="O149" s="244" t="str">
        <f>IF('ASIGNACIÓN ASIGNATURAS'!X132="","",'ASIGNACIÓN ASIGNATURAS'!X132)</f>
        <v/>
      </c>
      <c r="P149" s="244" t="str">
        <f>IF('ASIGNACIÓN ASIGNATURAS'!Y132="","",'ASIGNACIÓN ASIGNATURAS'!Y132)</f>
        <v/>
      </c>
      <c r="Q149" s="244" t="str">
        <f>IF('ASIGNACIÓN ASIGNATURAS'!Z132="","",'ASIGNACIÓN ASIGNATURAS'!Z132)</f>
        <v/>
      </c>
      <c r="R149" s="244" t="str">
        <f>IF('ASIGNACIÓN ASIGNATURAS'!AA132="","",'ASIGNACIÓN ASIGNATURAS'!AA132)</f>
        <v/>
      </c>
      <c r="S149" s="244" t="str">
        <f>IF('ASIGNACIÓN ASIGNATURAS'!AB132="","",'ASIGNACIÓN ASIGNATURAS'!AB132)</f>
        <v/>
      </c>
    </row>
    <row r="150" spans="1:19" x14ac:dyDescent="0.3">
      <c r="A150" s="290" t="str">
        <f>IF('ASIGNACIÓN ASIGNATURAS'!J82="","",'ASIGNACIÓN ASIGNATURAS'!J82)</f>
        <v/>
      </c>
      <c r="B150" s="290" t="str">
        <f>IF('ASIGNACIÓN ASIGNATURAS'!K82="","",'ASIGNACIÓN ASIGNATURAS'!K82)</f>
        <v/>
      </c>
      <c r="C150" s="290" t="str">
        <f>IF('ASIGNACIÓN ASIGNATURAS'!L82="","",'ASIGNACIÓN ASIGNATURAS'!L82)</f>
        <v/>
      </c>
      <c r="D150" s="290" t="str">
        <f>IF('ASIGNACIÓN ASIGNATURAS'!M82="","",'ASIGNACIÓN ASIGNATURAS'!M82)</f>
        <v/>
      </c>
      <c r="E150" s="290" t="str">
        <f>IF('ASIGNACIÓN ASIGNATURAS'!N82="","",'ASIGNACIÓN ASIGNATURAS'!N82)</f>
        <v/>
      </c>
      <c r="F150" s="290" t="str">
        <f>IF('ASIGNACIÓN ASIGNATURAS'!O82="","",'ASIGNACIÓN ASIGNATURAS'!O82)</f>
        <v/>
      </c>
      <c r="G150" s="290" t="str">
        <f>IF('ASIGNACIÓN ASIGNATURAS'!P82="","",'ASIGNACIÓN ASIGNATURAS'!P82)</f>
        <v/>
      </c>
      <c r="H150" s="290" t="str">
        <f>IF('ASIGNACIÓN ASIGNATURAS'!T82="","",'ASIGNACIÓN ASIGNATURAS'!T82)</f>
        <v/>
      </c>
      <c r="I150" s="290" t="str">
        <f>IF('ASIGNACIÓN ASIGNATURAS'!U82="","",'ASIGNACIÓN ASIGNATURAS'!U82)</f>
        <v/>
      </c>
      <c r="J150" s="290" t="str">
        <f>IF('ASIGNACIÓN ASIGNATURAS'!V82="","",'ASIGNACIÓN ASIGNATURAS'!V82)</f>
        <v/>
      </c>
      <c r="K150" s="301" t="str">
        <f>IF('ASIGNACIÓN ASIGNATURAS'!S82="","",'ASIGNACIÓN ASIGNATURAS'!S82)</f>
        <v/>
      </c>
      <c r="L150" s="244" t="str">
        <f>IF('ASIGNACIÓN ASIGNATURAS'!Q82="","",'ASIGNACIÓN ASIGNATURAS'!Q82)</f>
        <v/>
      </c>
      <c r="M150" s="244" t="str">
        <f>IF('ASIGNACIÓN ASIGNATURAS'!R82="","",'ASIGNACIÓN ASIGNATURAS'!R82)</f>
        <v/>
      </c>
      <c r="N150" s="244" t="str">
        <f>IF('ASIGNACIÓN ASIGNATURAS'!W82="","",'ASIGNACIÓN ASIGNATURAS'!W82)</f>
        <v/>
      </c>
      <c r="O150" s="244" t="str">
        <f>IF('ASIGNACIÓN ASIGNATURAS'!X82="","",'ASIGNACIÓN ASIGNATURAS'!X82)</f>
        <v/>
      </c>
      <c r="P150" s="244" t="str">
        <f>IF('ASIGNACIÓN ASIGNATURAS'!Y82="","",'ASIGNACIÓN ASIGNATURAS'!Y82)</f>
        <v/>
      </c>
      <c r="Q150" s="244" t="str">
        <f>IF('ASIGNACIÓN ASIGNATURAS'!Z82="","",'ASIGNACIÓN ASIGNATURAS'!Z82)</f>
        <v/>
      </c>
      <c r="R150" s="244" t="str">
        <f>IF('ASIGNACIÓN ASIGNATURAS'!AA82="","",'ASIGNACIÓN ASIGNATURAS'!AA82)</f>
        <v/>
      </c>
      <c r="S150" s="244" t="str">
        <f>IF('ASIGNACIÓN ASIGNATURAS'!AB82="","",'ASIGNACIÓN ASIGNATURAS'!AB82)</f>
        <v/>
      </c>
    </row>
    <row r="151" spans="1:19" x14ac:dyDescent="0.3">
      <c r="A151" s="290" t="str">
        <f>IF('ASIGNACIÓN ASIGNATURAS'!J86="","",'ASIGNACIÓN ASIGNATURAS'!J86)</f>
        <v/>
      </c>
      <c r="B151" s="290" t="str">
        <f>IF('ASIGNACIÓN ASIGNATURAS'!K86="","",'ASIGNACIÓN ASIGNATURAS'!K86)</f>
        <v/>
      </c>
      <c r="C151" s="290" t="str">
        <f>IF('ASIGNACIÓN ASIGNATURAS'!L86="","",'ASIGNACIÓN ASIGNATURAS'!L86)</f>
        <v/>
      </c>
      <c r="D151" s="290" t="str">
        <f>IF('ASIGNACIÓN ASIGNATURAS'!M86="","",'ASIGNACIÓN ASIGNATURAS'!M86)</f>
        <v/>
      </c>
      <c r="E151" s="290" t="str">
        <f>IF('ASIGNACIÓN ASIGNATURAS'!N86="","",'ASIGNACIÓN ASIGNATURAS'!N86)</f>
        <v/>
      </c>
      <c r="F151" s="290" t="str">
        <f>IF('ASIGNACIÓN ASIGNATURAS'!O86="","",'ASIGNACIÓN ASIGNATURAS'!O86)</f>
        <v/>
      </c>
      <c r="G151" s="290" t="str">
        <f>IF('ASIGNACIÓN ASIGNATURAS'!P86="","",'ASIGNACIÓN ASIGNATURAS'!P86)</f>
        <v/>
      </c>
      <c r="H151" s="290" t="str">
        <f>IF('ASIGNACIÓN ASIGNATURAS'!T86="","",'ASIGNACIÓN ASIGNATURAS'!T86)</f>
        <v/>
      </c>
      <c r="I151" s="290" t="str">
        <f>IF('ASIGNACIÓN ASIGNATURAS'!U86="","",'ASIGNACIÓN ASIGNATURAS'!U86)</f>
        <v/>
      </c>
      <c r="J151" s="290" t="str">
        <f>IF('ASIGNACIÓN ASIGNATURAS'!V86="","",'ASIGNACIÓN ASIGNATURAS'!V86)</f>
        <v/>
      </c>
      <c r="K151" s="301" t="str">
        <f>IF('ASIGNACIÓN ASIGNATURAS'!S86="","",'ASIGNACIÓN ASIGNATURAS'!S86)</f>
        <v/>
      </c>
      <c r="L151" s="244" t="str">
        <f>IF('ASIGNACIÓN ASIGNATURAS'!Q86="","",'ASIGNACIÓN ASIGNATURAS'!Q86)</f>
        <v/>
      </c>
      <c r="M151" s="244" t="str">
        <f>IF('ASIGNACIÓN ASIGNATURAS'!R86="","",'ASIGNACIÓN ASIGNATURAS'!R86)</f>
        <v/>
      </c>
      <c r="N151" s="244" t="str">
        <f>IF('ASIGNACIÓN ASIGNATURAS'!W86="","",'ASIGNACIÓN ASIGNATURAS'!W86)</f>
        <v/>
      </c>
      <c r="O151" s="244" t="str">
        <f>IF('ASIGNACIÓN ASIGNATURAS'!X86="","",'ASIGNACIÓN ASIGNATURAS'!X86)</f>
        <v/>
      </c>
      <c r="P151" s="244" t="str">
        <f>IF('ASIGNACIÓN ASIGNATURAS'!Y86="","",'ASIGNACIÓN ASIGNATURAS'!Y86)</f>
        <v/>
      </c>
      <c r="Q151" s="244" t="str">
        <f>IF('ASIGNACIÓN ASIGNATURAS'!Z86="","",'ASIGNACIÓN ASIGNATURAS'!Z86)</f>
        <v/>
      </c>
      <c r="R151" s="244" t="str">
        <f>IF('ASIGNACIÓN ASIGNATURAS'!AA86="","",'ASIGNACIÓN ASIGNATURAS'!AA86)</f>
        <v/>
      </c>
      <c r="S151" s="244" t="str">
        <f>IF('ASIGNACIÓN ASIGNATURAS'!AB86="","",'ASIGNACIÓN ASIGNATURAS'!AB86)</f>
        <v/>
      </c>
    </row>
    <row r="152" spans="1:19" x14ac:dyDescent="0.3">
      <c r="A152" s="290" t="str">
        <f>IF('ASIGNACIÓN ASIGNATURAS'!J13="","",'ASIGNACIÓN ASIGNATURAS'!J13)</f>
        <v/>
      </c>
      <c r="B152" s="290" t="str">
        <f>IF('ASIGNACIÓN ASIGNATURAS'!K13="","",'ASIGNACIÓN ASIGNATURAS'!K13)</f>
        <v/>
      </c>
      <c r="C152" s="290" t="str">
        <f>IF('ASIGNACIÓN ASIGNATURAS'!L13="","",'ASIGNACIÓN ASIGNATURAS'!L13)</f>
        <v/>
      </c>
      <c r="D152" s="290" t="str">
        <f>IF('ASIGNACIÓN ASIGNATURAS'!M13="","",'ASIGNACIÓN ASIGNATURAS'!M13)</f>
        <v/>
      </c>
      <c r="E152" s="290" t="str">
        <f>IF('ASIGNACIÓN ASIGNATURAS'!N13="","",'ASIGNACIÓN ASIGNATURAS'!N13)</f>
        <v/>
      </c>
      <c r="F152" s="290" t="str">
        <f>IF('ASIGNACIÓN ASIGNATURAS'!O13="","",'ASIGNACIÓN ASIGNATURAS'!O13)</f>
        <v/>
      </c>
      <c r="G152" s="290" t="str">
        <f>IF('ASIGNACIÓN ASIGNATURAS'!P13="","",'ASIGNACIÓN ASIGNATURAS'!P13)</f>
        <v/>
      </c>
      <c r="H152" s="290" t="str">
        <f>IF('ASIGNACIÓN ASIGNATURAS'!T13="","",'ASIGNACIÓN ASIGNATURAS'!T13)</f>
        <v/>
      </c>
      <c r="I152" s="290" t="str">
        <f>IF('ASIGNACIÓN ASIGNATURAS'!U13="","",'ASIGNACIÓN ASIGNATURAS'!U13)</f>
        <v/>
      </c>
      <c r="J152" s="290" t="str">
        <f>IF('ASIGNACIÓN ASIGNATURAS'!V13="","",'ASIGNACIÓN ASIGNATURAS'!V13)</f>
        <v/>
      </c>
      <c r="K152" s="301" t="str">
        <f>IF('ASIGNACIÓN ASIGNATURAS'!S13="","",'ASIGNACIÓN ASIGNATURAS'!S13)</f>
        <v/>
      </c>
      <c r="L152" s="244" t="str">
        <f>IF('ASIGNACIÓN ASIGNATURAS'!Q13="","",'ASIGNACIÓN ASIGNATURAS'!Q13)</f>
        <v/>
      </c>
      <c r="M152" s="244" t="str">
        <f>IF('ASIGNACIÓN ASIGNATURAS'!R13="","",'ASIGNACIÓN ASIGNATURAS'!R13)</f>
        <v/>
      </c>
      <c r="N152" s="244" t="str">
        <f>IF('ASIGNACIÓN ASIGNATURAS'!W13="","",'ASIGNACIÓN ASIGNATURAS'!W13)</f>
        <v/>
      </c>
      <c r="O152" s="244" t="str">
        <f>IF('ASIGNACIÓN ASIGNATURAS'!X13="","",'ASIGNACIÓN ASIGNATURAS'!X13)</f>
        <v/>
      </c>
      <c r="P152" s="244" t="str">
        <f>IF('ASIGNACIÓN ASIGNATURAS'!Y13="","",'ASIGNACIÓN ASIGNATURAS'!Y13)</f>
        <v/>
      </c>
      <c r="Q152" s="244" t="str">
        <f>IF('ASIGNACIÓN ASIGNATURAS'!Z13="","",'ASIGNACIÓN ASIGNATURAS'!Z13)</f>
        <v/>
      </c>
      <c r="R152" s="244" t="str">
        <f>IF('ASIGNACIÓN ASIGNATURAS'!AA13="","",'ASIGNACIÓN ASIGNATURAS'!AA13)</f>
        <v/>
      </c>
      <c r="S152" s="244" t="str">
        <f>IF('ASIGNACIÓN ASIGNATURAS'!AB13="","",'ASIGNACIÓN ASIGNATURAS'!AB13)</f>
        <v/>
      </c>
    </row>
    <row r="153" spans="1:19" x14ac:dyDescent="0.3">
      <c r="A153" s="290" t="str">
        <f>IF('ASIGNACIÓN ASIGNATURAS'!J85="","",'ASIGNACIÓN ASIGNATURAS'!J85)</f>
        <v/>
      </c>
      <c r="B153" s="290" t="str">
        <f>IF('ASIGNACIÓN ASIGNATURAS'!K85="","",'ASIGNACIÓN ASIGNATURAS'!K85)</f>
        <v/>
      </c>
      <c r="C153" s="290" t="str">
        <f>IF('ASIGNACIÓN ASIGNATURAS'!L85="","",'ASIGNACIÓN ASIGNATURAS'!L85)</f>
        <v/>
      </c>
      <c r="D153" s="290" t="str">
        <f>IF('ASIGNACIÓN ASIGNATURAS'!M85="","",'ASIGNACIÓN ASIGNATURAS'!M85)</f>
        <v/>
      </c>
      <c r="E153" s="290" t="str">
        <f>IF('ASIGNACIÓN ASIGNATURAS'!N85="","",'ASIGNACIÓN ASIGNATURAS'!N85)</f>
        <v/>
      </c>
      <c r="F153" s="290" t="str">
        <f>IF('ASIGNACIÓN ASIGNATURAS'!O85="","",'ASIGNACIÓN ASIGNATURAS'!O85)</f>
        <v/>
      </c>
      <c r="G153" s="290" t="str">
        <f>IF('ASIGNACIÓN ASIGNATURAS'!P85="","",'ASIGNACIÓN ASIGNATURAS'!P85)</f>
        <v/>
      </c>
      <c r="H153" s="290" t="str">
        <f>IF('ASIGNACIÓN ASIGNATURAS'!T85="","",'ASIGNACIÓN ASIGNATURAS'!T85)</f>
        <v/>
      </c>
      <c r="I153" s="290" t="str">
        <f>IF('ASIGNACIÓN ASIGNATURAS'!U85="","",'ASIGNACIÓN ASIGNATURAS'!U85)</f>
        <v/>
      </c>
      <c r="J153" s="290" t="str">
        <f>IF('ASIGNACIÓN ASIGNATURAS'!V85="","",'ASIGNACIÓN ASIGNATURAS'!V85)</f>
        <v/>
      </c>
      <c r="K153" s="301" t="str">
        <f>IF('ASIGNACIÓN ASIGNATURAS'!S85="","",'ASIGNACIÓN ASIGNATURAS'!S85)</f>
        <v/>
      </c>
      <c r="L153" s="244" t="str">
        <f>IF('ASIGNACIÓN ASIGNATURAS'!Q85="","",'ASIGNACIÓN ASIGNATURAS'!Q85)</f>
        <v/>
      </c>
      <c r="M153" s="244" t="str">
        <f>IF('ASIGNACIÓN ASIGNATURAS'!R85="","",'ASIGNACIÓN ASIGNATURAS'!R85)</f>
        <v/>
      </c>
      <c r="N153" s="244" t="str">
        <f>IF('ASIGNACIÓN ASIGNATURAS'!W85="","",'ASIGNACIÓN ASIGNATURAS'!W85)</f>
        <v/>
      </c>
      <c r="O153" s="244" t="str">
        <f>IF('ASIGNACIÓN ASIGNATURAS'!X85="","",'ASIGNACIÓN ASIGNATURAS'!X85)</f>
        <v/>
      </c>
      <c r="P153" s="244" t="str">
        <f>IF('ASIGNACIÓN ASIGNATURAS'!Y85="","",'ASIGNACIÓN ASIGNATURAS'!Y85)</f>
        <v/>
      </c>
      <c r="Q153" s="244" t="str">
        <f>IF('ASIGNACIÓN ASIGNATURAS'!Z85="","",'ASIGNACIÓN ASIGNATURAS'!Z85)</f>
        <v/>
      </c>
      <c r="R153" s="244" t="str">
        <f>IF('ASIGNACIÓN ASIGNATURAS'!AA85="","",'ASIGNACIÓN ASIGNATURAS'!AA85)</f>
        <v/>
      </c>
      <c r="S153" s="244" t="str">
        <f>IF('ASIGNACIÓN ASIGNATURAS'!AB85="","",'ASIGNACIÓN ASIGNATURAS'!AB85)</f>
        <v/>
      </c>
    </row>
    <row r="154" spans="1:19" x14ac:dyDescent="0.3">
      <c r="A154" s="290" t="str">
        <f>IF('ASIGNACIÓN ASIGNATURAS'!J39="","",'ASIGNACIÓN ASIGNATURAS'!J39)</f>
        <v/>
      </c>
      <c r="B154" s="290" t="str">
        <f>IF('ASIGNACIÓN ASIGNATURAS'!K39="","",'ASIGNACIÓN ASIGNATURAS'!K39)</f>
        <v/>
      </c>
      <c r="C154" s="290" t="str">
        <f>IF('ASIGNACIÓN ASIGNATURAS'!L39="","",'ASIGNACIÓN ASIGNATURAS'!L39)</f>
        <v/>
      </c>
      <c r="D154" s="290" t="str">
        <f>IF('ASIGNACIÓN ASIGNATURAS'!M39="","",'ASIGNACIÓN ASIGNATURAS'!M39)</f>
        <v/>
      </c>
      <c r="E154" s="290" t="str">
        <f>IF('ASIGNACIÓN ASIGNATURAS'!N39="","",'ASIGNACIÓN ASIGNATURAS'!N39)</f>
        <v/>
      </c>
      <c r="F154" s="290" t="str">
        <f>IF('ASIGNACIÓN ASIGNATURAS'!O39="","",'ASIGNACIÓN ASIGNATURAS'!O39)</f>
        <v/>
      </c>
      <c r="G154" s="290" t="str">
        <f>IF('ASIGNACIÓN ASIGNATURAS'!P39="","",'ASIGNACIÓN ASIGNATURAS'!P39)</f>
        <v/>
      </c>
      <c r="H154" s="290" t="str">
        <f>IF('ASIGNACIÓN ASIGNATURAS'!T39="","",'ASIGNACIÓN ASIGNATURAS'!T39)</f>
        <v/>
      </c>
      <c r="I154" s="290" t="str">
        <f>IF('ASIGNACIÓN ASIGNATURAS'!U39="","",'ASIGNACIÓN ASIGNATURAS'!U39)</f>
        <v/>
      </c>
      <c r="J154" s="290" t="str">
        <f>IF('ASIGNACIÓN ASIGNATURAS'!V39="","",'ASIGNACIÓN ASIGNATURAS'!V39)</f>
        <v/>
      </c>
      <c r="K154" s="301" t="str">
        <f>IF('ASIGNACIÓN ASIGNATURAS'!S39="","",'ASIGNACIÓN ASIGNATURAS'!S39)</f>
        <v/>
      </c>
      <c r="L154" s="244" t="str">
        <f>IF('ASIGNACIÓN ASIGNATURAS'!Q39="","",'ASIGNACIÓN ASIGNATURAS'!Q39)</f>
        <v/>
      </c>
      <c r="M154" s="244" t="str">
        <f>IF('ASIGNACIÓN ASIGNATURAS'!R39="","",'ASIGNACIÓN ASIGNATURAS'!R39)</f>
        <v/>
      </c>
      <c r="N154" s="244" t="str">
        <f>IF('ASIGNACIÓN ASIGNATURAS'!W39="","",'ASIGNACIÓN ASIGNATURAS'!W39)</f>
        <v/>
      </c>
      <c r="O154" s="244" t="str">
        <f>IF('ASIGNACIÓN ASIGNATURAS'!X39="","",'ASIGNACIÓN ASIGNATURAS'!X39)</f>
        <v/>
      </c>
      <c r="P154" s="244" t="str">
        <f>IF('ASIGNACIÓN ASIGNATURAS'!Y39="","",'ASIGNACIÓN ASIGNATURAS'!Y39)</f>
        <v/>
      </c>
      <c r="Q154" s="244" t="str">
        <f>IF('ASIGNACIÓN ASIGNATURAS'!Z39="","",'ASIGNACIÓN ASIGNATURAS'!Z39)</f>
        <v/>
      </c>
      <c r="R154" s="244" t="str">
        <f>IF('ASIGNACIÓN ASIGNATURAS'!AA39="","",'ASIGNACIÓN ASIGNATURAS'!AA39)</f>
        <v/>
      </c>
      <c r="S154" s="244" t="str">
        <f>IF('ASIGNACIÓN ASIGNATURAS'!AB39="","",'ASIGNACIÓN ASIGNATURAS'!AB39)</f>
        <v/>
      </c>
    </row>
    <row r="155" spans="1:19" x14ac:dyDescent="0.3">
      <c r="A155" s="290" t="str">
        <f>IF('ASIGNACIÓN ASIGNATURAS'!J131="","",'ASIGNACIÓN ASIGNATURAS'!J131)</f>
        <v/>
      </c>
      <c r="B155" s="290" t="str">
        <f>IF('ASIGNACIÓN ASIGNATURAS'!K131="","",'ASIGNACIÓN ASIGNATURAS'!K131)</f>
        <v/>
      </c>
      <c r="C155" s="290" t="str">
        <f>IF('ASIGNACIÓN ASIGNATURAS'!L131="","",'ASIGNACIÓN ASIGNATURAS'!L131)</f>
        <v/>
      </c>
      <c r="D155" s="290" t="str">
        <f>IF('ASIGNACIÓN ASIGNATURAS'!M131="","",'ASIGNACIÓN ASIGNATURAS'!M131)</f>
        <v/>
      </c>
      <c r="E155" s="290" t="str">
        <f>IF('ASIGNACIÓN ASIGNATURAS'!N131="","",'ASIGNACIÓN ASIGNATURAS'!N131)</f>
        <v/>
      </c>
      <c r="F155" s="290" t="str">
        <f>IF('ASIGNACIÓN ASIGNATURAS'!O131="","",'ASIGNACIÓN ASIGNATURAS'!O131)</f>
        <v/>
      </c>
      <c r="G155" s="290" t="str">
        <f>IF('ASIGNACIÓN ASIGNATURAS'!P131="","",'ASIGNACIÓN ASIGNATURAS'!P131)</f>
        <v/>
      </c>
      <c r="H155" s="290" t="str">
        <f>IF('ASIGNACIÓN ASIGNATURAS'!T131="","",'ASIGNACIÓN ASIGNATURAS'!T131)</f>
        <v/>
      </c>
      <c r="I155" s="290" t="str">
        <f>IF('ASIGNACIÓN ASIGNATURAS'!U131="","",'ASIGNACIÓN ASIGNATURAS'!U131)</f>
        <v/>
      </c>
      <c r="J155" s="290" t="str">
        <f>IF('ASIGNACIÓN ASIGNATURAS'!V131="","",'ASIGNACIÓN ASIGNATURAS'!V131)</f>
        <v/>
      </c>
      <c r="K155" s="301" t="str">
        <f>IF('ASIGNACIÓN ASIGNATURAS'!S131="","",'ASIGNACIÓN ASIGNATURAS'!S131)</f>
        <v/>
      </c>
      <c r="L155" s="244" t="str">
        <f>IF('ASIGNACIÓN ASIGNATURAS'!Q131="","",'ASIGNACIÓN ASIGNATURAS'!Q131)</f>
        <v/>
      </c>
      <c r="M155" s="244" t="str">
        <f>IF('ASIGNACIÓN ASIGNATURAS'!R131="","",'ASIGNACIÓN ASIGNATURAS'!R131)</f>
        <v/>
      </c>
      <c r="N155" s="244" t="str">
        <f>IF('ASIGNACIÓN ASIGNATURAS'!W131="","",'ASIGNACIÓN ASIGNATURAS'!W131)</f>
        <v/>
      </c>
      <c r="O155" s="244" t="str">
        <f>IF('ASIGNACIÓN ASIGNATURAS'!X131="","",'ASIGNACIÓN ASIGNATURAS'!X131)</f>
        <v/>
      </c>
      <c r="P155" s="244" t="str">
        <f>IF('ASIGNACIÓN ASIGNATURAS'!Y131="","",'ASIGNACIÓN ASIGNATURAS'!Y131)</f>
        <v/>
      </c>
      <c r="Q155" s="244" t="str">
        <f>IF('ASIGNACIÓN ASIGNATURAS'!Z131="","",'ASIGNACIÓN ASIGNATURAS'!Z131)</f>
        <v/>
      </c>
      <c r="R155" s="244" t="str">
        <f>IF('ASIGNACIÓN ASIGNATURAS'!AA131="","",'ASIGNACIÓN ASIGNATURAS'!AA131)</f>
        <v/>
      </c>
      <c r="S155" s="244" t="str">
        <f>IF('ASIGNACIÓN ASIGNATURAS'!AB131="","",'ASIGNACIÓN ASIGNATURAS'!AB131)</f>
        <v/>
      </c>
    </row>
    <row r="156" spans="1:19" x14ac:dyDescent="0.3">
      <c r="A156" s="290" t="str">
        <f>IF('ASIGNACIÓN ASIGNATURAS'!J108="","",'ASIGNACIÓN ASIGNATURAS'!J108)</f>
        <v/>
      </c>
      <c r="B156" s="290" t="str">
        <f>IF('ASIGNACIÓN ASIGNATURAS'!K108="","",'ASIGNACIÓN ASIGNATURAS'!K108)</f>
        <v/>
      </c>
      <c r="C156" s="290" t="str">
        <f>IF('ASIGNACIÓN ASIGNATURAS'!L108="","",'ASIGNACIÓN ASIGNATURAS'!L108)</f>
        <v/>
      </c>
      <c r="D156" s="290" t="str">
        <f>IF('ASIGNACIÓN ASIGNATURAS'!M108="","",'ASIGNACIÓN ASIGNATURAS'!M108)</f>
        <v/>
      </c>
      <c r="E156" s="290" t="str">
        <f>IF('ASIGNACIÓN ASIGNATURAS'!N108="","",'ASIGNACIÓN ASIGNATURAS'!N108)</f>
        <v/>
      </c>
      <c r="F156" s="290" t="str">
        <f>IF('ASIGNACIÓN ASIGNATURAS'!O108="","",'ASIGNACIÓN ASIGNATURAS'!O108)</f>
        <v/>
      </c>
      <c r="G156" s="290" t="str">
        <f>IF('ASIGNACIÓN ASIGNATURAS'!P108="","",'ASIGNACIÓN ASIGNATURAS'!P108)</f>
        <v/>
      </c>
      <c r="H156" s="290" t="str">
        <f>IF('ASIGNACIÓN ASIGNATURAS'!T108="","",'ASIGNACIÓN ASIGNATURAS'!T108)</f>
        <v/>
      </c>
      <c r="I156" s="290" t="str">
        <f>IF('ASIGNACIÓN ASIGNATURAS'!U108="","",'ASIGNACIÓN ASIGNATURAS'!U108)</f>
        <v/>
      </c>
      <c r="J156" s="290" t="str">
        <f>IF('ASIGNACIÓN ASIGNATURAS'!V108="","",'ASIGNACIÓN ASIGNATURAS'!V108)</f>
        <v/>
      </c>
      <c r="K156" s="301" t="str">
        <f>IF('ASIGNACIÓN ASIGNATURAS'!S108="","",'ASIGNACIÓN ASIGNATURAS'!S108)</f>
        <v/>
      </c>
      <c r="L156" s="244" t="str">
        <f>IF('ASIGNACIÓN ASIGNATURAS'!Q108="","",'ASIGNACIÓN ASIGNATURAS'!Q108)</f>
        <v/>
      </c>
      <c r="M156" s="244" t="str">
        <f>IF('ASIGNACIÓN ASIGNATURAS'!R108="","",'ASIGNACIÓN ASIGNATURAS'!R108)</f>
        <v/>
      </c>
      <c r="N156" s="244" t="str">
        <f>IF('ASIGNACIÓN ASIGNATURAS'!W108="","",'ASIGNACIÓN ASIGNATURAS'!W108)</f>
        <v/>
      </c>
      <c r="O156" s="244" t="str">
        <f>IF('ASIGNACIÓN ASIGNATURAS'!X108="","",'ASIGNACIÓN ASIGNATURAS'!X108)</f>
        <v/>
      </c>
      <c r="P156" s="244" t="str">
        <f>IF('ASIGNACIÓN ASIGNATURAS'!Y108="","",'ASIGNACIÓN ASIGNATURAS'!Y108)</f>
        <v/>
      </c>
      <c r="Q156" s="244" t="str">
        <f>IF('ASIGNACIÓN ASIGNATURAS'!Z108="","",'ASIGNACIÓN ASIGNATURAS'!Z108)</f>
        <v/>
      </c>
      <c r="R156" s="244" t="str">
        <f>IF('ASIGNACIÓN ASIGNATURAS'!AA108="","",'ASIGNACIÓN ASIGNATURAS'!AA108)</f>
        <v/>
      </c>
      <c r="S156" s="244" t="str">
        <f>IF('ASIGNACIÓN ASIGNATURAS'!AB108="","",'ASIGNACIÓN ASIGNATURAS'!AB108)</f>
        <v/>
      </c>
    </row>
    <row r="157" spans="1:19" x14ac:dyDescent="0.3">
      <c r="A157" s="290" t="str">
        <f>IF('ASIGNACIÓN ASIGNATURAS'!J154="","",'ASIGNACIÓN ASIGNATURAS'!J154)</f>
        <v/>
      </c>
      <c r="B157" s="290" t="str">
        <f>IF('ASIGNACIÓN ASIGNATURAS'!K154="","",'ASIGNACIÓN ASIGNATURAS'!K154)</f>
        <v/>
      </c>
      <c r="C157" s="290" t="str">
        <f>IF('ASIGNACIÓN ASIGNATURAS'!L154="","",'ASIGNACIÓN ASIGNATURAS'!L154)</f>
        <v/>
      </c>
      <c r="D157" s="290" t="str">
        <f>IF('ASIGNACIÓN ASIGNATURAS'!M154="","",'ASIGNACIÓN ASIGNATURAS'!M154)</f>
        <v/>
      </c>
      <c r="E157" s="290" t="str">
        <f>IF('ASIGNACIÓN ASIGNATURAS'!N154="","",'ASIGNACIÓN ASIGNATURAS'!N154)</f>
        <v/>
      </c>
      <c r="F157" s="290" t="str">
        <f>IF('ASIGNACIÓN ASIGNATURAS'!O154="","",'ASIGNACIÓN ASIGNATURAS'!O154)</f>
        <v/>
      </c>
      <c r="G157" s="290" t="str">
        <f>IF('ASIGNACIÓN ASIGNATURAS'!P154="","",'ASIGNACIÓN ASIGNATURAS'!P154)</f>
        <v/>
      </c>
      <c r="H157" s="290" t="str">
        <f>IF('ASIGNACIÓN ASIGNATURAS'!T154="","",'ASIGNACIÓN ASIGNATURAS'!T154)</f>
        <v/>
      </c>
      <c r="I157" s="290" t="str">
        <f>IF('ASIGNACIÓN ASIGNATURAS'!U154="","",'ASIGNACIÓN ASIGNATURAS'!U154)</f>
        <v/>
      </c>
      <c r="J157" s="290" t="str">
        <f>IF('ASIGNACIÓN ASIGNATURAS'!V154="","",'ASIGNACIÓN ASIGNATURAS'!V154)</f>
        <v/>
      </c>
      <c r="K157" s="301" t="str">
        <f>IF('ASIGNACIÓN ASIGNATURAS'!S154="","",'ASIGNACIÓN ASIGNATURAS'!S154)</f>
        <v/>
      </c>
      <c r="L157" s="244" t="str">
        <f>IF('ASIGNACIÓN ASIGNATURAS'!Q154="","",'ASIGNACIÓN ASIGNATURAS'!Q154)</f>
        <v/>
      </c>
      <c r="M157" s="244" t="str">
        <f>IF('ASIGNACIÓN ASIGNATURAS'!R154="","",'ASIGNACIÓN ASIGNATURAS'!R154)</f>
        <v/>
      </c>
      <c r="N157" s="244" t="str">
        <f>IF('ASIGNACIÓN ASIGNATURAS'!W154="","",'ASIGNACIÓN ASIGNATURAS'!W154)</f>
        <v/>
      </c>
      <c r="O157" s="244" t="str">
        <f>IF('ASIGNACIÓN ASIGNATURAS'!X154="","",'ASIGNACIÓN ASIGNATURAS'!X154)</f>
        <v/>
      </c>
      <c r="P157" s="244" t="str">
        <f>IF('ASIGNACIÓN ASIGNATURAS'!Y154="","",'ASIGNACIÓN ASIGNATURAS'!Y154)</f>
        <v/>
      </c>
      <c r="Q157" s="244" t="str">
        <f>IF('ASIGNACIÓN ASIGNATURAS'!Z154="","",'ASIGNACIÓN ASIGNATURAS'!Z154)</f>
        <v/>
      </c>
      <c r="R157" s="244" t="str">
        <f>IF('ASIGNACIÓN ASIGNATURAS'!AA154="","",'ASIGNACIÓN ASIGNATURAS'!AA154)</f>
        <v/>
      </c>
      <c r="S157" s="244" t="str">
        <f>IF('ASIGNACIÓN ASIGNATURAS'!AB154="","",'ASIGNACIÓN ASIGNATURAS'!AB154)</f>
        <v/>
      </c>
    </row>
    <row r="158" spans="1:19" x14ac:dyDescent="0.3">
      <c r="A158" s="290" t="str">
        <f>IF('ASIGNACIÓN ASIGNATURAS'!J62="","",'ASIGNACIÓN ASIGNATURAS'!J62)</f>
        <v/>
      </c>
      <c r="B158" s="290" t="str">
        <f>IF('ASIGNACIÓN ASIGNATURAS'!K62="","",'ASIGNACIÓN ASIGNATURAS'!K62)</f>
        <v/>
      </c>
      <c r="C158" s="290" t="str">
        <f>IF('ASIGNACIÓN ASIGNATURAS'!L62="","",'ASIGNACIÓN ASIGNATURAS'!L62)</f>
        <v/>
      </c>
      <c r="D158" s="290" t="str">
        <f>IF('ASIGNACIÓN ASIGNATURAS'!M62="","",'ASIGNACIÓN ASIGNATURAS'!M62)</f>
        <v/>
      </c>
      <c r="E158" s="290" t="str">
        <f>IF('ASIGNACIÓN ASIGNATURAS'!N62="","",'ASIGNACIÓN ASIGNATURAS'!N62)</f>
        <v/>
      </c>
      <c r="F158" s="290" t="str">
        <f>IF('ASIGNACIÓN ASIGNATURAS'!O62="","",'ASIGNACIÓN ASIGNATURAS'!O62)</f>
        <v/>
      </c>
      <c r="G158" s="290" t="str">
        <f>IF('ASIGNACIÓN ASIGNATURAS'!P62="","",'ASIGNACIÓN ASIGNATURAS'!P62)</f>
        <v/>
      </c>
      <c r="H158" s="290" t="str">
        <f>IF('ASIGNACIÓN ASIGNATURAS'!T62="","",'ASIGNACIÓN ASIGNATURAS'!T62)</f>
        <v/>
      </c>
      <c r="I158" s="290" t="str">
        <f>IF('ASIGNACIÓN ASIGNATURAS'!U62="","",'ASIGNACIÓN ASIGNATURAS'!U62)</f>
        <v/>
      </c>
      <c r="J158" s="290" t="str">
        <f>IF('ASIGNACIÓN ASIGNATURAS'!V62="","",'ASIGNACIÓN ASIGNATURAS'!V62)</f>
        <v/>
      </c>
      <c r="K158" s="301" t="str">
        <f>IF('ASIGNACIÓN ASIGNATURAS'!S62="","",'ASIGNACIÓN ASIGNATURAS'!S62)</f>
        <v/>
      </c>
      <c r="L158" s="244" t="str">
        <f>IF('ASIGNACIÓN ASIGNATURAS'!Q62="","",'ASIGNACIÓN ASIGNATURAS'!Q62)</f>
        <v/>
      </c>
      <c r="M158" s="244" t="str">
        <f>IF('ASIGNACIÓN ASIGNATURAS'!R62="","",'ASIGNACIÓN ASIGNATURAS'!R62)</f>
        <v/>
      </c>
      <c r="N158" s="244" t="str">
        <f>IF('ASIGNACIÓN ASIGNATURAS'!W62="","",'ASIGNACIÓN ASIGNATURAS'!W62)</f>
        <v/>
      </c>
      <c r="O158" s="244" t="str">
        <f>IF('ASIGNACIÓN ASIGNATURAS'!X62="","",'ASIGNACIÓN ASIGNATURAS'!X62)</f>
        <v/>
      </c>
      <c r="P158" s="244" t="str">
        <f>IF('ASIGNACIÓN ASIGNATURAS'!Y62="","",'ASIGNACIÓN ASIGNATURAS'!Y62)</f>
        <v/>
      </c>
      <c r="Q158" s="244" t="str">
        <f>IF('ASIGNACIÓN ASIGNATURAS'!Z62="","",'ASIGNACIÓN ASIGNATURAS'!Z62)</f>
        <v/>
      </c>
      <c r="R158" s="244" t="str">
        <f>IF('ASIGNACIÓN ASIGNATURAS'!AA62="","",'ASIGNACIÓN ASIGNATURAS'!AA62)</f>
        <v/>
      </c>
      <c r="S158" s="244" t="str">
        <f>IF('ASIGNACIÓN ASIGNATURAS'!AB62="","",'ASIGNACIÓN ASIGNATURAS'!AB62)</f>
        <v/>
      </c>
    </row>
    <row r="159" spans="1:19" x14ac:dyDescent="0.3">
      <c r="A159" s="290" t="str">
        <f>IF('ASIGNACIÓN ASIGNATURAS'!J16="","",'ASIGNACIÓN ASIGNATURAS'!J16)</f>
        <v/>
      </c>
      <c r="B159" s="290" t="str">
        <f>IF('ASIGNACIÓN ASIGNATURAS'!K16="","",'ASIGNACIÓN ASIGNATURAS'!K16)</f>
        <v/>
      </c>
      <c r="C159" s="290" t="str">
        <f>IF('ASIGNACIÓN ASIGNATURAS'!L16="","",'ASIGNACIÓN ASIGNATURAS'!L16)</f>
        <v/>
      </c>
      <c r="D159" s="290" t="str">
        <f>IF('ASIGNACIÓN ASIGNATURAS'!M16="","",'ASIGNACIÓN ASIGNATURAS'!M16)</f>
        <v/>
      </c>
      <c r="E159" s="290" t="str">
        <f>IF('ASIGNACIÓN ASIGNATURAS'!N16="","",'ASIGNACIÓN ASIGNATURAS'!N16)</f>
        <v/>
      </c>
      <c r="F159" s="290" t="str">
        <f>IF('ASIGNACIÓN ASIGNATURAS'!O16="","",'ASIGNACIÓN ASIGNATURAS'!O16)</f>
        <v/>
      </c>
      <c r="G159" s="290" t="str">
        <f>IF('ASIGNACIÓN ASIGNATURAS'!P16="","",'ASIGNACIÓN ASIGNATURAS'!P16)</f>
        <v/>
      </c>
      <c r="H159" s="290" t="str">
        <f>IF('ASIGNACIÓN ASIGNATURAS'!T16="","",'ASIGNACIÓN ASIGNATURAS'!T16)</f>
        <v/>
      </c>
      <c r="I159" s="290" t="str">
        <f>IF('ASIGNACIÓN ASIGNATURAS'!U16="","",'ASIGNACIÓN ASIGNATURAS'!U16)</f>
        <v/>
      </c>
      <c r="J159" s="290" t="str">
        <f>IF('ASIGNACIÓN ASIGNATURAS'!V16="","",'ASIGNACIÓN ASIGNATURAS'!V16)</f>
        <v/>
      </c>
      <c r="K159" s="301" t="str">
        <f>IF('ASIGNACIÓN ASIGNATURAS'!S16="","",'ASIGNACIÓN ASIGNATURAS'!S16)</f>
        <v/>
      </c>
      <c r="L159" s="244" t="str">
        <f>IF('ASIGNACIÓN ASIGNATURAS'!Q16="","",'ASIGNACIÓN ASIGNATURAS'!Q16)</f>
        <v/>
      </c>
      <c r="M159" s="244" t="str">
        <f>IF('ASIGNACIÓN ASIGNATURAS'!R16="","",'ASIGNACIÓN ASIGNATURAS'!R16)</f>
        <v/>
      </c>
      <c r="N159" s="244" t="str">
        <f>IF('ASIGNACIÓN ASIGNATURAS'!W16="","",'ASIGNACIÓN ASIGNATURAS'!W16)</f>
        <v/>
      </c>
      <c r="O159" s="244" t="str">
        <f>IF('ASIGNACIÓN ASIGNATURAS'!X16="","",'ASIGNACIÓN ASIGNATURAS'!X16)</f>
        <v/>
      </c>
      <c r="P159" s="244" t="str">
        <f>IF('ASIGNACIÓN ASIGNATURAS'!Y16="","",'ASIGNACIÓN ASIGNATURAS'!Y16)</f>
        <v/>
      </c>
      <c r="Q159" s="244" t="str">
        <f>IF('ASIGNACIÓN ASIGNATURAS'!Z16="","",'ASIGNACIÓN ASIGNATURAS'!Z16)</f>
        <v/>
      </c>
      <c r="R159" s="244" t="str">
        <f>IF('ASIGNACIÓN ASIGNATURAS'!AA16="","",'ASIGNACIÓN ASIGNATURAS'!AA16)</f>
        <v/>
      </c>
      <c r="S159" s="244" t="str">
        <f>IF('ASIGNACIÓN ASIGNATURAS'!AB16="","",'ASIGNACIÓN ASIGNATURAS'!AB16)</f>
        <v/>
      </c>
    </row>
    <row r="160" spans="1:19" x14ac:dyDescent="0.3">
      <c r="A160" s="290" t="str">
        <f>IF('ASIGNACIÓN ASIGNATURAS'!J153="","",'ASIGNACIÓN ASIGNATURAS'!J153)</f>
        <v/>
      </c>
      <c r="B160" s="290" t="str">
        <f>IF('ASIGNACIÓN ASIGNATURAS'!K153="","",'ASIGNACIÓN ASIGNATURAS'!K153)</f>
        <v/>
      </c>
      <c r="C160" s="290" t="str">
        <f>IF('ASIGNACIÓN ASIGNATURAS'!L153="","",'ASIGNACIÓN ASIGNATURAS'!L153)</f>
        <v/>
      </c>
      <c r="D160" s="290" t="str">
        <f>IF('ASIGNACIÓN ASIGNATURAS'!M153="","",'ASIGNACIÓN ASIGNATURAS'!M153)</f>
        <v/>
      </c>
      <c r="E160" s="290" t="str">
        <f>IF('ASIGNACIÓN ASIGNATURAS'!N153="","",'ASIGNACIÓN ASIGNATURAS'!N153)</f>
        <v/>
      </c>
      <c r="F160" s="290" t="str">
        <f>IF('ASIGNACIÓN ASIGNATURAS'!O153="","",'ASIGNACIÓN ASIGNATURAS'!O153)</f>
        <v/>
      </c>
      <c r="G160" s="290" t="str">
        <f>IF('ASIGNACIÓN ASIGNATURAS'!P153="","",'ASIGNACIÓN ASIGNATURAS'!P153)</f>
        <v/>
      </c>
      <c r="H160" s="290" t="str">
        <f>IF('ASIGNACIÓN ASIGNATURAS'!T153="","",'ASIGNACIÓN ASIGNATURAS'!T153)</f>
        <v/>
      </c>
      <c r="I160" s="290" t="str">
        <f>IF('ASIGNACIÓN ASIGNATURAS'!U153="","",'ASIGNACIÓN ASIGNATURAS'!U153)</f>
        <v/>
      </c>
      <c r="J160" s="290" t="str">
        <f>IF('ASIGNACIÓN ASIGNATURAS'!V153="","",'ASIGNACIÓN ASIGNATURAS'!V153)</f>
        <v/>
      </c>
      <c r="K160" s="301" t="str">
        <f>IF('ASIGNACIÓN ASIGNATURAS'!S153="","",'ASIGNACIÓN ASIGNATURAS'!S153)</f>
        <v/>
      </c>
      <c r="L160" s="244" t="str">
        <f>IF('ASIGNACIÓN ASIGNATURAS'!Q153="","",'ASIGNACIÓN ASIGNATURAS'!Q153)</f>
        <v/>
      </c>
      <c r="M160" s="244" t="str">
        <f>IF('ASIGNACIÓN ASIGNATURAS'!R153="","",'ASIGNACIÓN ASIGNATURAS'!R153)</f>
        <v/>
      </c>
      <c r="N160" s="244" t="str">
        <f>IF('ASIGNACIÓN ASIGNATURAS'!W153="","",'ASIGNACIÓN ASIGNATURAS'!W153)</f>
        <v/>
      </c>
      <c r="O160" s="244" t="str">
        <f>IF('ASIGNACIÓN ASIGNATURAS'!X153="","",'ASIGNACIÓN ASIGNATURAS'!X153)</f>
        <v/>
      </c>
      <c r="P160" s="244" t="str">
        <f>IF('ASIGNACIÓN ASIGNATURAS'!Y153="","",'ASIGNACIÓN ASIGNATURAS'!Y153)</f>
        <v/>
      </c>
      <c r="Q160" s="244" t="str">
        <f>IF('ASIGNACIÓN ASIGNATURAS'!Z153="","",'ASIGNACIÓN ASIGNATURAS'!Z153)</f>
        <v/>
      </c>
      <c r="R160" s="244" t="str">
        <f>IF('ASIGNACIÓN ASIGNATURAS'!AA153="","",'ASIGNACIÓN ASIGNATURAS'!AA153)</f>
        <v/>
      </c>
      <c r="S160" s="244" t="str">
        <f>IF('ASIGNACIÓN ASIGNATURAS'!AB153="","",'ASIGNACIÓN ASIGNATURAS'!AB153)</f>
        <v/>
      </c>
    </row>
    <row r="161" spans="1:19" x14ac:dyDescent="0.3">
      <c r="A161" s="290" t="str">
        <f>IF('ASIGNACIÓN ASIGNATURAS'!J61="","",'ASIGNACIÓN ASIGNATURAS'!J61)</f>
        <v/>
      </c>
      <c r="B161" s="290" t="str">
        <f>IF('ASIGNACIÓN ASIGNATURAS'!K61="","",'ASIGNACIÓN ASIGNATURAS'!K61)</f>
        <v/>
      </c>
      <c r="C161" s="290" t="str">
        <f>IF('ASIGNACIÓN ASIGNATURAS'!L61="","",'ASIGNACIÓN ASIGNATURAS'!L61)</f>
        <v/>
      </c>
      <c r="D161" s="290" t="str">
        <f>IF('ASIGNACIÓN ASIGNATURAS'!M61="","",'ASIGNACIÓN ASIGNATURAS'!M61)</f>
        <v/>
      </c>
      <c r="E161" s="290" t="str">
        <f>IF('ASIGNACIÓN ASIGNATURAS'!N61="","",'ASIGNACIÓN ASIGNATURAS'!N61)</f>
        <v/>
      </c>
      <c r="F161" s="290" t="str">
        <f>IF('ASIGNACIÓN ASIGNATURAS'!O61="","",'ASIGNACIÓN ASIGNATURAS'!O61)</f>
        <v/>
      </c>
      <c r="G161" s="290" t="str">
        <f>IF('ASIGNACIÓN ASIGNATURAS'!P61="","",'ASIGNACIÓN ASIGNATURAS'!P61)</f>
        <v/>
      </c>
      <c r="H161" s="290" t="str">
        <f>IF('ASIGNACIÓN ASIGNATURAS'!T61="","",'ASIGNACIÓN ASIGNATURAS'!T61)</f>
        <v/>
      </c>
      <c r="I161" s="290" t="str">
        <f>IF('ASIGNACIÓN ASIGNATURAS'!U61="","",'ASIGNACIÓN ASIGNATURAS'!U61)</f>
        <v/>
      </c>
      <c r="J161" s="290" t="str">
        <f>IF('ASIGNACIÓN ASIGNATURAS'!V61="","",'ASIGNACIÓN ASIGNATURAS'!V61)</f>
        <v/>
      </c>
      <c r="K161" s="301" t="str">
        <f>IF('ASIGNACIÓN ASIGNATURAS'!S61="","",'ASIGNACIÓN ASIGNATURAS'!S61)</f>
        <v/>
      </c>
      <c r="L161" s="244" t="str">
        <f>IF('ASIGNACIÓN ASIGNATURAS'!Q61="","",'ASIGNACIÓN ASIGNATURAS'!Q61)</f>
        <v/>
      </c>
      <c r="M161" s="244" t="str">
        <f>IF('ASIGNACIÓN ASIGNATURAS'!R61="","",'ASIGNACIÓN ASIGNATURAS'!R61)</f>
        <v/>
      </c>
      <c r="N161" s="244" t="str">
        <f>IF('ASIGNACIÓN ASIGNATURAS'!W61="","",'ASIGNACIÓN ASIGNATURAS'!W61)</f>
        <v/>
      </c>
      <c r="O161" s="244" t="str">
        <f>IF('ASIGNACIÓN ASIGNATURAS'!X61="","",'ASIGNACIÓN ASIGNATURAS'!X61)</f>
        <v/>
      </c>
      <c r="P161" s="244" t="str">
        <f>IF('ASIGNACIÓN ASIGNATURAS'!Y61="","",'ASIGNACIÓN ASIGNATURAS'!Y61)</f>
        <v/>
      </c>
      <c r="Q161" s="244" t="str">
        <f>IF('ASIGNACIÓN ASIGNATURAS'!Z61="","",'ASIGNACIÓN ASIGNATURAS'!Z61)</f>
        <v/>
      </c>
      <c r="R161" s="244" t="str">
        <f>IF('ASIGNACIÓN ASIGNATURAS'!AA61="","",'ASIGNACIÓN ASIGNATURAS'!AA61)</f>
        <v/>
      </c>
      <c r="S161" s="244" t="str">
        <f>IF('ASIGNACIÓN ASIGNATURAS'!AB61="","",'ASIGNACIÓN ASIGNATURAS'!AB61)</f>
        <v/>
      </c>
    </row>
    <row r="162" spans="1:19" x14ac:dyDescent="0.3">
      <c r="A162" s="290" t="str">
        <f>IF('ASIGNACIÓN ASIGNATURAS'!J107="","",'ASIGNACIÓN ASIGNATURAS'!J107)</f>
        <v/>
      </c>
      <c r="B162" s="290" t="str">
        <f>IF('ASIGNACIÓN ASIGNATURAS'!K107="","",'ASIGNACIÓN ASIGNATURAS'!K107)</f>
        <v/>
      </c>
      <c r="C162" s="290" t="str">
        <f>IF('ASIGNACIÓN ASIGNATURAS'!L107="","",'ASIGNACIÓN ASIGNATURAS'!L107)</f>
        <v/>
      </c>
      <c r="D162" s="290" t="str">
        <f>IF('ASIGNACIÓN ASIGNATURAS'!M107="","",'ASIGNACIÓN ASIGNATURAS'!M107)</f>
        <v/>
      </c>
      <c r="E162" s="290" t="str">
        <f>IF('ASIGNACIÓN ASIGNATURAS'!N107="","",'ASIGNACIÓN ASIGNATURAS'!N107)</f>
        <v/>
      </c>
      <c r="F162" s="290" t="str">
        <f>IF('ASIGNACIÓN ASIGNATURAS'!O107="","",'ASIGNACIÓN ASIGNATURAS'!O107)</f>
        <v/>
      </c>
      <c r="G162" s="290" t="str">
        <f>IF('ASIGNACIÓN ASIGNATURAS'!P107="","",'ASIGNACIÓN ASIGNATURAS'!P107)</f>
        <v/>
      </c>
      <c r="H162" s="290" t="str">
        <f>IF('ASIGNACIÓN ASIGNATURAS'!T107="","",'ASIGNACIÓN ASIGNATURAS'!T107)</f>
        <v/>
      </c>
      <c r="I162" s="290" t="str">
        <f>IF('ASIGNACIÓN ASIGNATURAS'!U107="","",'ASIGNACIÓN ASIGNATURAS'!U107)</f>
        <v/>
      </c>
      <c r="J162" s="290" t="str">
        <f>IF('ASIGNACIÓN ASIGNATURAS'!V107="","",'ASIGNACIÓN ASIGNATURAS'!V107)</f>
        <v/>
      </c>
      <c r="K162" s="301" t="str">
        <f>IF('ASIGNACIÓN ASIGNATURAS'!S107="","",'ASIGNACIÓN ASIGNATURAS'!S107)</f>
        <v/>
      </c>
      <c r="L162" s="244" t="str">
        <f>IF('ASIGNACIÓN ASIGNATURAS'!Q107="","",'ASIGNACIÓN ASIGNATURAS'!Q107)</f>
        <v/>
      </c>
      <c r="M162" s="244" t="str">
        <f>IF('ASIGNACIÓN ASIGNATURAS'!R107="","",'ASIGNACIÓN ASIGNATURAS'!R107)</f>
        <v/>
      </c>
      <c r="N162" s="244" t="str">
        <f>IF('ASIGNACIÓN ASIGNATURAS'!W107="","",'ASIGNACIÓN ASIGNATURAS'!W107)</f>
        <v/>
      </c>
      <c r="O162" s="244" t="str">
        <f>IF('ASIGNACIÓN ASIGNATURAS'!X107="","",'ASIGNACIÓN ASIGNATURAS'!X107)</f>
        <v/>
      </c>
      <c r="P162" s="244" t="str">
        <f>IF('ASIGNACIÓN ASIGNATURAS'!Y107="","",'ASIGNACIÓN ASIGNATURAS'!Y107)</f>
        <v/>
      </c>
      <c r="Q162" s="244" t="str">
        <f>IF('ASIGNACIÓN ASIGNATURAS'!Z107="","",'ASIGNACIÓN ASIGNATURAS'!Z107)</f>
        <v/>
      </c>
      <c r="R162" s="244" t="str">
        <f>IF('ASIGNACIÓN ASIGNATURAS'!AA107="","",'ASIGNACIÓN ASIGNATURAS'!AA107)</f>
        <v/>
      </c>
      <c r="S162" s="244" t="str">
        <f>IF('ASIGNACIÓN ASIGNATURAS'!AB107="","",'ASIGNACIÓN ASIGNATURAS'!AB107)</f>
        <v/>
      </c>
    </row>
    <row r="163" spans="1:19" x14ac:dyDescent="0.3">
      <c r="A163" s="290" t="str">
        <f>IF('ASIGNACIÓN ASIGNATURAS'!J84="","",'ASIGNACIÓN ASIGNATURAS'!J84)</f>
        <v/>
      </c>
      <c r="B163" s="290" t="str">
        <f>IF('ASIGNACIÓN ASIGNATURAS'!K84="","",'ASIGNACIÓN ASIGNATURAS'!K84)</f>
        <v/>
      </c>
      <c r="C163" s="290" t="str">
        <f>IF('ASIGNACIÓN ASIGNATURAS'!L84="","",'ASIGNACIÓN ASIGNATURAS'!L84)</f>
        <v/>
      </c>
      <c r="D163" s="290" t="str">
        <f>IF('ASIGNACIÓN ASIGNATURAS'!M84="","",'ASIGNACIÓN ASIGNATURAS'!M84)</f>
        <v/>
      </c>
      <c r="E163" s="290" t="str">
        <f>IF('ASIGNACIÓN ASIGNATURAS'!N84="","",'ASIGNACIÓN ASIGNATURAS'!N84)</f>
        <v/>
      </c>
      <c r="F163" s="290" t="str">
        <f>IF('ASIGNACIÓN ASIGNATURAS'!O84="","",'ASIGNACIÓN ASIGNATURAS'!O84)</f>
        <v/>
      </c>
      <c r="G163" s="290" t="str">
        <f>IF('ASIGNACIÓN ASIGNATURAS'!P84="","",'ASIGNACIÓN ASIGNATURAS'!P84)</f>
        <v/>
      </c>
      <c r="H163" s="290" t="str">
        <f>IF('ASIGNACIÓN ASIGNATURAS'!T84="","",'ASIGNACIÓN ASIGNATURAS'!T84)</f>
        <v/>
      </c>
      <c r="I163" s="290" t="str">
        <f>IF('ASIGNACIÓN ASIGNATURAS'!U84="","",'ASIGNACIÓN ASIGNATURAS'!U84)</f>
        <v/>
      </c>
      <c r="J163" s="290" t="str">
        <f>IF('ASIGNACIÓN ASIGNATURAS'!V84="","",'ASIGNACIÓN ASIGNATURAS'!V84)</f>
        <v/>
      </c>
      <c r="K163" s="301" t="str">
        <f>IF('ASIGNACIÓN ASIGNATURAS'!S84="","",'ASIGNACIÓN ASIGNATURAS'!S84)</f>
        <v/>
      </c>
      <c r="L163" s="244" t="str">
        <f>IF('ASIGNACIÓN ASIGNATURAS'!Q84="","",'ASIGNACIÓN ASIGNATURAS'!Q84)</f>
        <v/>
      </c>
      <c r="M163" s="244" t="str">
        <f>IF('ASIGNACIÓN ASIGNATURAS'!R84="","",'ASIGNACIÓN ASIGNATURAS'!R84)</f>
        <v/>
      </c>
      <c r="N163" s="244" t="str">
        <f>IF('ASIGNACIÓN ASIGNATURAS'!W84="","",'ASIGNACIÓN ASIGNATURAS'!W84)</f>
        <v/>
      </c>
      <c r="O163" s="244" t="str">
        <f>IF('ASIGNACIÓN ASIGNATURAS'!X84="","",'ASIGNACIÓN ASIGNATURAS'!X84)</f>
        <v/>
      </c>
      <c r="P163" s="244" t="str">
        <f>IF('ASIGNACIÓN ASIGNATURAS'!Y84="","",'ASIGNACIÓN ASIGNATURAS'!Y84)</f>
        <v/>
      </c>
      <c r="Q163" s="244" t="str">
        <f>IF('ASIGNACIÓN ASIGNATURAS'!Z84="","",'ASIGNACIÓN ASIGNATURAS'!Z84)</f>
        <v/>
      </c>
      <c r="R163" s="244" t="str">
        <f>IF('ASIGNACIÓN ASIGNATURAS'!AA84="","",'ASIGNACIÓN ASIGNATURAS'!AA84)</f>
        <v/>
      </c>
      <c r="S163" s="244" t="str">
        <f>IF('ASIGNACIÓN ASIGNATURAS'!AB84="","",'ASIGNACIÓN ASIGNATURAS'!AB84)</f>
        <v/>
      </c>
    </row>
    <row r="164" spans="1:19" x14ac:dyDescent="0.3">
      <c r="A164" s="290" t="str">
        <f>IF('ASIGNACIÓN ASIGNATURAS'!J38="","",'ASIGNACIÓN ASIGNATURAS'!J38)</f>
        <v/>
      </c>
      <c r="B164" s="290" t="str">
        <f>IF('ASIGNACIÓN ASIGNATURAS'!K38="","",'ASIGNACIÓN ASIGNATURAS'!K38)</f>
        <v/>
      </c>
      <c r="C164" s="290" t="str">
        <f>IF('ASIGNACIÓN ASIGNATURAS'!L38="","",'ASIGNACIÓN ASIGNATURAS'!L38)</f>
        <v/>
      </c>
      <c r="D164" s="290" t="str">
        <f>IF('ASIGNACIÓN ASIGNATURAS'!M38="","",'ASIGNACIÓN ASIGNATURAS'!M38)</f>
        <v/>
      </c>
      <c r="E164" s="290" t="str">
        <f>IF('ASIGNACIÓN ASIGNATURAS'!N38="","",'ASIGNACIÓN ASIGNATURAS'!N38)</f>
        <v/>
      </c>
      <c r="F164" s="290" t="str">
        <f>IF('ASIGNACIÓN ASIGNATURAS'!O38="","",'ASIGNACIÓN ASIGNATURAS'!O38)</f>
        <v/>
      </c>
      <c r="G164" s="290" t="str">
        <f>IF('ASIGNACIÓN ASIGNATURAS'!P38="","",'ASIGNACIÓN ASIGNATURAS'!P38)</f>
        <v/>
      </c>
      <c r="H164" s="290" t="str">
        <f>IF('ASIGNACIÓN ASIGNATURAS'!T38="","",'ASIGNACIÓN ASIGNATURAS'!T38)</f>
        <v/>
      </c>
      <c r="I164" s="290" t="str">
        <f>IF('ASIGNACIÓN ASIGNATURAS'!U38="","",'ASIGNACIÓN ASIGNATURAS'!U38)</f>
        <v/>
      </c>
      <c r="J164" s="290" t="str">
        <f>IF('ASIGNACIÓN ASIGNATURAS'!V38="","",'ASIGNACIÓN ASIGNATURAS'!V38)</f>
        <v/>
      </c>
      <c r="K164" s="301" t="str">
        <f>IF('ASIGNACIÓN ASIGNATURAS'!S38="","",'ASIGNACIÓN ASIGNATURAS'!S38)</f>
        <v/>
      </c>
      <c r="L164" s="244" t="str">
        <f>IF('ASIGNACIÓN ASIGNATURAS'!Q38="","",'ASIGNACIÓN ASIGNATURAS'!Q38)</f>
        <v/>
      </c>
      <c r="M164" s="244" t="str">
        <f>IF('ASIGNACIÓN ASIGNATURAS'!R38="","",'ASIGNACIÓN ASIGNATURAS'!R38)</f>
        <v/>
      </c>
      <c r="N164" s="244" t="str">
        <f>IF('ASIGNACIÓN ASIGNATURAS'!W38="","",'ASIGNACIÓN ASIGNATURAS'!W38)</f>
        <v/>
      </c>
      <c r="O164" s="244" t="str">
        <f>IF('ASIGNACIÓN ASIGNATURAS'!X38="","",'ASIGNACIÓN ASIGNATURAS'!X38)</f>
        <v/>
      </c>
      <c r="P164" s="244" t="str">
        <f>IF('ASIGNACIÓN ASIGNATURAS'!Y38="","",'ASIGNACIÓN ASIGNATURAS'!Y38)</f>
        <v/>
      </c>
      <c r="Q164" s="244" t="str">
        <f>IF('ASIGNACIÓN ASIGNATURAS'!Z38="","",'ASIGNACIÓN ASIGNATURAS'!Z38)</f>
        <v/>
      </c>
      <c r="R164" s="244" t="str">
        <f>IF('ASIGNACIÓN ASIGNATURAS'!AA38="","",'ASIGNACIÓN ASIGNATURAS'!AA38)</f>
        <v/>
      </c>
      <c r="S164" s="244" t="str">
        <f>IF('ASIGNACIÓN ASIGNATURAS'!AB38="","",'ASIGNACIÓN ASIGNATURAS'!AB38)</f>
        <v/>
      </c>
    </row>
    <row r="165" spans="1:19" x14ac:dyDescent="0.3">
      <c r="A165" s="290" t="str">
        <f>IF('ASIGNACIÓN ASIGNATURAS'!J130="","",'ASIGNACIÓN ASIGNATURAS'!J130)</f>
        <v/>
      </c>
      <c r="B165" s="290" t="str">
        <f>IF('ASIGNACIÓN ASIGNATURAS'!K130="","",'ASIGNACIÓN ASIGNATURAS'!K130)</f>
        <v/>
      </c>
      <c r="C165" s="290" t="str">
        <f>IF('ASIGNACIÓN ASIGNATURAS'!L130="","",'ASIGNACIÓN ASIGNATURAS'!L130)</f>
        <v/>
      </c>
      <c r="D165" s="290" t="str">
        <f>IF('ASIGNACIÓN ASIGNATURAS'!M130="","",'ASIGNACIÓN ASIGNATURAS'!M130)</f>
        <v/>
      </c>
      <c r="E165" s="290" t="str">
        <f>IF('ASIGNACIÓN ASIGNATURAS'!N130="","",'ASIGNACIÓN ASIGNATURAS'!N130)</f>
        <v/>
      </c>
      <c r="F165" s="290" t="str">
        <f>IF('ASIGNACIÓN ASIGNATURAS'!O130="","",'ASIGNACIÓN ASIGNATURAS'!O130)</f>
        <v/>
      </c>
      <c r="G165" s="290" t="str">
        <f>IF('ASIGNACIÓN ASIGNATURAS'!P130="","",'ASIGNACIÓN ASIGNATURAS'!P130)</f>
        <v/>
      </c>
      <c r="H165" s="290" t="str">
        <f>IF('ASIGNACIÓN ASIGNATURAS'!T130="","",'ASIGNACIÓN ASIGNATURAS'!T130)</f>
        <v/>
      </c>
      <c r="I165" s="290" t="str">
        <f>IF('ASIGNACIÓN ASIGNATURAS'!U130="","",'ASIGNACIÓN ASIGNATURAS'!U130)</f>
        <v/>
      </c>
      <c r="J165" s="290" t="str">
        <f>IF('ASIGNACIÓN ASIGNATURAS'!V130="","",'ASIGNACIÓN ASIGNATURAS'!V130)</f>
        <v/>
      </c>
      <c r="K165" s="301" t="str">
        <f>IF('ASIGNACIÓN ASIGNATURAS'!S130="","",'ASIGNACIÓN ASIGNATURAS'!S130)</f>
        <v/>
      </c>
      <c r="L165" s="244" t="str">
        <f>IF('ASIGNACIÓN ASIGNATURAS'!Q130="","",'ASIGNACIÓN ASIGNATURAS'!Q130)</f>
        <v/>
      </c>
      <c r="M165" s="244" t="str">
        <f>IF('ASIGNACIÓN ASIGNATURAS'!R130="","",'ASIGNACIÓN ASIGNATURAS'!R130)</f>
        <v/>
      </c>
      <c r="N165" s="244" t="str">
        <f>IF('ASIGNACIÓN ASIGNATURAS'!W130="","",'ASIGNACIÓN ASIGNATURAS'!W130)</f>
        <v/>
      </c>
      <c r="O165" s="244" t="str">
        <f>IF('ASIGNACIÓN ASIGNATURAS'!X130="","",'ASIGNACIÓN ASIGNATURAS'!X130)</f>
        <v/>
      </c>
      <c r="P165" s="244" t="str">
        <f>IF('ASIGNACIÓN ASIGNATURAS'!Y130="","",'ASIGNACIÓN ASIGNATURAS'!Y130)</f>
        <v/>
      </c>
      <c r="Q165" s="244" t="str">
        <f>IF('ASIGNACIÓN ASIGNATURAS'!Z130="","",'ASIGNACIÓN ASIGNATURAS'!Z130)</f>
        <v/>
      </c>
      <c r="R165" s="244" t="str">
        <f>IF('ASIGNACIÓN ASIGNATURAS'!AA130="","",'ASIGNACIÓN ASIGNATURAS'!AA130)</f>
        <v/>
      </c>
      <c r="S165" s="244" t="str">
        <f>IF('ASIGNACIÓN ASIGNATURAS'!AB130="","",'ASIGNACIÓN ASIGNATURAS'!AB130)</f>
        <v/>
      </c>
    </row>
    <row r="166" spans="1:19" x14ac:dyDescent="0.3">
      <c r="A166" s="290" t="str">
        <f>IF('ASIGNACIÓN ASIGNATURAS'!J15="","",'ASIGNACIÓN ASIGNATURAS'!J15)</f>
        <v/>
      </c>
      <c r="B166" s="290" t="str">
        <f>IF('ASIGNACIÓN ASIGNATURAS'!K15="","",'ASIGNACIÓN ASIGNATURAS'!K15)</f>
        <v/>
      </c>
      <c r="C166" s="290" t="str">
        <f>IF('ASIGNACIÓN ASIGNATURAS'!L15="","",'ASIGNACIÓN ASIGNATURAS'!L15)</f>
        <v/>
      </c>
      <c r="D166" s="290" t="str">
        <f>IF('ASIGNACIÓN ASIGNATURAS'!M15="","",'ASIGNACIÓN ASIGNATURAS'!M15)</f>
        <v/>
      </c>
      <c r="E166" s="290" t="str">
        <f>IF('ASIGNACIÓN ASIGNATURAS'!N15="","",'ASIGNACIÓN ASIGNATURAS'!N15)</f>
        <v/>
      </c>
      <c r="F166" s="290" t="str">
        <f>IF('ASIGNACIÓN ASIGNATURAS'!O15="","",'ASIGNACIÓN ASIGNATURAS'!O15)</f>
        <v/>
      </c>
      <c r="G166" s="290" t="str">
        <f>IF('ASIGNACIÓN ASIGNATURAS'!P15="","",'ASIGNACIÓN ASIGNATURAS'!P15)</f>
        <v/>
      </c>
      <c r="H166" s="290" t="str">
        <f>IF('ASIGNACIÓN ASIGNATURAS'!T15="","",'ASIGNACIÓN ASIGNATURAS'!T15)</f>
        <v/>
      </c>
      <c r="I166" s="290" t="str">
        <f>IF('ASIGNACIÓN ASIGNATURAS'!U15="","",'ASIGNACIÓN ASIGNATURAS'!U15)</f>
        <v/>
      </c>
      <c r="J166" s="290" t="str">
        <f>IF('ASIGNACIÓN ASIGNATURAS'!V15="","",'ASIGNACIÓN ASIGNATURAS'!V15)</f>
        <v/>
      </c>
      <c r="K166" s="301" t="str">
        <f>IF('ASIGNACIÓN ASIGNATURAS'!S15="","",'ASIGNACIÓN ASIGNATURAS'!S15)</f>
        <v/>
      </c>
      <c r="L166" s="244" t="str">
        <f>IF('ASIGNACIÓN ASIGNATURAS'!Q15="","",'ASIGNACIÓN ASIGNATURAS'!Q15)</f>
        <v/>
      </c>
      <c r="M166" s="244" t="str">
        <f>IF('ASIGNACIÓN ASIGNATURAS'!R15="","",'ASIGNACIÓN ASIGNATURAS'!R15)</f>
        <v/>
      </c>
      <c r="N166" s="244" t="str">
        <f>IF('ASIGNACIÓN ASIGNATURAS'!W15="","",'ASIGNACIÓN ASIGNATURAS'!W15)</f>
        <v/>
      </c>
      <c r="O166" s="244" t="str">
        <f>IF('ASIGNACIÓN ASIGNATURAS'!X15="","",'ASIGNACIÓN ASIGNATURAS'!X15)</f>
        <v/>
      </c>
      <c r="P166" s="244" t="str">
        <f>IF('ASIGNACIÓN ASIGNATURAS'!Y15="","",'ASIGNACIÓN ASIGNATURAS'!Y15)</f>
        <v/>
      </c>
      <c r="Q166" s="244" t="str">
        <f>IF('ASIGNACIÓN ASIGNATURAS'!Z15="","",'ASIGNACIÓN ASIGNATURAS'!Z15)</f>
        <v/>
      </c>
      <c r="R166" s="244" t="str">
        <f>IF('ASIGNACIÓN ASIGNATURAS'!AA15="","",'ASIGNACIÓN ASIGNATURAS'!AA15)</f>
        <v/>
      </c>
      <c r="S166" s="244" t="str">
        <f>IF('ASIGNACIÓN ASIGNATURAS'!AB15="","",'ASIGNACIÓN ASIGNATURAS'!AB15)</f>
        <v/>
      </c>
    </row>
    <row r="167" spans="1:19" x14ac:dyDescent="0.3">
      <c r="A167" s="290" t="str">
        <f>IF('ASIGNACIÓN ASIGNATURAS'!J167="","",'ASIGNACIÓN ASIGNATURAS'!J167)</f>
        <v/>
      </c>
      <c r="B167" s="290" t="str">
        <f>IF('ASIGNACIÓN ASIGNATURAS'!K167="","",'ASIGNACIÓN ASIGNATURAS'!K167)</f>
        <v/>
      </c>
      <c r="C167" s="290" t="str">
        <f>IF('ASIGNACIÓN ASIGNATURAS'!L167="","",'ASIGNACIÓN ASIGNATURAS'!L167)</f>
        <v/>
      </c>
      <c r="D167" s="290" t="str">
        <f>IF('ASIGNACIÓN ASIGNATURAS'!M167="","",'ASIGNACIÓN ASIGNATURAS'!M167)</f>
        <v/>
      </c>
      <c r="E167" s="290" t="str">
        <f>IF('ASIGNACIÓN ASIGNATURAS'!N167="","",'ASIGNACIÓN ASIGNATURAS'!N167)</f>
        <v/>
      </c>
      <c r="F167" s="290" t="str">
        <f>IF('ASIGNACIÓN ASIGNATURAS'!O167="","",'ASIGNACIÓN ASIGNATURAS'!O167)</f>
        <v/>
      </c>
      <c r="G167" s="290" t="str">
        <f>IF('ASIGNACIÓN ASIGNATURAS'!P167="","",'ASIGNACIÓN ASIGNATURAS'!P167)</f>
        <v/>
      </c>
      <c r="H167" s="290" t="str">
        <f>IF('ASIGNACIÓN ASIGNATURAS'!T167="","",'ASIGNACIÓN ASIGNATURAS'!T167)</f>
        <v/>
      </c>
      <c r="I167" s="290" t="str">
        <f>IF('ASIGNACIÓN ASIGNATURAS'!U167="","",'ASIGNACIÓN ASIGNATURAS'!U167)</f>
        <v/>
      </c>
      <c r="J167" s="290" t="str">
        <f>IF('ASIGNACIÓN ASIGNATURAS'!V167="","",'ASIGNACIÓN ASIGNATURAS'!V167)</f>
        <v/>
      </c>
      <c r="K167" s="301" t="str">
        <f>IF('ASIGNACIÓN ASIGNATURAS'!S167="","",'ASIGNACIÓN ASIGNATURAS'!S167)</f>
        <v/>
      </c>
      <c r="L167" s="244" t="str">
        <f>IF('ASIGNACIÓN ASIGNATURAS'!Q167="","",'ASIGNACIÓN ASIGNATURAS'!Q167)</f>
        <v/>
      </c>
      <c r="M167" s="244" t="str">
        <f>IF('ASIGNACIÓN ASIGNATURAS'!R167="","",'ASIGNACIÓN ASIGNATURAS'!R167)</f>
        <v/>
      </c>
      <c r="N167" s="244" t="str">
        <f>IF('ASIGNACIÓN ASIGNATURAS'!W167="","",'ASIGNACIÓN ASIGNATURAS'!W167)</f>
        <v/>
      </c>
      <c r="O167" s="244" t="str">
        <f>IF('ASIGNACIÓN ASIGNATURAS'!X167="","",'ASIGNACIÓN ASIGNATURAS'!X167)</f>
        <v/>
      </c>
      <c r="P167" s="244" t="str">
        <f>IF('ASIGNACIÓN ASIGNATURAS'!Y167="","",'ASIGNACIÓN ASIGNATURAS'!Y167)</f>
        <v/>
      </c>
      <c r="Q167" s="244" t="str">
        <f>IF('ASIGNACIÓN ASIGNATURAS'!Z167="","",'ASIGNACIÓN ASIGNATURAS'!Z167)</f>
        <v/>
      </c>
      <c r="R167" s="244" t="str">
        <f>IF('ASIGNACIÓN ASIGNATURAS'!AA167="","",'ASIGNACIÓN ASIGNATURAS'!AA167)</f>
        <v/>
      </c>
      <c r="S167" s="244" t="str">
        <f>IF('ASIGNACIÓN ASIGNATURAS'!AB167="","",'ASIGNACIÓN ASIGNATURAS'!AB167)</f>
        <v/>
      </c>
    </row>
    <row r="168" spans="1:19" x14ac:dyDescent="0.3">
      <c r="A168" s="290" t="str">
        <f>IF('ASIGNACIÓN ASIGNATURAS'!J168="","",'ASIGNACIÓN ASIGNATURAS'!J168)</f>
        <v/>
      </c>
      <c r="B168" s="290" t="str">
        <f>IF('ASIGNACIÓN ASIGNATURAS'!K168="","",'ASIGNACIÓN ASIGNATURAS'!K168)</f>
        <v/>
      </c>
      <c r="C168" s="290" t="str">
        <f>IF('ASIGNACIÓN ASIGNATURAS'!L168="","",'ASIGNACIÓN ASIGNATURAS'!L168)</f>
        <v/>
      </c>
      <c r="D168" s="290" t="str">
        <f>IF('ASIGNACIÓN ASIGNATURAS'!M168="","",'ASIGNACIÓN ASIGNATURAS'!M168)</f>
        <v/>
      </c>
      <c r="E168" s="290" t="str">
        <f>IF('ASIGNACIÓN ASIGNATURAS'!N168="","",'ASIGNACIÓN ASIGNATURAS'!N168)</f>
        <v/>
      </c>
      <c r="F168" s="290" t="str">
        <f>IF('ASIGNACIÓN ASIGNATURAS'!O168="","",'ASIGNACIÓN ASIGNATURAS'!O168)</f>
        <v/>
      </c>
      <c r="G168" s="290" t="str">
        <f>IF('ASIGNACIÓN ASIGNATURAS'!P168="","",'ASIGNACIÓN ASIGNATURAS'!P168)</f>
        <v/>
      </c>
      <c r="H168" s="290" t="str">
        <f>IF('ASIGNACIÓN ASIGNATURAS'!T168="","",'ASIGNACIÓN ASIGNATURAS'!T168)</f>
        <v/>
      </c>
      <c r="I168" s="290" t="str">
        <f>IF('ASIGNACIÓN ASIGNATURAS'!U168="","",'ASIGNACIÓN ASIGNATURAS'!U168)</f>
        <v/>
      </c>
      <c r="J168" s="290" t="str">
        <f>IF('ASIGNACIÓN ASIGNATURAS'!V168="","",'ASIGNACIÓN ASIGNATURAS'!V168)</f>
        <v/>
      </c>
      <c r="K168" s="301" t="str">
        <f>IF('ASIGNACIÓN ASIGNATURAS'!S168="","",'ASIGNACIÓN ASIGNATURAS'!S168)</f>
        <v/>
      </c>
      <c r="L168" s="244" t="str">
        <f>IF('ASIGNACIÓN ASIGNATURAS'!Q168="","",'ASIGNACIÓN ASIGNATURAS'!Q168)</f>
        <v/>
      </c>
      <c r="M168" s="244" t="str">
        <f>IF('ASIGNACIÓN ASIGNATURAS'!R168="","",'ASIGNACIÓN ASIGNATURAS'!R168)</f>
        <v/>
      </c>
      <c r="N168" s="244" t="str">
        <f>IF('ASIGNACIÓN ASIGNATURAS'!W168="","",'ASIGNACIÓN ASIGNATURAS'!W168)</f>
        <v/>
      </c>
      <c r="O168" s="244" t="str">
        <f>IF('ASIGNACIÓN ASIGNATURAS'!X168="","",'ASIGNACIÓN ASIGNATURAS'!X168)</f>
        <v/>
      </c>
      <c r="P168" s="244" t="str">
        <f>IF('ASIGNACIÓN ASIGNATURAS'!Y168="","",'ASIGNACIÓN ASIGNATURAS'!Y168)</f>
        <v/>
      </c>
      <c r="Q168" s="244" t="str">
        <f>IF('ASIGNACIÓN ASIGNATURAS'!Z168="","",'ASIGNACIÓN ASIGNATURAS'!Z168)</f>
        <v/>
      </c>
      <c r="R168" s="244" t="str">
        <f>IF('ASIGNACIÓN ASIGNATURAS'!AA168="","",'ASIGNACIÓN ASIGNATURAS'!AA168)</f>
        <v/>
      </c>
      <c r="S168" s="244" t="str">
        <f>IF('ASIGNACIÓN ASIGNATURAS'!AB168="","",'ASIGNACIÓN ASIGNATURAS'!AB168)</f>
        <v/>
      </c>
    </row>
    <row r="169" spans="1:19" x14ac:dyDescent="0.3">
      <c r="A169" s="290" t="str">
        <f>IF('ASIGNACIÓN ASIGNATURAS'!J169="","",'ASIGNACIÓN ASIGNATURAS'!J169)</f>
        <v/>
      </c>
      <c r="B169" s="290" t="str">
        <f>IF('ASIGNACIÓN ASIGNATURAS'!K169="","",'ASIGNACIÓN ASIGNATURAS'!K169)</f>
        <v/>
      </c>
      <c r="C169" s="290" t="str">
        <f>IF('ASIGNACIÓN ASIGNATURAS'!L169="","",'ASIGNACIÓN ASIGNATURAS'!L169)</f>
        <v/>
      </c>
      <c r="D169" s="290" t="str">
        <f>IF('ASIGNACIÓN ASIGNATURAS'!M169="","",'ASIGNACIÓN ASIGNATURAS'!M169)</f>
        <v/>
      </c>
      <c r="E169" s="290" t="str">
        <f>IF('ASIGNACIÓN ASIGNATURAS'!N169="","",'ASIGNACIÓN ASIGNATURAS'!N169)</f>
        <v/>
      </c>
      <c r="F169" s="290" t="str">
        <f>IF('ASIGNACIÓN ASIGNATURAS'!O169="","",'ASIGNACIÓN ASIGNATURAS'!O169)</f>
        <v/>
      </c>
      <c r="G169" s="290" t="str">
        <f>IF('ASIGNACIÓN ASIGNATURAS'!P169="","",'ASIGNACIÓN ASIGNATURAS'!P169)</f>
        <v/>
      </c>
      <c r="H169" s="290" t="str">
        <f>IF('ASIGNACIÓN ASIGNATURAS'!T169="","",'ASIGNACIÓN ASIGNATURAS'!T169)</f>
        <v/>
      </c>
      <c r="I169" s="290" t="str">
        <f>IF('ASIGNACIÓN ASIGNATURAS'!U169="","",'ASIGNACIÓN ASIGNATURAS'!U169)</f>
        <v/>
      </c>
      <c r="J169" s="290" t="str">
        <f>IF('ASIGNACIÓN ASIGNATURAS'!V169="","",'ASIGNACIÓN ASIGNATURAS'!V169)</f>
        <v/>
      </c>
      <c r="K169" s="301" t="str">
        <f>IF('ASIGNACIÓN ASIGNATURAS'!S169="","",'ASIGNACIÓN ASIGNATURAS'!S169)</f>
        <v/>
      </c>
      <c r="L169" s="244" t="str">
        <f>IF('ASIGNACIÓN ASIGNATURAS'!Q169="","",'ASIGNACIÓN ASIGNATURAS'!Q169)</f>
        <v/>
      </c>
      <c r="M169" s="244" t="str">
        <f>IF('ASIGNACIÓN ASIGNATURAS'!R169="","",'ASIGNACIÓN ASIGNATURAS'!R169)</f>
        <v/>
      </c>
      <c r="N169" s="244" t="str">
        <f>IF('ASIGNACIÓN ASIGNATURAS'!W169="","",'ASIGNACIÓN ASIGNATURAS'!W169)</f>
        <v/>
      </c>
      <c r="O169" s="244" t="str">
        <f>IF('ASIGNACIÓN ASIGNATURAS'!X169="","",'ASIGNACIÓN ASIGNATURAS'!X169)</f>
        <v/>
      </c>
      <c r="P169" s="244" t="str">
        <f>IF('ASIGNACIÓN ASIGNATURAS'!Y169="","",'ASIGNACIÓN ASIGNATURAS'!Y169)</f>
        <v/>
      </c>
      <c r="Q169" s="244" t="str">
        <f>IF('ASIGNACIÓN ASIGNATURAS'!Z169="","",'ASIGNACIÓN ASIGNATURAS'!Z169)</f>
        <v/>
      </c>
      <c r="R169" s="244" t="str">
        <f>IF('ASIGNACIÓN ASIGNATURAS'!AA169="","",'ASIGNACIÓN ASIGNATURAS'!AA169)</f>
        <v/>
      </c>
      <c r="S169" s="244" t="str">
        <f>IF('ASIGNACIÓN ASIGNATURAS'!AB169="","",'ASIGNACIÓN ASIGNATURAS'!AB169)</f>
        <v/>
      </c>
    </row>
    <row r="170" spans="1:19" x14ac:dyDescent="0.3">
      <c r="A170" s="290" t="str">
        <f>IF('ASIGNACIÓN ASIGNATURAS'!J170="","",'ASIGNACIÓN ASIGNATURAS'!J170)</f>
        <v/>
      </c>
      <c r="B170" s="290" t="str">
        <f>IF('ASIGNACIÓN ASIGNATURAS'!K170="","",'ASIGNACIÓN ASIGNATURAS'!K170)</f>
        <v/>
      </c>
      <c r="C170" s="290" t="str">
        <f>IF('ASIGNACIÓN ASIGNATURAS'!L170="","",'ASIGNACIÓN ASIGNATURAS'!L170)</f>
        <v/>
      </c>
      <c r="D170" s="290" t="str">
        <f>IF('ASIGNACIÓN ASIGNATURAS'!M170="","",'ASIGNACIÓN ASIGNATURAS'!M170)</f>
        <v/>
      </c>
      <c r="E170" s="290" t="str">
        <f>IF('ASIGNACIÓN ASIGNATURAS'!N170="","",'ASIGNACIÓN ASIGNATURAS'!N170)</f>
        <v/>
      </c>
      <c r="F170" s="290" t="str">
        <f>IF('ASIGNACIÓN ASIGNATURAS'!O170="","",'ASIGNACIÓN ASIGNATURAS'!O170)</f>
        <v/>
      </c>
      <c r="G170" s="290" t="str">
        <f>IF('ASIGNACIÓN ASIGNATURAS'!P170="","",'ASIGNACIÓN ASIGNATURAS'!P170)</f>
        <v/>
      </c>
      <c r="H170" s="290" t="str">
        <f>IF('ASIGNACIÓN ASIGNATURAS'!T170="","",'ASIGNACIÓN ASIGNATURAS'!T170)</f>
        <v/>
      </c>
      <c r="I170" s="290" t="str">
        <f>IF('ASIGNACIÓN ASIGNATURAS'!U170="","",'ASIGNACIÓN ASIGNATURAS'!U170)</f>
        <v/>
      </c>
      <c r="J170" s="290" t="str">
        <f>IF('ASIGNACIÓN ASIGNATURAS'!V170="","",'ASIGNACIÓN ASIGNATURAS'!V170)</f>
        <v/>
      </c>
      <c r="K170" s="301" t="str">
        <f>IF('ASIGNACIÓN ASIGNATURAS'!S170="","",'ASIGNACIÓN ASIGNATURAS'!S170)</f>
        <v/>
      </c>
      <c r="L170" s="244" t="str">
        <f>IF('ASIGNACIÓN ASIGNATURAS'!Q170="","",'ASIGNACIÓN ASIGNATURAS'!Q170)</f>
        <v/>
      </c>
      <c r="M170" s="244" t="str">
        <f>IF('ASIGNACIÓN ASIGNATURAS'!R170="","",'ASIGNACIÓN ASIGNATURAS'!R170)</f>
        <v/>
      </c>
      <c r="N170" s="244" t="str">
        <f>IF('ASIGNACIÓN ASIGNATURAS'!W170="","",'ASIGNACIÓN ASIGNATURAS'!W170)</f>
        <v/>
      </c>
      <c r="O170" s="244" t="str">
        <f>IF('ASIGNACIÓN ASIGNATURAS'!X170="","",'ASIGNACIÓN ASIGNATURAS'!X170)</f>
        <v/>
      </c>
      <c r="P170" s="244" t="str">
        <f>IF('ASIGNACIÓN ASIGNATURAS'!Y170="","",'ASIGNACIÓN ASIGNATURAS'!Y170)</f>
        <v/>
      </c>
      <c r="Q170" s="244" t="str">
        <f>IF('ASIGNACIÓN ASIGNATURAS'!Z170="","",'ASIGNACIÓN ASIGNATURAS'!Z170)</f>
        <v/>
      </c>
      <c r="R170" s="244" t="str">
        <f>IF('ASIGNACIÓN ASIGNATURAS'!AA170="","",'ASIGNACIÓN ASIGNATURAS'!AA170)</f>
        <v/>
      </c>
      <c r="S170" s="244" t="str">
        <f>IF('ASIGNACIÓN ASIGNATURAS'!AB170="","",'ASIGNACIÓN ASIGNATURAS'!AB170)</f>
        <v/>
      </c>
    </row>
    <row r="171" spans="1:19" x14ac:dyDescent="0.3">
      <c r="A171" s="290" t="str">
        <f>IF('ASIGNACIÓN ASIGNATURAS'!J171="","",'ASIGNACIÓN ASIGNATURAS'!J171)</f>
        <v/>
      </c>
      <c r="B171" s="290" t="str">
        <f>IF('ASIGNACIÓN ASIGNATURAS'!K171="","",'ASIGNACIÓN ASIGNATURAS'!K171)</f>
        <v/>
      </c>
      <c r="C171" s="290" t="str">
        <f>IF('ASIGNACIÓN ASIGNATURAS'!L171="","",'ASIGNACIÓN ASIGNATURAS'!L171)</f>
        <v/>
      </c>
      <c r="D171" s="290" t="str">
        <f>IF('ASIGNACIÓN ASIGNATURAS'!M171="","",'ASIGNACIÓN ASIGNATURAS'!M171)</f>
        <v/>
      </c>
      <c r="E171" s="290" t="str">
        <f>IF('ASIGNACIÓN ASIGNATURAS'!N171="","",'ASIGNACIÓN ASIGNATURAS'!N171)</f>
        <v/>
      </c>
      <c r="F171" s="290" t="str">
        <f>IF('ASIGNACIÓN ASIGNATURAS'!O171="","",'ASIGNACIÓN ASIGNATURAS'!O171)</f>
        <v/>
      </c>
      <c r="G171" s="290" t="str">
        <f>IF('ASIGNACIÓN ASIGNATURAS'!P171="","",'ASIGNACIÓN ASIGNATURAS'!P171)</f>
        <v/>
      </c>
      <c r="H171" s="290" t="str">
        <f>IF('ASIGNACIÓN ASIGNATURAS'!T171="","",'ASIGNACIÓN ASIGNATURAS'!T171)</f>
        <v/>
      </c>
      <c r="I171" s="290" t="str">
        <f>IF('ASIGNACIÓN ASIGNATURAS'!U171="","",'ASIGNACIÓN ASIGNATURAS'!U171)</f>
        <v/>
      </c>
      <c r="J171" s="290" t="str">
        <f>IF('ASIGNACIÓN ASIGNATURAS'!V171="","",'ASIGNACIÓN ASIGNATURAS'!V171)</f>
        <v/>
      </c>
      <c r="K171" s="301" t="str">
        <f>IF('ASIGNACIÓN ASIGNATURAS'!S171="","",'ASIGNACIÓN ASIGNATURAS'!S171)</f>
        <v/>
      </c>
      <c r="L171" s="244" t="str">
        <f>IF('ASIGNACIÓN ASIGNATURAS'!Q171="","",'ASIGNACIÓN ASIGNATURAS'!Q171)</f>
        <v/>
      </c>
      <c r="M171" s="244" t="str">
        <f>IF('ASIGNACIÓN ASIGNATURAS'!R171="","",'ASIGNACIÓN ASIGNATURAS'!R171)</f>
        <v/>
      </c>
      <c r="N171" s="244" t="str">
        <f>IF('ASIGNACIÓN ASIGNATURAS'!W171="","",'ASIGNACIÓN ASIGNATURAS'!W171)</f>
        <v/>
      </c>
      <c r="O171" s="244" t="str">
        <f>IF('ASIGNACIÓN ASIGNATURAS'!X171="","",'ASIGNACIÓN ASIGNATURAS'!X171)</f>
        <v/>
      </c>
      <c r="P171" s="244" t="str">
        <f>IF('ASIGNACIÓN ASIGNATURAS'!Y171="","",'ASIGNACIÓN ASIGNATURAS'!Y171)</f>
        <v/>
      </c>
      <c r="Q171" s="244" t="str">
        <f>IF('ASIGNACIÓN ASIGNATURAS'!Z171="","",'ASIGNACIÓN ASIGNATURAS'!Z171)</f>
        <v/>
      </c>
      <c r="R171" s="244" t="str">
        <f>IF('ASIGNACIÓN ASIGNATURAS'!AA171="","",'ASIGNACIÓN ASIGNATURAS'!AA171)</f>
        <v/>
      </c>
      <c r="S171" s="244" t="str">
        <f>IF('ASIGNACIÓN ASIGNATURAS'!AB171="","",'ASIGNACIÓN ASIGNATURAS'!AB171)</f>
        <v/>
      </c>
    </row>
    <row r="172" spans="1:19" x14ac:dyDescent="0.3">
      <c r="A172" s="290" t="str">
        <f>IF('ASIGNACIÓN ASIGNATURAS'!J172="","",'ASIGNACIÓN ASIGNATURAS'!J172)</f>
        <v/>
      </c>
      <c r="B172" s="290" t="str">
        <f>IF('ASIGNACIÓN ASIGNATURAS'!K172="","",'ASIGNACIÓN ASIGNATURAS'!K172)</f>
        <v/>
      </c>
      <c r="C172" s="290" t="str">
        <f>IF('ASIGNACIÓN ASIGNATURAS'!L172="","",'ASIGNACIÓN ASIGNATURAS'!L172)</f>
        <v/>
      </c>
      <c r="D172" s="290" t="str">
        <f>IF('ASIGNACIÓN ASIGNATURAS'!M172="","",'ASIGNACIÓN ASIGNATURAS'!M172)</f>
        <v/>
      </c>
      <c r="E172" s="290" t="str">
        <f>IF('ASIGNACIÓN ASIGNATURAS'!N172="","",'ASIGNACIÓN ASIGNATURAS'!N172)</f>
        <v/>
      </c>
      <c r="F172" s="290" t="str">
        <f>IF('ASIGNACIÓN ASIGNATURAS'!O172="","",'ASIGNACIÓN ASIGNATURAS'!O172)</f>
        <v/>
      </c>
      <c r="G172" s="290" t="str">
        <f>IF('ASIGNACIÓN ASIGNATURAS'!P172="","",'ASIGNACIÓN ASIGNATURAS'!P172)</f>
        <v/>
      </c>
      <c r="H172" s="290" t="str">
        <f>IF('ASIGNACIÓN ASIGNATURAS'!T172="","",'ASIGNACIÓN ASIGNATURAS'!T172)</f>
        <v/>
      </c>
      <c r="I172" s="290" t="str">
        <f>IF('ASIGNACIÓN ASIGNATURAS'!U172="","",'ASIGNACIÓN ASIGNATURAS'!U172)</f>
        <v/>
      </c>
      <c r="J172" s="290" t="str">
        <f>IF('ASIGNACIÓN ASIGNATURAS'!V172="","",'ASIGNACIÓN ASIGNATURAS'!V172)</f>
        <v/>
      </c>
      <c r="K172" s="301" t="str">
        <f>IF('ASIGNACIÓN ASIGNATURAS'!S172="","",'ASIGNACIÓN ASIGNATURAS'!S172)</f>
        <v/>
      </c>
      <c r="L172" s="244" t="str">
        <f>IF('ASIGNACIÓN ASIGNATURAS'!Q172="","",'ASIGNACIÓN ASIGNATURAS'!Q172)</f>
        <v/>
      </c>
      <c r="M172" s="244" t="str">
        <f>IF('ASIGNACIÓN ASIGNATURAS'!R172="","",'ASIGNACIÓN ASIGNATURAS'!R172)</f>
        <v/>
      </c>
      <c r="N172" s="244" t="str">
        <f>IF('ASIGNACIÓN ASIGNATURAS'!W172="","",'ASIGNACIÓN ASIGNATURAS'!W172)</f>
        <v/>
      </c>
      <c r="O172" s="244" t="str">
        <f>IF('ASIGNACIÓN ASIGNATURAS'!X172="","",'ASIGNACIÓN ASIGNATURAS'!X172)</f>
        <v/>
      </c>
      <c r="P172" s="244" t="str">
        <f>IF('ASIGNACIÓN ASIGNATURAS'!Y172="","",'ASIGNACIÓN ASIGNATURAS'!Y172)</f>
        <v/>
      </c>
      <c r="Q172" s="244" t="str">
        <f>IF('ASIGNACIÓN ASIGNATURAS'!Z172="","",'ASIGNACIÓN ASIGNATURAS'!Z172)</f>
        <v/>
      </c>
      <c r="R172" s="244" t="str">
        <f>IF('ASIGNACIÓN ASIGNATURAS'!AA172="","",'ASIGNACIÓN ASIGNATURAS'!AA172)</f>
        <v/>
      </c>
      <c r="S172" s="244" t="str">
        <f>IF('ASIGNACIÓN ASIGNATURAS'!AB172="","",'ASIGNACIÓN ASIGNATURAS'!AB172)</f>
        <v/>
      </c>
    </row>
    <row r="173" spans="1:19" x14ac:dyDescent="0.3">
      <c r="A173" s="290" t="str">
        <f>IF('ASIGNACIÓN ASIGNATURAS'!J173="","",'ASIGNACIÓN ASIGNATURAS'!J173)</f>
        <v/>
      </c>
      <c r="B173" s="290" t="str">
        <f>IF('ASIGNACIÓN ASIGNATURAS'!K173="","",'ASIGNACIÓN ASIGNATURAS'!K173)</f>
        <v/>
      </c>
      <c r="C173" s="290" t="str">
        <f>IF('ASIGNACIÓN ASIGNATURAS'!L173="","",'ASIGNACIÓN ASIGNATURAS'!L173)</f>
        <v/>
      </c>
      <c r="D173" s="290" t="str">
        <f>IF('ASIGNACIÓN ASIGNATURAS'!M173="","",'ASIGNACIÓN ASIGNATURAS'!M173)</f>
        <v/>
      </c>
      <c r="E173" s="290" t="str">
        <f>IF('ASIGNACIÓN ASIGNATURAS'!N173="","",'ASIGNACIÓN ASIGNATURAS'!N173)</f>
        <v/>
      </c>
      <c r="F173" s="290" t="str">
        <f>IF('ASIGNACIÓN ASIGNATURAS'!O173="","",'ASIGNACIÓN ASIGNATURAS'!O173)</f>
        <v/>
      </c>
      <c r="G173" s="290" t="str">
        <f>IF('ASIGNACIÓN ASIGNATURAS'!P173="","",'ASIGNACIÓN ASIGNATURAS'!P173)</f>
        <v/>
      </c>
      <c r="H173" s="290" t="str">
        <f>IF('ASIGNACIÓN ASIGNATURAS'!T173="","",'ASIGNACIÓN ASIGNATURAS'!T173)</f>
        <v/>
      </c>
      <c r="I173" s="290" t="str">
        <f>IF('ASIGNACIÓN ASIGNATURAS'!U173="","",'ASIGNACIÓN ASIGNATURAS'!U173)</f>
        <v/>
      </c>
      <c r="J173" s="290" t="str">
        <f>IF('ASIGNACIÓN ASIGNATURAS'!V173="","",'ASIGNACIÓN ASIGNATURAS'!V173)</f>
        <v/>
      </c>
      <c r="K173" s="301" t="str">
        <f>IF('ASIGNACIÓN ASIGNATURAS'!S173="","",'ASIGNACIÓN ASIGNATURAS'!S173)</f>
        <v/>
      </c>
      <c r="L173" s="244" t="str">
        <f>IF('ASIGNACIÓN ASIGNATURAS'!Q173="","",'ASIGNACIÓN ASIGNATURAS'!Q173)</f>
        <v/>
      </c>
      <c r="M173" s="244" t="str">
        <f>IF('ASIGNACIÓN ASIGNATURAS'!R173="","",'ASIGNACIÓN ASIGNATURAS'!R173)</f>
        <v/>
      </c>
      <c r="N173" s="244" t="str">
        <f>IF('ASIGNACIÓN ASIGNATURAS'!W173="","",'ASIGNACIÓN ASIGNATURAS'!W173)</f>
        <v/>
      </c>
      <c r="O173" s="244" t="str">
        <f>IF('ASIGNACIÓN ASIGNATURAS'!X173="","",'ASIGNACIÓN ASIGNATURAS'!X173)</f>
        <v/>
      </c>
      <c r="P173" s="244" t="str">
        <f>IF('ASIGNACIÓN ASIGNATURAS'!Y173="","",'ASIGNACIÓN ASIGNATURAS'!Y173)</f>
        <v/>
      </c>
      <c r="Q173" s="244" t="str">
        <f>IF('ASIGNACIÓN ASIGNATURAS'!Z173="","",'ASIGNACIÓN ASIGNATURAS'!Z173)</f>
        <v/>
      </c>
      <c r="R173" s="244" t="str">
        <f>IF('ASIGNACIÓN ASIGNATURAS'!AA173="","",'ASIGNACIÓN ASIGNATURAS'!AA173)</f>
        <v/>
      </c>
      <c r="S173" s="244" t="str">
        <f>IF('ASIGNACIÓN ASIGNATURAS'!AB173="","",'ASIGNACIÓN ASIGNATURAS'!AB173)</f>
        <v/>
      </c>
    </row>
    <row r="174" spans="1:19" x14ac:dyDescent="0.3">
      <c r="A174" s="290" t="str">
        <f>IF('ASIGNACIÓN ASIGNATURAS'!J174="","",'ASIGNACIÓN ASIGNATURAS'!J174)</f>
        <v/>
      </c>
      <c r="B174" s="290" t="str">
        <f>IF('ASIGNACIÓN ASIGNATURAS'!K174="","",'ASIGNACIÓN ASIGNATURAS'!K174)</f>
        <v/>
      </c>
      <c r="C174" s="290" t="str">
        <f>IF('ASIGNACIÓN ASIGNATURAS'!L174="","",'ASIGNACIÓN ASIGNATURAS'!L174)</f>
        <v/>
      </c>
      <c r="D174" s="290" t="str">
        <f>IF('ASIGNACIÓN ASIGNATURAS'!M174="","",'ASIGNACIÓN ASIGNATURAS'!M174)</f>
        <v/>
      </c>
      <c r="E174" s="290" t="str">
        <f>IF('ASIGNACIÓN ASIGNATURAS'!N174="","",'ASIGNACIÓN ASIGNATURAS'!N174)</f>
        <v/>
      </c>
      <c r="F174" s="290" t="str">
        <f>IF('ASIGNACIÓN ASIGNATURAS'!O174="","",'ASIGNACIÓN ASIGNATURAS'!O174)</f>
        <v/>
      </c>
      <c r="G174" s="290" t="str">
        <f>IF('ASIGNACIÓN ASIGNATURAS'!P174="","",'ASIGNACIÓN ASIGNATURAS'!P174)</f>
        <v/>
      </c>
      <c r="H174" s="290" t="str">
        <f>IF('ASIGNACIÓN ASIGNATURAS'!T174="","",'ASIGNACIÓN ASIGNATURAS'!T174)</f>
        <v/>
      </c>
      <c r="I174" s="290" t="str">
        <f>IF('ASIGNACIÓN ASIGNATURAS'!U174="","",'ASIGNACIÓN ASIGNATURAS'!U174)</f>
        <v/>
      </c>
      <c r="J174" s="290" t="str">
        <f>IF('ASIGNACIÓN ASIGNATURAS'!V174="","",'ASIGNACIÓN ASIGNATURAS'!V174)</f>
        <v/>
      </c>
      <c r="K174" s="301" t="str">
        <f>IF('ASIGNACIÓN ASIGNATURAS'!S174="","",'ASIGNACIÓN ASIGNATURAS'!S174)</f>
        <v/>
      </c>
      <c r="L174" s="244" t="str">
        <f>IF('ASIGNACIÓN ASIGNATURAS'!Q174="","",'ASIGNACIÓN ASIGNATURAS'!Q174)</f>
        <v/>
      </c>
      <c r="M174" s="244" t="str">
        <f>IF('ASIGNACIÓN ASIGNATURAS'!R174="","",'ASIGNACIÓN ASIGNATURAS'!R174)</f>
        <v/>
      </c>
      <c r="N174" s="244" t="str">
        <f>IF('ASIGNACIÓN ASIGNATURAS'!W174="","",'ASIGNACIÓN ASIGNATURAS'!W174)</f>
        <v/>
      </c>
      <c r="O174" s="244" t="str">
        <f>IF('ASIGNACIÓN ASIGNATURAS'!X174="","",'ASIGNACIÓN ASIGNATURAS'!X174)</f>
        <v/>
      </c>
      <c r="P174" s="244" t="str">
        <f>IF('ASIGNACIÓN ASIGNATURAS'!Y174="","",'ASIGNACIÓN ASIGNATURAS'!Y174)</f>
        <v/>
      </c>
      <c r="Q174" s="244" t="str">
        <f>IF('ASIGNACIÓN ASIGNATURAS'!Z174="","",'ASIGNACIÓN ASIGNATURAS'!Z174)</f>
        <v/>
      </c>
      <c r="R174" s="244" t="str">
        <f>IF('ASIGNACIÓN ASIGNATURAS'!AA174="","",'ASIGNACIÓN ASIGNATURAS'!AA174)</f>
        <v/>
      </c>
      <c r="S174" s="244" t="str">
        <f>IF('ASIGNACIÓN ASIGNATURAS'!AB174="","",'ASIGNACIÓN ASIGNATURAS'!AB174)</f>
        <v/>
      </c>
    </row>
    <row r="175" spans="1:19" x14ac:dyDescent="0.3">
      <c r="A175" s="290" t="str">
        <f>IF('ASIGNACIÓN ASIGNATURAS'!J175="","",'ASIGNACIÓN ASIGNATURAS'!J175)</f>
        <v/>
      </c>
      <c r="B175" s="290" t="str">
        <f>IF('ASIGNACIÓN ASIGNATURAS'!K175="","",'ASIGNACIÓN ASIGNATURAS'!K175)</f>
        <v/>
      </c>
      <c r="C175" s="290" t="str">
        <f>IF('ASIGNACIÓN ASIGNATURAS'!L175="","",'ASIGNACIÓN ASIGNATURAS'!L175)</f>
        <v/>
      </c>
      <c r="D175" s="290" t="str">
        <f>IF('ASIGNACIÓN ASIGNATURAS'!M175="","",'ASIGNACIÓN ASIGNATURAS'!M175)</f>
        <v/>
      </c>
      <c r="E175" s="290" t="str">
        <f>IF('ASIGNACIÓN ASIGNATURAS'!N175="","",'ASIGNACIÓN ASIGNATURAS'!N175)</f>
        <v/>
      </c>
      <c r="F175" s="290" t="str">
        <f>IF('ASIGNACIÓN ASIGNATURAS'!O175="","",'ASIGNACIÓN ASIGNATURAS'!O175)</f>
        <v/>
      </c>
      <c r="G175" s="290" t="str">
        <f>IF('ASIGNACIÓN ASIGNATURAS'!P175="","",'ASIGNACIÓN ASIGNATURAS'!P175)</f>
        <v/>
      </c>
      <c r="H175" s="290" t="str">
        <f>IF('ASIGNACIÓN ASIGNATURAS'!T175="","",'ASIGNACIÓN ASIGNATURAS'!T175)</f>
        <v/>
      </c>
      <c r="I175" s="290" t="str">
        <f>IF('ASIGNACIÓN ASIGNATURAS'!U175="","",'ASIGNACIÓN ASIGNATURAS'!U175)</f>
        <v/>
      </c>
      <c r="J175" s="290" t="str">
        <f>IF('ASIGNACIÓN ASIGNATURAS'!V175="","",'ASIGNACIÓN ASIGNATURAS'!V175)</f>
        <v/>
      </c>
      <c r="K175" s="301" t="str">
        <f>IF('ASIGNACIÓN ASIGNATURAS'!S175="","",'ASIGNACIÓN ASIGNATURAS'!S175)</f>
        <v/>
      </c>
      <c r="L175" s="244" t="str">
        <f>IF('ASIGNACIÓN ASIGNATURAS'!Q175="","",'ASIGNACIÓN ASIGNATURAS'!Q175)</f>
        <v/>
      </c>
      <c r="M175" s="244" t="str">
        <f>IF('ASIGNACIÓN ASIGNATURAS'!R175="","",'ASIGNACIÓN ASIGNATURAS'!R175)</f>
        <v/>
      </c>
      <c r="N175" s="244" t="str">
        <f>IF('ASIGNACIÓN ASIGNATURAS'!W175="","",'ASIGNACIÓN ASIGNATURAS'!W175)</f>
        <v/>
      </c>
      <c r="O175" s="244" t="str">
        <f>IF('ASIGNACIÓN ASIGNATURAS'!X175="","",'ASIGNACIÓN ASIGNATURAS'!X175)</f>
        <v/>
      </c>
      <c r="P175" s="244" t="str">
        <f>IF('ASIGNACIÓN ASIGNATURAS'!Y175="","",'ASIGNACIÓN ASIGNATURAS'!Y175)</f>
        <v/>
      </c>
      <c r="Q175" s="244" t="str">
        <f>IF('ASIGNACIÓN ASIGNATURAS'!Z175="","",'ASIGNACIÓN ASIGNATURAS'!Z175)</f>
        <v/>
      </c>
      <c r="R175" s="244" t="str">
        <f>IF('ASIGNACIÓN ASIGNATURAS'!AA175="","",'ASIGNACIÓN ASIGNATURAS'!AA175)</f>
        <v/>
      </c>
      <c r="S175" s="244" t="str">
        <f>IF('ASIGNACIÓN ASIGNATURAS'!AB175="","",'ASIGNACIÓN ASIGNATURAS'!AB175)</f>
        <v/>
      </c>
    </row>
    <row r="176" spans="1:19" x14ac:dyDescent="0.3">
      <c r="A176" s="290" t="str">
        <f>IF('ASIGNACIÓN ASIGNATURAS'!J176="","",'ASIGNACIÓN ASIGNATURAS'!J176)</f>
        <v/>
      </c>
      <c r="B176" s="290" t="str">
        <f>IF('ASIGNACIÓN ASIGNATURAS'!K176="","",'ASIGNACIÓN ASIGNATURAS'!K176)</f>
        <v/>
      </c>
      <c r="C176" s="290" t="str">
        <f>IF('ASIGNACIÓN ASIGNATURAS'!L176="","",'ASIGNACIÓN ASIGNATURAS'!L176)</f>
        <v/>
      </c>
      <c r="D176" s="290" t="str">
        <f>IF('ASIGNACIÓN ASIGNATURAS'!M176="","",'ASIGNACIÓN ASIGNATURAS'!M176)</f>
        <v/>
      </c>
      <c r="E176" s="290" t="str">
        <f>IF('ASIGNACIÓN ASIGNATURAS'!N176="","",'ASIGNACIÓN ASIGNATURAS'!N176)</f>
        <v/>
      </c>
      <c r="F176" s="290" t="str">
        <f>IF('ASIGNACIÓN ASIGNATURAS'!O176="","",'ASIGNACIÓN ASIGNATURAS'!O176)</f>
        <v/>
      </c>
      <c r="G176" s="290" t="str">
        <f>IF('ASIGNACIÓN ASIGNATURAS'!P176="","",'ASIGNACIÓN ASIGNATURAS'!P176)</f>
        <v/>
      </c>
      <c r="H176" s="290" t="str">
        <f>IF('ASIGNACIÓN ASIGNATURAS'!T176="","",'ASIGNACIÓN ASIGNATURAS'!T176)</f>
        <v/>
      </c>
      <c r="I176" s="290" t="str">
        <f>IF('ASIGNACIÓN ASIGNATURAS'!U176="","",'ASIGNACIÓN ASIGNATURAS'!U176)</f>
        <v/>
      </c>
      <c r="J176" s="290" t="str">
        <f>IF('ASIGNACIÓN ASIGNATURAS'!V176="","",'ASIGNACIÓN ASIGNATURAS'!V176)</f>
        <v/>
      </c>
      <c r="K176" s="301" t="str">
        <f>IF('ASIGNACIÓN ASIGNATURAS'!S176="","",'ASIGNACIÓN ASIGNATURAS'!S176)</f>
        <v/>
      </c>
      <c r="L176" s="244" t="str">
        <f>IF('ASIGNACIÓN ASIGNATURAS'!Q176="","",'ASIGNACIÓN ASIGNATURAS'!Q176)</f>
        <v/>
      </c>
      <c r="M176" s="244" t="str">
        <f>IF('ASIGNACIÓN ASIGNATURAS'!R176="","",'ASIGNACIÓN ASIGNATURAS'!R176)</f>
        <v/>
      </c>
      <c r="N176" s="244" t="str">
        <f>IF('ASIGNACIÓN ASIGNATURAS'!W176="","",'ASIGNACIÓN ASIGNATURAS'!W176)</f>
        <v/>
      </c>
      <c r="O176" s="244" t="str">
        <f>IF('ASIGNACIÓN ASIGNATURAS'!X176="","",'ASIGNACIÓN ASIGNATURAS'!X176)</f>
        <v/>
      </c>
      <c r="P176" s="244" t="str">
        <f>IF('ASIGNACIÓN ASIGNATURAS'!Y176="","",'ASIGNACIÓN ASIGNATURAS'!Y176)</f>
        <v/>
      </c>
      <c r="Q176" s="244" t="str">
        <f>IF('ASIGNACIÓN ASIGNATURAS'!Z176="","",'ASIGNACIÓN ASIGNATURAS'!Z176)</f>
        <v/>
      </c>
      <c r="R176" s="244" t="str">
        <f>IF('ASIGNACIÓN ASIGNATURAS'!AA176="","",'ASIGNACIÓN ASIGNATURAS'!AA176)</f>
        <v/>
      </c>
      <c r="S176" s="244" t="str">
        <f>IF('ASIGNACIÓN ASIGNATURAS'!AB176="","",'ASIGNACIÓN ASIGNATURAS'!AB176)</f>
        <v/>
      </c>
    </row>
    <row r="177" spans="1:19" x14ac:dyDescent="0.3">
      <c r="A177" s="290" t="str">
        <f>IF('ASIGNACIÓN ASIGNATURAS'!J177="","",'ASIGNACIÓN ASIGNATURAS'!J177)</f>
        <v/>
      </c>
      <c r="B177" s="290" t="str">
        <f>IF('ASIGNACIÓN ASIGNATURAS'!K177="","",'ASIGNACIÓN ASIGNATURAS'!K177)</f>
        <v/>
      </c>
      <c r="C177" s="290" t="str">
        <f>IF('ASIGNACIÓN ASIGNATURAS'!L177="","",'ASIGNACIÓN ASIGNATURAS'!L177)</f>
        <v/>
      </c>
      <c r="D177" s="290" t="str">
        <f>IF('ASIGNACIÓN ASIGNATURAS'!M177="","",'ASIGNACIÓN ASIGNATURAS'!M177)</f>
        <v/>
      </c>
      <c r="E177" s="290" t="str">
        <f>IF('ASIGNACIÓN ASIGNATURAS'!N177="","",'ASIGNACIÓN ASIGNATURAS'!N177)</f>
        <v/>
      </c>
      <c r="F177" s="290" t="str">
        <f>IF('ASIGNACIÓN ASIGNATURAS'!O177="","",'ASIGNACIÓN ASIGNATURAS'!O177)</f>
        <v/>
      </c>
      <c r="G177" s="290" t="str">
        <f>IF('ASIGNACIÓN ASIGNATURAS'!P177="","",'ASIGNACIÓN ASIGNATURAS'!P177)</f>
        <v/>
      </c>
      <c r="H177" s="290" t="str">
        <f>IF('ASIGNACIÓN ASIGNATURAS'!T177="","",'ASIGNACIÓN ASIGNATURAS'!T177)</f>
        <v/>
      </c>
      <c r="I177" s="290" t="str">
        <f>IF('ASIGNACIÓN ASIGNATURAS'!U177="","",'ASIGNACIÓN ASIGNATURAS'!U177)</f>
        <v/>
      </c>
      <c r="J177" s="290" t="str">
        <f>IF('ASIGNACIÓN ASIGNATURAS'!V177="","",'ASIGNACIÓN ASIGNATURAS'!V177)</f>
        <v/>
      </c>
      <c r="K177" s="301" t="str">
        <f>IF('ASIGNACIÓN ASIGNATURAS'!S177="","",'ASIGNACIÓN ASIGNATURAS'!S177)</f>
        <v/>
      </c>
      <c r="L177" s="244" t="str">
        <f>IF('ASIGNACIÓN ASIGNATURAS'!Q177="","",'ASIGNACIÓN ASIGNATURAS'!Q177)</f>
        <v/>
      </c>
      <c r="M177" s="244" t="str">
        <f>IF('ASIGNACIÓN ASIGNATURAS'!R177="","",'ASIGNACIÓN ASIGNATURAS'!R177)</f>
        <v/>
      </c>
      <c r="N177" s="244" t="str">
        <f>IF('ASIGNACIÓN ASIGNATURAS'!W177="","",'ASIGNACIÓN ASIGNATURAS'!W177)</f>
        <v/>
      </c>
      <c r="O177" s="244" t="str">
        <f>IF('ASIGNACIÓN ASIGNATURAS'!X177="","",'ASIGNACIÓN ASIGNATURAS'!X177)</f>
        <v/>
      </c>
      <c r="P177" s="244" t="str">
        <f>IF('ASIGNACIÓN ASIGNATURAS'!Y177="","",'ASIGNACIÓN ASIGNATURAS'!Y177)</f>
        <v/>
      </c>
      <c r="Q177" s="244" t="str">
        <f>IF('ASIGNACIÓN ASIGNATURAS'!Z177="","",'ASIGNACIÓN ASIGNATURAS'!Z177)</f>
        <v/>
      </c>
      <c r="R177" s="244" t="str">
        <f>IF('ASIGNACIÓN ASIGNATURAS'!AA177="","",'ASIGNACIÓN ASIGNATURAS'!AA177)</f>
        <v/>
      </c>
      <c r="S177" s="244" t="str">
        <f>IF('ASIGNACIÓN ASIGNATURAS'!AB177="","",'ASIGNACIÓN ASIGNATURAS'!AB177)</f>
        <v/>
      </c>
    </row>
    <row r="178" spans="1:19" x14ac:dyDescent="0.3">
      <c r="A178" s="290" t="str">
        <f>IF('ASIGNACIÓN ASIGNATURAS'!J178="","",'ASIGNACIÓN ASIGNATURAS'!J178)</f>
        <v/>
      </c>
      <c r="B178" s="290" t="str">
        <f>IF('ASIGNACIÓN ASIGNATURAS'!K178="","",'ASIGNACIÓN ASIGNATURAS'!K178)</f>
        <v/>
      </c>
      <c r="C178" s="290" t="str">
        <f>IF('ASIGNACIÓN ASIGNATURAS'!L178="","",'ASIGNACIÓN ASIGNATURAS'!L178)</f>
        <v/>
      </c>
      <c r="D178" s="290" t="str">
        <f>IF('ASIGNACIÓN ASIGNATURAS'!M178="","",'ASIGNACIÓN ASIGNATURAS'!M178)</f>
        <v/>
      </c>
      <c r="E178" s="290" t="str">
        <f>IF('ASIGNACIÓN ASIGNATURAS'!N178="","",'ASIGNACIÓN ASIGNATURAS'!N178)</f>
        <v/>
      </c>
      <c r="F178" s="290" t="str">
        <f>IF('ASIGNACIÓN ASIGNATURAS'!O178="","",'ASIGNACIÓN ASIGNATURAS'!O178)</f>
        <v/>
      </c>
      <c r="G178" s="290" t="str">
        <f>IF('ASIGNACIÓN ASIGNATURAS'!P178="","",'ASIGNACIÓN ASIGNATURAS'!P178)</f>
        <v/>
      </c>
      <c r="H178" s="290" t="str">
        <f>IF('ASIGNACIÓN ASIGNATURAS'!T178="","",'ASIGNACIÓN ASIGNATURAS'!T178)</f>
        <v/>
      </c>
      <c r="I178" s="290" t="str">
        <f>IF('ASIGNACIÓN ASIGNATURAS'!U178="","",'ASIGNACIÓN ASIGNATURAS'!U178)</f>
        <v/>
      </c>
      <c r="J178" s="290" t="str">
        <f>IF('ASIGNACIÓN ASIGNATURAS'!V178="","",'ASIGNACIÓN ASIGNATURAS'!V178)</f>
        <v/>
      </c>
      <c r="K178" s="301" t="str">
        <f>IF('ASIGNACIÓN ASIGNATURAS'!S178="","",'ASIGNACIÓN ASIGNATURAS'!S178)</f>
        <v/>
      </c>
      <c r="L178" s="244" t="str">
        <f>IF('ASIGNACIÓN ASIGNATURAS'!Q178="","",'ASIGNACIÓN ASIGNATURAS'!Q178)</f>
        <v/>
      </c>
      <c r="M178" s="244" t="str">
        <f>IF('ASIGNACIÓN ASIGNATURAS'!R178="","",'ASIGNACIÓN ASIGNATURAS'!R178)</f>
        <v/>
      </c>
      <c r="N178" s="244" t="str">
        <f>IF('ASIGNACIÓN ASIGNATURAS'!W178="","",'ASIGNACIÓN ASIGNATURAS'!W178)</f>
        <v/>
      </c>
      <c r="O178" s="244" t="str">
        <f>IF('ASIGNACIÓN ASIGNATURAS'!X178="","",'ASIGNACIÓN ASIGNATURAS'!X178)</f>
        <v/>
      </c>
      <c r="P178" s="244" t="str">
        <f>IF('ASIGNACIÓN ASIGNATURAS'!Y178="","",'ASIGNACIÓN ASIGNATURAS'!Y178)</f>
        <v/>
      </c>
      <c r="Q178" s="244" t="str">
        <f>IF('ASIGNACIÓN ASIGNATURAS'!Z178="","",'ASIGNACIÓN ASIGNATURAS'!Z178)</f>
        <v/>
      </c>
      <c r="R178" s="244" t="str">
        <f>IF('ASIGNACIÓN ASIGNATURAS'!AA178="","",'ASIGNACIÓN ASIGNATURAS'!AA178)</f>
        <v/>
      </c>
      <c r="S178" s="244" t="str">
        <f>IF('ASIGNACIÓN ASIGNATURAS'!AB178="","",'ASIGNACIÓN ASIGNATURAS'!AB178)</f>
        <v/>
      </c>
    </row>
    <row r="179" spans="1:19" x14ac:dyDescent="0.3">
      <c r="A179" s="290" t="str">
        <f>IF('ASIGNACIÓN ASIGNATURAS'!J179="","",'ASIGNACIÓN ASIGNATURAS'!J179)</f>
        <v/>
      </c>
      <c r="B179" s="290" t="str">
        <f>IF('ASIGNACIÓN ASIGNATURAS'!K179="","",'ASIGNACIÓN ASIGNATURAS'!K179)</f>
        <v/>
      </c>
      <c r="C179" s="290" t="str">
        <f>IF('ASIGNACIÓN ASIGNATURAS'!L179="","",'ASIGNACIÓN ASIGNATURAS'!L179)</f>
        <v/>
      </c>
      <c r="D179" s="290" t="str">
        <f>IF('ASIGNACIÓN ASIGNATURAS'!M179="","",'ASIGNACIÓN ASIGNATURAS'!M179)</f>
        <v/>
      </c>
      <c r="E179" s="290" t="str">
        <f>IF('ASIGNACIÓN ASIGNATURAS'!N179="","",'ASIGNACIÓN ASIGNATURAS'!N179)</f>
        <v/>
      </c>
      <c r="F179" s="290" t="str">
        <f>IF('ASIGNACIÓN ASIGNATURAS'!O179="","",'ASIGNACIÓN ASIGNATURAS'!O179)</f>
        <v/>
      </c>
      <c r="G179" s="290" t="str">
        <f>IF('ASIGNACIÓN ASIGNATURAS'!P179="","",'ASIGNACIÓN ASIGNATURAS'!P179)</f>
        <v/>
      </c>
      <c r="H179" s="290" t="str">
        <f>IF('ASIGNACIÓN ASIGNATURAS'!T179="","",'ASIGNACIÓN ASIGNATURAS'!T179)</f>
        <v/>
      </c>
      <c r="I179" s="290" t="str">
        <f>IF('ASIGNACIÓN ASIGNATURAS'!U179="","",'ASIGNACIÓN ASIGNATURAS'!U179)</f>
        <v/>
      </c>
      <c r="J179" s="290" t="str">
        <f>IF('ASIGNACIÓN ASIGNATURAS'!V179="","",'ASIGNACIÓN ASIGNATURAS'!V179)</f>
        <v/>
      </c>
      <c r="K179" s="301" t="str">
        <f>IF('ASIGNACIÓN ASIGNATURAS'!S179="","",'ASIGNACIÓN ASIGNATURAS'!S179)</f>
        <v/>
      </c>
      <c r="L179" s="244" t="str">
        <f>IF('ASIGNACIÓN ASIGNATURAS'!Q179="","",'ASIGNACIÓN ASIGNATURAS'!Q179)</f>
        <v/>
      </c>
      <c r="M179" s="244" t="str">
        <f>IF('ASIGNACIÓN ASIGNATURAS'!R179="","",'ASIGNACIÓN ASIGNATURAS'!R179)</f>
        <v/>
      </c>
      <c r="N179" s="244" t="str">
        <f>IF('ASIGNACIÓN ASIGNATURAS'!W179="","",'ASIGNACIÓN ASIGNATURAS'!W179)</f>
        <v/>
      </c>
      <c r="O179" s="244" t="str">
        <f>IF('ASIGNACIÓN ASIGNATURAS'!X179="","",'ASIGNACIÓN ASIGNATURAS'!X179)</f>
        <v/>
      </c>
      <c r="P179" s="244" t="str">
        <f>IF('ASIGNACIÓN ASIGNATURAS'!Y179="","",'ASIGNACIÓN ASIGNATURAS'!Y179)</f>
        <v/>
      </c>
      <c r="Q179" s="244" t="str">
        <f>IF('ASIGNACIÓN ASIGNATURAS'!Z179="","",'ASIGNACIÓN ASIGNATURAS'!Z179)</f>
        <v/>
      </c>
      <c r="R179" s="244" t="str">
        <f>IF('ASIGNACIÓN ASIGNATURAS'!AA179="","",'ASIGNACIÓN ASIGNATURAS'!AA179)</f>
        <v/>
      </c>
      <c r="S179" s="244" t="str">
        <f>IF('ASIGNACIÓN ASIGNATURAS'!AB179="","",'ASIGNACIÓN ASIGNATURAS'!AB179)</f>
        <v/>
      </c>
    </row>
    <row r="180" spans="1:19" x14ac:dyDescent="0.3">
      <c r="A180" s="290" t="str">
        <f>IF('ASIGNACIÓN ASIGNATURAS'!J180="","",'ASIGNACIÓN ASIGNATURAS'!J180)</f>
        <v/>
      </c>
      <c r="B180" s="290" t="str">
        <f>IF('ASIGNACIÓN ASIGNATURAS'!K180="","",'ASIGNACIÓN ASIGNATURAS'!K180)</f>
        <v/>
      </c>
      <c r="C180" s="290" t="str">
        <f>IF('ASIGNACIÓN ASIGNATURAS'!L180="","",'ASIGNACIÓN ASIGNATURAS'!L180)</f>
        <v/>
      </c>
      <c r="D180" s="290" t="str">
        <f>IF('ASIGNACIÓN ASIGNATURAS'!M180="","",'ASIGNACIÓN ASIGNATURAS'!M180)</f>
        <v/>
      </c>
      <c r="E180" s="290" t="str">
        <f>IF('ASIGNACIÓN ASIGNATURAS'!N180="","",'ASIGNACIÓN ASIGNATURAS'!N180)</f>
        <v/>
      </c>
      <c r="F180" s="290" t="str">
        <f>IF('ASIGNACIÓN ASIGNATURAS'!O180="","",'ASIGNACIÓN ASIGNATURAS'!O180)</f>
        <v/>
      </c>
      <c r="G180" s="290" t="str">
        <f>IF('ASIGNACIÓN ASIGNATURAS'!P180="","",'ASIGNACIÓN ASIGNATURAS'!P180)</f>
        <v/>
      </c>
      <c r="H180" s="290" t="str">
        <f>IF('ASIGNACIÓN ASIGNATURAS'!T180="","",'ASIGNACIÓN ASIGNATURAS'!T180)</f>
        <v/>
      </c>
      <c r="I180" s="290" t="str">
        <f>IF('ASIGNACIÓN ASIGNATURAS'!U180="","",'ASIGNACIÓN ASIGNATURAS'!U180)</f>
        <v/>
      </c>
      <c r="J180" s="290" t="str">
        <f>IF('ASIGNACIÓN ASIGNATURAS'!V180="","",'ASIGNACIÓN ASIGNATURAS'!V180)</f>
        <v/>
      </c>
      <c r="K180" s="301" t="str">
        <f>IF('ASIGNACIÓN ASIGNATURAS'!S180="","",'ASIGNACIÓN ASIGNATURAS'!S180)</f>
        <v/>
      </c>
      <c r="L180" s="244" t="str">
        <f>IF('ASIGNACIÓN ASIGNATURAS'!Q180="","",'ASIGNACIÓN ASIGNATURAS'!Q180)</f>
        <v/>
      </c>
      <c r="M180" s="244" t="str">
        <f>IF('ASIGNACIÓN ASIGNATURAS'!R180="","",'ASIGNACIÓN ASIGNATURAS'!R180)</f>
        <v/>
      </c>
      <c r="N180" s="244" t="str">
        <f>IF('ASIGNACIÓN ASIGNATURAS'!W180="","",'ASIGNACIÓN ASIGNATURAS'!W180)</f>
        <v/>
      </c>
      <c r="O180" s="244" t="str">
        <f>IF('ASIGNACIÓN ASIGNATURAS'!X180="","",'ASIGNACIÓN ASIGNATURAS'!X180)</f>
        <v/>
      </c>
      <c r="P180" s="244" t="str">
        <f>IF('ASIGNACIÓN ASIGNATURAS'!Y180="","",'ASIGNACIÓN ASIGNATURAS'!Y180)</f>
        <v/>
      </c>
      <c r="Q180" s="244" t="str">
        <f>IF('ASIGNACIÓN ASIGNATURAS'!Z180="","",'ASIGNACIÓN ASIGNATURAS'!Z180)</f>
        <v/>
      </c>
      <c r="R180" s="244" t="str">
        <f>IF('ASIGNACIÓN ASIGNATURAS'!AA180="","",'ASIGNACIÓN ASIGNATURAS'!AA180)</f>
        <v/>
      </c>
      <c r="S180" s="244" t="str">
        <f>IF('ASIGNACIÓN ASIGNATURAS'!AB180="","",'ASIGNACIÓN ASIGNATURAS'!AB180)</f>
        <v/>
      </c>
    </row>
    <row r="181" spans="1:19" x14ac:dyDescent="0.3">
      <c r="A181" s="290" t="str">
        <f>IF('ASIGNACIÓN ASIGNATURAS'!J181="","",'ASIGNACIÓN ASIGNATURAS'!J181)</f>
        <v/>
      </c>
      <c r="B181" s="290" t="str">
        <f>IF('ASIGNACIÓN ASIGNATURAS'!K181="","",'ASIGNACIÓN ASIGNATURAS'!K181)</f>
        <v/>
      </c>
      <c r="C181" s="290" t="str">
        <f>IF('ASIGNACIÓN ASIGNATURAS'!L181="","",'ASIGNACIÓN ASIGNATURAS'!L181)</f>
        <v/>
      </c>
      <c r="D181" s="290" t="str">
        <f>IF('ASIGNACIÓN ASIGNATURAS'!M181="","",'ASIGNACIÓN ASIGNATURAS'!M181)</f>
        <v/>
      </c>
      <c r="E181" s="290" t="str">
        <f>IF('ASIGNACIÓN ASIGNATURAS'!N181="","",'ASIGNACIÓN ASIGNATURAS'!N181)</f>
        <v/>
      </c>
      <c r="F181" s="290" t="str">
        <f>IF('ASIGNACIÓN ASIGNATURAS'!O181="","",'ASIGNACIÓN ASIGNATURAS'!O181)</f>
        <v/>
      </c>
      <c r="G181" s="290" t="str">
        <f>IF('ASIGNACIÓN ASIGNATURAS'!P181="","",'ASIGNACIÓN ASIGNATURAS'!P181)</f>
        <v/>
      </c>
      <c r="H181" s="290" t="str">
        <f>IF('ASIGNACIÓN ASIGNATURAS'!T181="","",'ASIGNACIÓN ASIGNATURAS'!T181)</f>
        <v/>
      </c>
      <c r="I181" s="290" t="str">
        <f>IF('ASIGNACIÓN ASIGNATURAS'!U181="","",'ASIGNACIÓN ASIGNATURAS'!U181)</f>
        <v/>
      </c>
      <c r="J181" s="290" t="str">
        <f>IF('ASIGNACIÓN ASIGNATURAS'!V181="","",'ASIGNACIÓN ASIGNATURAS'!V181)</f>
        <v/>
      </c>
      <c r="K181" s="301" t="str">
        <f>IF('ASIGNACIÓN ASIGNATURAS'!S181="","",'ASIGNACIÓN ASIGNATURAS'!S181)</f>
        <v/>
      </c>
      <c r="L181" s="244" t="str">
        <f>IF('ASIGNACIÓN ASIGNATURAS'!Q181="","",'ASIGNACIÓN ASIGNATURAS'!Q181)</f>
        <v/>
      </c>
      <c r="M181" s="244" t="str">
        <f>IF('ASIGNACIÓN ASIGNATURAS'!R181="","",'ASIGNACIÓN ASIGNATURAS'!R181)</f>
        <v/>
      </c>
      <c r="N181" s="244" t="str">
        <f>IF('ASIGNACIÓN ASIGNATURAS'!W181="","",'ASIGNACIÓN ASIGNATURAS'!W181)</f>
        <v/>
      </c>
      <c r="O181" s="244" t="str">
        <f>IF('ASIGNACIÓN ASIGNATURAS'!X181="","",'ASIGNACIÓN ASIGNATURAS'!X181)</f>
        <v/>
      </c>
      <c r="P181" s="244" t="str">
        <f>IF('ASIGNACIÓN ASIGNATURAS'!Y181="","",'ASIGNACIÓN ASIGNATURAS'!Y181)</f>
        <v/>
      </c>
      <c r="Q181" s="244" t="str">
        <f>IF('ASIGNACIÓN ASIGNATURAS'!Z181="","",'ASIGNACIÓN ASIGNATURAS'!Z181)</f>
        <v/>
      </c>
      <c r="R181" s="244" t="str">
        <f>IF('ASIGNACIÓN ASIGNATURAS'!AA181="","",'ASIGNACIÓN ASIGNATURAS'!AA181)</f>
        <v/>
      </c>
      <c r="S181" s="244" t="str">
        <f>IF('ASIGNACIÓN ASIGNATURAS'!AB181="","",'ASIGNACIÓN ASIGNATURAS'!AB181)</f>
        <v/>
      </c>
    </row>
    <row r="182" spans="1:19" x14ac:dyDescent="0.3">
      <c r="A182" s="290" t="str">
        <f>IF('ASIGNACIÓN ASIGNATURAS'!J182="","",'ASIGNACIÓN ASIGNATURAS'!J182)</f>
        <v/>
      </c>
      <c r="B182" s="290" t="str">
        <f>IF('ASIGNACIÓN ASIGNATURAS'!K182="","",'ASIGNACIÓN ASIGNATURAS'!K182)</f>
        <v/>
      </c>
      <c r="C182" s="290" t="str">
        <f>IF('ASIGNACIÓN ASIGNATURAS'!L182="","",'ASIGNACIÓN ASIGNATURAS'!L182)</f>
        <v/>
      </c>
      <c r="D182" s="290" t="str">
        <f>IF('ASIGNACIÓN ASIGNATURAS'!M182="","",'ASIGNACIÓN ASIGNATURAS'!M182)</f>
        <v/>
      </c>
      <c r="E182" s="290" t="str">
        <f>IF('ASIGNACIÓN ASIGNATURAS'!N182="","",'ASIGNACIÓN ASIGNATURAS'!N182)</f>
        <v/>
      </c>
      <c r="F182" s="290" t="str">
        <f>IF('ASIGNACIÓN ASIGNATURAS'!O182="","",'ASIGNACIÓN ASIGNATURAS'!O182)</f>
        <v/>
      </c>
      <c r="G182" s="290" t="str">
        <f>IF('ASIGNACIÓN ASIGNATURAS'!P182="","",'ASIGNACIÓN ASIGNATURAS'!P182)</f>
        <v/>
      </c>
      <c r="H182" s="290" t="str">
        <f>IF('ASIGNACIÓN ASIGNATURAS'!T182="","",'ASIGNACIÓN ASIGNATURAS'!T182)</f>
        <v/>
      </c>
      <c r="I182" s="290" t="str">
        <f>IF('ASIGNACIÓN ASIGNATURAS'!U182="","",'ASIGNACIÓN ASIGNATURAS'!U182)</f>
        <v/>
      </c>
      <c r="J182" s="290" t="str">
        <f>IF('ASIGNACIÓN ASIGNATURAS'!V182="","",'ASIGNACIÓN ASIGNATURAS'!V182)</f>
        <v/>
      </c>
      <c r="K182" s="301" t="str">
        <f>IF('ASIGNACIÓN ASIGNATURAS'!S182="","",'ASIGNACIÓN ASIGNATURAS'!S182)</f>
        <v/>
      </c>
      <c r="L182" s="244" t="str">
        <f>IF('ASIGNACIÓN ASIGNATURAS'!Q182="","",'ASIGNACIÓN ASIGNATURAS'!Q182)</f>
        <v/>
      </c>
      <c r="M182" s="244" t="str">
        <f>IF('ASIGNACIÓN ASIGNATURAS'!R182="","",'ASIGNACIÓN ASIGNATURAS'!R182)</f>
        <v/>
      </c>
      <c r="N182" s="244" t="str">
        <f>IF('ASIGNACIÓN ASIGNATURAS'!W182="","",'ASIGNACIÓN ASIGNATURAS'!W182)</f>
        <v/>
      </c>
      <c r="O182" s="244" t="str">
        <f>IF('ASIGNACIÓN ASIGNATURAS'!X182="","",'ASIGNACIÓN ASIGNATURAS'!X182)</f>
        <v/>
      </c>
      <c r="P182" s="244" t="str">
        <f>IF('ASIGNACIÓN ASIGNATURAS'!Y182="","",'ASIGNACIÓN ASIGNATURAS'!Y182)</f>
        <v/>
      </c>
      <c r="Q182" s="244" t="str">
        <f>IF('ASIGNACIÓN ASIGNATURAS'!Z182="","",'ASIGNACIÓN ASIGNATURAS'!Z182)</f>
        <v/>
      </c>
      <c r="R182" s="244" t="str">
        <f>IF('ASIGNACIÓN ASIGNATURAS'!AA182="","",'ASIGNACIÓN ASIGNATURAS'!AA182)</f>
        <v/>
      </c>
      <c r="S182" s="244" t="str">
        <f>IF('ASIGNACIÓN ASIGNATURAS'!AB182="","",'ASIGNACIÓN ASIGNATURAS'!AB182)</f>
        <v/>
      </c>
    </row>
    <row r="183" spans="1:19" x14ac:dyDescent="0.3">
      <c r="A183" s="290" t="str">
        <f>IF('ASIGNACIÓN ASIGNATURAS'!J183="","",'ASIGNACIÓN ASIGNATURAS'!J183)</f>
        <v/>
      </c>
      <c r="B183" s="290" t="str">
        <f>IF('ASIGNACIÓN ASIGNATURAS'!K183="","",'ASIGNACIÓN ASIGNATURAS'!K183)</f>
        <v/>
      </c>
      <c r="C183" s="290" t="str">
        <f>IF('ASIGNACIÓN ASIGNATURAS'!L183="","",'ASIGNACIÓN ASIGNATURAS'!L183)</f>
        <v/>
      </c>
      <c r="D183" s="290" t="str">
        <f>IF('ASIGNACIÓN ASIGNATURAS'!M183="","",'ASIGNACIÓN ASIGNATURAS'!M183)</f>
        <v/>
      </c>
      <c r="E183" s="290" t="str">
        <f>IF('ASIGNACIÓN ASIGNATURAS'!N183="","",'ASIGNACIÓN ASIGNATURAS'!N183)</f>
        <v/>
      </c>
      <c r="F183" s="290" t="str">
        <f>IF('ASIGNACIÓN ASIGNATURAS'!O183="","",'ASIGNACIÓN ASIGNATURAS'!O183)</f>
        <v/>
      </c>
      <c r="G183" s="290" t="str">
        <f>IF('ASIGNACIÓN ASIGNATURAS'!P183="","",'ASIGNACIÓN ASIGNATURAS'!P183)</f>
        <v/>
      </c>
      <c r="H183" s="290" t="str">
        <f>IF('ASIGNACIÓN ASIGNATURAS'!T183="","",'ASIGNACIÓN ASIGNATURAS'!T183)</f>
        <v/>
      </c>
      <c r="I183" s="290" t="str">
        <f>IF('ASIGNACIÓN ASIGNATURAS'!U183="","",'ASIGNACIÓN ASIGNATURAS'!U183)</f>
        <v/>
      </c>
      <c r="J183" s="290" t="str">
        <f>IF('ASIGNACIÓN ASIGNATURAS'!V183="","",'ASIGNACIÓN ASIGNATURAS'!V183)</f>
        <v/>
      </c>
      <c r="K183" s="301" t="str">
        <f>IF('ASIGNACIÓN ASIGNATURAS'!S183="","",'ASIGNACIÓN ASIGNATURAS'!S183)</f>
        <v/>
      </c>
      <c r="L183" s="244" t="str">
        <f>IF('ASIGNACIÓN ASIGNATURAS'!Q183="","",'ASIGNACIÓN ASIGNATURAS'!Q183)</f>
        <v/>
      </c>
      <c r="M183" s="244" t="str">
        <f>IF('ASIGNACIÓN ASIGNATURAS'!R183="","",'ASIGNACIÓN ASIGNATURAS'!R183)</f>
        <v/>
      </c>
      <c r="N183" s="244" t="str">
        <f>IF('ASIGNACIÓN ASIGNATURAS'!W183="","",'ASIGNACIÓN ASIGNATURAS'!W183)</f>
        <v/>
      </c>
      <c r="O183" s="244" t="str">
        <f>IF('ASIGNACIÓN ASIGNATURAS'!X183="","",'ASIGNACIÓN ASIGNATURAS'!X183)</f>
        <v/>
      </c>
      <c r="P183" s="244" t="str">
        <f>IF('ASIGNACIÓN ASIGNATURAS'!Y183="","",'ASIGNACIÓN ASIGNATURAS'!Y183)</f>
        <v/>
      </c>
      <c r="Q183" s="244" t="str">
        <f>IF('ASIGNACIÓN ASIGNATURAS'!Z183="","",'ASIGNACIÓN ASIGNATURAS'!Z183)</f>
        <v/>
      </c>
      <c r="R183" s="244" t="str">
        <f>IF('ASIGNACIÓN ASIGNATURAS'!AA183="","",'ASIGNACIÓN ASIGNATURAS'!AA183)</f>
        <v/>
      </c>
      <c r="S183" s="244" t="str">
        <f>IF('ASIGNACIÓN ASIGNATURAS'!AB183="","",'ASIGNACIÓN ASIGNATURAS'!AB183)</f>
        <v/>
      </c>
    </row>
    <row r="184" spans="1:19" x14ac:dyDescent="0.3">
      <c r="A184" s="290" t="str">
        <f>IF('ASIGNACIÓN ASIGNATURAS'!J184="","",'ASIGNACIÓN ASIGNATURAS'!J184)</f>
        <v/>
      </c>
      <c r="B184" s="290" t="str">
        <f>IF('ASIGNACIÓN ASIGNATURAS'!K184="","",'ASIGNACIÓN ASIGNATURAS'!K184)</f>
        <v/>
      </c>
      <c r="C184" s="290" t="str">
        <f>IF('ASIGNACIÓN ASIGNATURAS'!L184="","",'ASIGNACIÓN ASIGNATURAS'!L184)</f>
        <v/>
      </c>
      <c r="D184" s="290" t="str">
        <f>IF('ASIGNACIÓN ASIGNATURAS'!M184="","",'ASIGNACIÓN ASIGNATURAS'!M184)</f>
        <v/>
      </c>
      <c r="E184" s="290" t="str">
        <f>IF('ASIGNACIÓN ASIGNATURAS'!N184="","",'ASIGNACIÓN ASIGNATURAS'!N184)</f>
        <v/>
      </c>
      <c r="F184" s="290" t="str">
        <f>IF('ASIGNACIÓN ASIGNATURAS'!O184="","",'ASIGNACIÓN ASIGNATURAS'!O184)</f>
        <v/>
      </c>
      <c r="G184" s="290" t="str">
        <f>IF('ASIGNACIÓN ASIGNATURAS'!P184="","",'ASIGNACIÓN ASIGNATURAS'!P184)</f>
        <v/>
      </c>
      <c r="H184" s="290" t="str">
        <f>IF('ASIGNACIÓN ASIGNATURAS'!T184="","",'ASIGNACIÓN ASIGNATURAS'!T184)</f>
        <v/>
      </c>
      <c r="I184" s="290" t="str">
        <f>IF('ASIGNACIÓN ASIGNATURAS'!U184="","",'ASIGNACIÓN ASIGNATURAS'!U184)</f>
        <v/>
      </c>
      <c r="J184" s="290" t="str">
        <f>IF('ASIGNACIÓN ASIGNATURAS'!V184="","",'ASIGNACIÓN ASIGNATURAS'!V184)</f>
        <v/>
      </c>
      <c r="K184" s="301" t="str">
        <f>IF('ASIGNACIÓN ASIGNATURAS'!S184="","",'ASIGNACIÓN ASIGNATURAS'!S184)</f>
        <v/>
      </c>
      <c r="L184" s="244" t="str">
        <f>IF('ASIGNACIÓN ASIGNATURAS'!Q184="","",'ASIGNACIÓN ASIGNATURAS'!Q184)</f>
        <v/>
      </c>
      <c r="M184" s="244" t="str">
        <f>IF('ASIGNACIÓN ASIGNATURAS'!R184="","",'ASIGNACIÓN ASIGNATURAS'!R184)</f>
        <v/>
      </c>
      <c r="N184" s="244" t="str">
        <f>IF('ASIGNACIÓN ASIGNATURAS'!W184="","",'ASIGNACIÓN ASIGNATURAS'!W184)</f>
        <v/>
      </c>
      <c r="O184" s="244" t="str">
        <f>IF('ASIGNACIÓN ASIGNATURAS'!X184="","",'ASIGNACIÓN ASIGNATURAS'!X184)</f>
        <v/>
      </c>
      <c r="P184" s="244" t="str">
        <f>IF('ASIGNACIÓN ASIGNATURAS'!Y184="","",'ASIGNACIÓN ASIGNATURAS'!Y184)</f>
        <v/>
      </c>
      <c r="Q184" s="244" t="str">
        <f>IF('ASIGNACIÓN ASIGNATURAS'!Z184="","",'ASIGNACIÓN ASIGNATURAS'!Z184)</f>
        <v/>
      </c>
      <c r="R184" s="244" t="str">
        <f>IF('ASIGNACIÓN ASIGNATURAS'!AA184="","",'ASIGNACIÓN ASIGNATURAS'!AA184)</f>
        <v/>
      </c>
      <c r="S184" s="244" t="str">
        <f>IF('ASIGNACIÓN ASIGNATURAS'!AB184="","",'ASIGNACIÓN ASIGNATURAS'!AB184)</f>
        <v/>
      </c>
    </row>
    <row r="185" spans="1:19" x14ac:dyDescent="0.3">
      <c r="A185" s="290" t="str">
        <f>IF('ASIGNACIÓN ASIGNATURAS'!J185="","",'ASIGNACIÓN ASIGNATURAS'!J185)</f>
        <v/>
      </c>
      <c r="B185" s="290" t="str">
        <f>IF('ASIGNACIÓN ASIGNATURAS'!K185="","",'ASIGNACIÓN ASIGNATURAS'!K185)</f>
        <v/>
      </c>
      <c r="C185" s="290" t="str">
        <f>IF('ASIGNACIÓN ASIGNATURAS'!L185="","",'ASIGNACIÓN ASIGNATURAS'!L185)</f>
        <v/>
      </c>
      <c r="D185" s="290" t="str">
        <f>IF('ASIGNACIÓN ASIGNATURAS'!M185="","",'ASIGNACIÓN ASIGNATURAS'!M185)</f>
        <v/>
      </c>
      <c r="E185" s="290" t="str">
        <f>IF('ASIGNACIÓN ASIGNATURAS'!N185="","",'ASIGNACIÓN ASIGNATURAS'!N185)</f>
        <v/>
      </c>
      <c r="F185" s="290" t="str">
        <f>IF('ASIGNACIÓN ASIGNATURAS'!O185="","",'ASIGNACIÓN ASIGNATURAS'!O185)</f>
        <v/>
      </c>
      <c r="G185" s="290" t="str">
        <f>IF('ASIGNACIÓN ASIGNATURAS'!P185="","",'ASIGNACIÓN ASIGNATURAS'!P185)</f>
        <v/>
      </c>
      <c r="H185" s="290" t="str">
        <f>IF('ASIGNACIÓN ASIGNATURAS'!T185="","",'ASIGNACIÓN ASIGNATURAS'!T185)</f>
        <v/>
      </c>
      <c r="I185" s="290" t="str">
        <f>IF('ASIGNACIÓN ASIGNATURAS'!U185="","",'ASIGNACIÓN ASIGNATURAS'!U185)</f>
        <v/>
      </c>
      <c r="J185" s="290" t="str">
        <f>IF('ASIGNACIÓN ASIGNATURAS'!V185="","",'ASIGNACIÓN ASIGNATURAS'!V185)</f>
        <v/>
      </c>
      <c r="K185" s="301" t="str">
        <f>IF('ASIGNACIÓN ASIGNATURAS'!S185="","",'ASIGNACIÓN ASIGNATURAS'!S185)</f>
        <v/>
      </c>
      <c r="L185" s="244" t="str">
        <f>IF('ASIGNACIÓN ASIGNATURAS'!Q185="","",'ASIGNACIÓN ASIGNATURAS'!Q185)</f>
        <v/>
      </c>
      <c r="M185" s="244" t="str">
        <f>IF('ASIGNACIÓN ASIGNATURAS'!R185="","",'ASIGNACIÓN ASIGNATURAS'!R185)</f>
        <v/>
      </c>
      <c r="N185" s="244" t="str">
        <f>IF('ASIGNACIÓN ASIGNATURAS'!W185="","",'ASIGNACIÓN ASIGNATURAS'!W185)</f>
        <v/>
      </c>
      <c r="O185" s="244" t="str">
        <f>IF('ASIGNACIÓN ASIGNATURAS'!X185="","",'ASIGNACIÓN ASIGNATURAS'!X185)</f>
        <v/>
      </c>
      <c r="P185" s="244" t="str">
        <f>IF('ASIGNACIÓN ASIGNATURAS'!Y185="","",'ASIGNACIÓN ASIGNATURAS'!Y185)</f>
        <v/>
      </c>
      <c r="Q185" s="244" t="str">
        <f>IF('ASIGNACIÓN ASIGNATURAS'!Z185="","",'ASIGNACIÓN ASIGNATURAS'!Z185)</f>
        <v/>
      </c>
      <c r="R185" s="244" t="str">
        <f>IF('ASIGNACIÓN ASIGNATURAS'!AA185="","",'ASIGNACIÓN ASIGNATURAS'!AA185)</f>
        <v/>
      </c>
      <c r="S185" s="244" t="str">
        <f>IF('ASIGNACIÓN ASIGNATURAS'!AB185="","",'ASIGNACIÓN ASIGNATURAS'!AB185)</f>
        <v/>
      </c>
    </row>
    <row r="186" spans="1:19" x14ac:dyDescent="0.3">
      <c r="A186" s="290" t="str">
        <f>IF('ASIGNACIÓN ASIGNATURAS'!J186="","",'ASIGNACIÓN ASIGNATURAS'!J186)</f>
        <v/>
      </c>
      <c r="B186" s="290" t="str">
        <f>IF('ASIGNACIÓN ASIGNATURAS'!K186="","",'ASIGNACIÓN ASIGNATURAS'!K186)</f>
        <v/>
      </c>
      <c r="C186" s="290" t="str">
        <f>IF('ASIGNACIÓN ASIGNATURAS'!L186="","",'ASIGNACIÓN ASIGNATURAS'!L186)</f>
        <v/>
      </c>
      <c r="D186" s="290" t="str">
        <f>IF('ASIGNACIÓN ASIGNATURAS'!M186="","",'ASIGNACIÓN ASIGNATURAS'!M186)</f>
        <v/>
      </c>
      <c r="E186" s="290" t="str">
        <f>IF('ASIGNACIÓN ASIGNATURAS'!N186="","",'ASIGNACIÓN ASIGNATURAS'!N186)</f>
        <v/>
      </c>
      <c r="F186" s="290" t="str">
        <f>IF('ASIGNACIÓN ASIGNATURAS'!O186="","",'ASIGNACIÓN ASIGNATURAS'!O186)</f>
        <v/>
      </c>
      <c r="G186" s="290" t="str">
        <f>IF('ASIGNACIÓN ASIGNATURAS'!P186="","",'ASIGNACIÓN ASIGNATURAS'!P186)</f>
        <v/>
      </c>
      <c r="H186" s="290" t="str">
        <f>IF('ASIGNACIÓN ASIGNATURAS'!T186="","",'ASIGNACIÓN ASIGNATURAS'!T186)</f>
        <v/>
      </c>
      <c r="I186" s="290" t="str">
        <f>IF('ASIGNACIÓN ASIGNATURAS'!U186="","",'ASIGNACIÓN ASIGNATURAS'!U186)</f>
        <v/>
      </c>
      <c r="J186" s="290" t="str">
        <f>IF('ASIGNACIÓN ASIGNATURAS'!V186="","",'ASIGNACIÓN ASIGNATURAS'!V186)</f>
        <v/>
      </c>
      <c r="K186" s="301" t="str">
        <f>IF('ASIGNACIÓN ASIGNATURAS'!S186="","",'ASIGNACIÓN ASIGNATURAS'!S186)</f>
        <v/>
      </c>
      <c r="L186" s="244" t="str">
        <f>IF('ASIGNACIÓN ASIGNATURAS'!Q186="","",'ASIGNACIÓN ASIGNATURAS'!Q186)</f>
        <v/>
      </c>
      <c r="M186" s="244" t="str">
        <f>IF('ASIGNACIÓN ASIGNATURAS'!R186="","",'ASIGNACIÓN ASIGNATURAS'!R186)</f>
        <v/>
      </c>
      <c r="N186" s="244" t="str">
        <f>IF('ASIGNACIÓN ASIGNATURAS'!W186="","",'ASIGNACIÓN ASIGNATURAS'!W186)</f>
        <v/>
      </c>
      <c r="O186" s="244" t="str">
        <f>IF('ASIGNACIÓN ASIGNATURAS'!X186="","",'ASIGNACIÓN ASIGNATURAS'!X186)</f>
        <v/>
      </c>
      <c r="P186" s="244" t="str">
        <f>IF('ASIGNACIÓN ASIGNATURAS'!Y186="","",'ASIGNACIÓN ASIGNATURAS'!Y186)</f>
        <v/>
      </c>
      <c r="Q186" s="244" t="str">
        <f>IF('ASIGNACIÓN ASIGNATURAS'!Z186="","",'ASIGNACIÓN ASIGNATURAS'!Z186)</f>
        <v/>
      </c>
      <c r="R186" s="244" t="str">
        <f>IF('ASIGNACIÓN ASIGNATURAS'!AA186="","",'ASIGNACIÓN ASIGNATURAS'!AA186)</f>
        <v/>
      </c>
      <c r="S186" s="244" t="str">
        <f>IF('ASIGNACIÓN ASIGNATURAS'!AB186="","",'ASIGNACIÓN ASIGNATURAS'!AB186)</f>
        <v/>
      </c>
    </row>
    <row r="187" spans="1:19" x14ac:dyDescent="0.3">
      <c r="A187" s="290" t="str">
        <f>IF('ASIGNACIÓN ASIGNATURAS'!J187="","",'ASIGNACIÓN ASIGNATURAS'!J187)</f>
        <v/>
      </c>
      <c r="B187" s="290" t="str">
        <f>IF('ASIGNACIÓN ASIGNATURAS'!K187="","",'ASIGNACIÓN ASIGNATURAS'!K187)</f>
        <v/>
      </c>
      <c r="C187" s="290" t="str">
        <f>IF('ASIGNACIÓN ASIGNATURAS'!L187="","",'ASIGNACIÓN ASIGNATURAS'!L187)</f>
        <v/>
      </c>
      <c r="D187" s="290" t="str">
        <f>IF('ASIGNACIÓN ASIGNATURAS'!M187="","",'ASIGNACIÓN ASIGNATURAS'!M187)</f>
        <v/>
      </c>
      <c r="E187" s="290" t="str">
        <f>IF('ASIGNACIÓN ASIGNATURAS'!N187="","",'ASIGNACIÓN ASIGNATURAS'!N187)</f>
        <v/>
      </c>
      <c r="F187" s="290" t="str">
        <f>IF('ASIGNACIÓN ASIGNATURAS'!O187="","",'ASIGNACIÓN ASIGNATURAS'!O187)</f>
        <v/>
      </c>
      <c r="G187" s="290" t="str">
        <f>IF('ASIGNACIÓN ASIGNATURAS'!P187="","",'ASIGNACIÓN ASIGNATURAS'!P187)</f>
        <v/>
      </c>
      <c r="H187" s="290" t="str">
        <f>IF('ASIGNACIÓN ASIGNATURAS'!T187="","",'ASIGNACIÓN ASIGNATURAS'!T187)</f>
        <v/>
      </c>
      <c r="I187" s="290" t="str">
        <f>IF('ASIGNACIÓN ASIGNATURAS'!U187="","",'ASIGNACIÓN ASIGNATURAS'!U187)</f>
        <v/>
      </c>
      <c r="J187" s="290" t="str">
        <f>IF('ASIGNACIÓN ASIGNATURAS'!V187="","",'ASIGNACIÓN ASIGNATURAS'!V187)</f>
        <v/>
      </c>
      <c r="K187" s="301" t="str">
        <f>IF('ASIGNACIÓN ASIGNATURAS'!S187="","",'ASIGNACIÓN ASIGNATURAS'!S187)</f>
        <v/>
      </c>
      <c r="L187" s="244" t="str">
        <f>IF('ASIGNACIÓN ASIGNATURAS'!Q187="","",'ASIGNACIÓN ASIGNATURAS'!Q187)</f>
        <v/>
      </c>
      <c r="M187" s="244" t="str">
        <f>IF('ASIGNACIÓN ASIGNATURAS'!R187="","",'ASIGNACIÓN ASIGNATURAS'!R187)</f>
        <v/>
      </c>
      <c r="N187" s="244" t="str">
        <f>IF('ASIGNACIÓN ASIGNATURAS'!W187="","",'ASIGNACIÓN ASIGNATURAS'!W187)</f>
        <v/>
      </c>
      <c r="O187" s="244" t="str">
        <f>IF('ASIGNACIÓN ASIGNATURAS'!X187="","",'ASIGNACIÓN ASIGNATURAS'!X187)</f>
        <v/>
      </c>
      <c r="P187" s="244" t="str">
        <f>IF('ASIGNACIÓN ASIGNATURAS'!Y187="","",'ASIGNACIÓN ASIGNATURAS'!Y187)</f>
        <v/>
      </c>
      <c r="Q187" s="244" t="str">
        <f>IF('ASIGNACIÓN ASIGNATURAS'!Z187="","",'ASIGNACIÓN ASIGNATURAS'!Z187)</f>
        <v/>
      </c>
      <c r="R187" s="244" t="str">
        <f>IF('ASIGNACIÓN ASIGNATURAS'!AA187="","",'ASIGNACIÓN ASIGNATURAS'!AA187)</f>
        <v/>
      </c>
      <c r="S187" s="244" t="str">
        <f>IF('ASIGNACIÓN ASIGNATURAS'!AB187="","",'ASIGNACIÓN ASIGNATURAS'!AB187)</f>
        <v/>
      </c>
    </row>
    <row r="188" spans="1:19" x14ac:dyDescent="0.3">
      <c r="A188" s="290" t="str">
        <f>IF('ASIGNACIÓN ASIGNATURAS'!J188="","",'ASIGNACIÓN ASIGNATURAS'!J188)</f>
        <v/>
      </c>
      <c r="B188" s="290" t="str">
        <f>IF('ASIGNACIÓN ASIGNATURAS'!K188="","",'ASIGNACIÓN ASIGNATURAS'!K188)</f>
        <v/>
      </c>
      <c r="C188" s="290" t="str">
        <f>IF('ASIGNACIÓN ASIGNATURAS'!L188="","",'ASIGNACIÓN ASIGNATURAS'!L188)</f>
        <v/>
      </c>
      <c r="D188" s="290" t="str">
        <f>IF('ASIGNACIÓN ASIGNATURAS'!M188="","",'ASIGNACIÓN ASIGNATURAS'!M188)</f>
        <v/>
      </c>
      <c r="E188" s="290" t="str">
        <f>IF('ASIGNACIÓN ASIGNATURAS'!N188="","",'ASIGNACIÓN ASIGNATURAS'!N188)</f>
        <v/>
      </c>
      <c r="F188" s="290" t="str">
        <f>IF('ASIGNACIÓN ASIGNATURAS'!O188="","",'ASIGNACIÓN ASIGNATURAS'!O188)</f>
        <v/>
      </c>
      <c r="G188" s="290" t="str">
        <f>IF('ASIGNACIÓN ASIGNATURAS'!P188="","",'ASIGNACIÓN ASIGNATURAS'!P188)</f>
        <v/>
      </c>
      <c r="H188" s="290" t="str">
        <f>IF('ASIGNACIÓN ASIGNATURAS'!T188="","",'ASIGNACIÓN ASIGNATURAS'!T188)</f>
        <v/>
      </c>
      <c r="I188" s="290" t="str">
        <f>IF('ASIGNACIÓN ASIGNATURAS'!U188="","",'ASIGNACIÓN ASIGNATURAS'!U188)</f>
        <v/>
      </c>
      <c r="J188" s="290" t="str">
        <f>IF('ASIGNACIÓN ASIGNATURAS'!V188="","",'ASIGNACIÓN ASIGNATURAS'!V188)</f>
        <v/>
      </c>
      <c r="K188" s="301" t="str">
        <f>IF('ASIGNACIÓN ASIGNATURAS'!S188="","",'ASIGNACIÓN ASIGNATURAS'!S188)</f>
        <v/>
      </c>
      <c r="L188" s="244" t="str">
        <f>IF('ASIGNACIÓN ASIGNATURAS'!Q188="","",'ASIGNACIÓN ASIGNATURAS'!Q188)</f>
        <v/>
      </c>
      <c r="M188" s="244" t="str">
        <f>IF('ASIGNACIÓN ASIGNATURAS'!R188="","",'ASIGNACIÓN ASIGNATURAS'!R188)</f>
        <v/>
      </c>
      <c r="N188" s="244" t="str">
        <f>IF('ASIGNACIÓN ASIGNATURAS'!W188="","",'ASIGNACIÓN ASIGNATURAS'!W188)</f>
        <v/>
      </c>
      <c r="O188" s="244" t="str">
        <f>IF('ASIGNACIÓN ASIGNATURAS'!X188="","",'ASIGNACIÓN ASIGNATURAS'!X188)</f>
        <v/>
      </c>
      <c r="P188" s="244" t="str">
        <f>IF('ASIGNACIÓN ASIGNATURAS'!Y188="","",'ASIGNACIÓN ASIGNATURAS'!Y188)</f>
        <v/>
      </c>
      <c r="Q188" s="244" t="str">
        <f>IF('ASIGNACIÓN ASIGNATURAS'!Z188="","",'ASIGNACIÓN ASIGNATURAS'!Z188)</f>
        <v/>
      </c>
      <c r="R188" s="244" t="str">
        <f>IF('ASIGNACIÓN ASIGNATURAS'!AA188="","",'ASIGNACIÓN ASIGNATURAS'!AA188)</f>
        <v/>
      </c>
      <c r="S188" s="244" t="str">
        <f>IF('ASIGNACIÓN ASIGNATURAS'!AB188="","",'ASIGNACIÓN ASIGNATURAS'!AB188)</f>
        <v/>
      </c>
    </row>
    <row r="189" spans="1:19" x14ac:dyDescent="0.3">
      <c r="A189" s="290" t="str">
        <f>IF('ASIGNACIÓN ASIGNATURAS'!J189="","",'ASIGNACIÓN ASIGNATURAS'!J189)</f>
        <v/>
      </c>
      <c r="B189" s="290" t="str">
        <f>IF('ASIGNACIÓN ASIGNATURAS'!K189="","",'ASIGNACIÓN ASIGNATURAS'!K189)</f>
        <v/>
      </c>
      <c r="C189" s="290" t="str">
        <f>IF('ASIGNACIÓN ASIGNATURAS'!L189="","",'ASIGNACIÓN ASIGNATURAS'!L189)</f>
        <v/>
      </c>
      <c r="D189" s="290" t="str">
        <f>IF('ASIGNACIÓN ASIGNATURAS'!M189="","",'ASIGNACIÓN ASIGNATURAS'!M189)</f>
        <v/>
      </c>
      <c r="E189" s="290" t="str">
        <f>IF('ASIGNACIÓN ASIGNATURAS'!N189="","",'ASIGNACIÓN ASIGNATURAS'!N189)</f>
        <v/>
      </c>
      <c r="F189" s="290" t="str">
        <f>IF('ASIGNACIÓN ASIGNATURAS'!O189="","",'ASIGNACIÓN ASIGNATURAS'!O189)</f>
        <v/>
      </c>
      <c r="G189" s="290" t="str">
        <f>IF('ASIGNACIÓN ASIGNATURAS'!P189="","",'ASIGNACIÓN ASIGNATURAS'!P189)</f>
        <v/>
      </c>
      <c r="H189" s="290" t="str">
        <f>IF('ASIGNACIÓN ASIGNATURAS'!T189="","",'ASIGNACIÓN ASIGNATURAS'!T189)</f>
        <v/>
      </c>
      <c r="I189" s="290" t="str">
        <f>IF('ASIGNACIÓN ASIGNATURAS'!U189="","",'ASIGNACIÓN ASIGNATURAS'!U189)</f>
        <v/>
      </c>
      <c r="J189" s="290" t="str">
        <f>IF('ASIGNACIÓN ASIGNATURAS'!V189="","",'ASIGNACIÓN ASIGNATURAS'!V189)</f>
        <v/>
      </c>
      <c r="K189" s="301" t="str">
        <f>IF('ASIGNACIÓN ASIGNATURAS'!S189="","",'ASIGNACIÓN ASIGNATURAS'!S189)</f>
        <v/>
      </c>
      <c r="L189" s="244" t="str">
        <f>IF('ASIGNACIÓN ASIGNATURAS'!Q189="","",'ASIGNACIÓN ASIGNATURAS'!Q189)</f>
        <v/>
      </c>
      <c r="M189" s="244" t="str">
        <f>IF('ASIGNACIÓN ASIGNATURAS'!R189="","",'ASIGNACIÓN ASIGNATURAS'!R189)</f>
        <v/>
      </c>
      <c r="N189" s="244" t="str">
        <f>IF('ASIGNACIÓN ASIGNATURAS'!W189="","",'ASIGNACIÓN ASIGNATURAS'!W189)</f>
        <v/>
      </c>
      <c r="O189" s="244" t="str">
        <f>IF('ASIGNACIÓN ASIGNATURAS'!X189="","",'ASIGNACIÓN ASIGNATURAS'!X189)</f>
        <v/>
      </c>
      <c r="P189" s="244" t="str">
        <f>IF('ASIGNACIÓN ASIGNATURAS'!Y189="","",'ASIGNACIÓN ASIGNATURAS'!Y189)</f>
        <v/>
      </c>
      <c r="Q189" s="244" t="str">
        <f>IF('ASIGNACIÓN ASIGNATURAS'!Z189="","",'ASIGNACIÓN ASIGNATURAS'!Z189)</f>
        <v/>
      </c>
      <c r="R189" s="244" t="str">
        <f>IF('ASIGNACIÓN ASIGNATURAS'!AA189="","",'ASIGNACIÓN ASIGNATURAS'!AA189)</f>
        <v/>
      </c>
      <c r="S189" s="244" t="str">
        <f>IF('ASIGNACIÓN ASIGNATURAS'!AB189="","",'ASIGNACIÓN ASIGNATURAS'!AB189)</f>
        <v/>
      </c>
    </row>
    <row r="190" spans="1:19" x14ac:dyDescent="0.3">
      <c r="A190" s="290" t="str">
        <f>IF('ASIGNACIÓN ASIGNATURAS'!J190="","",'ASIGNACIÓN ASIGNATURAS'!J190)</f>
        <v/>
      </c>
      <c r="B190" s="290" t="str">
        <f>IF('ASIGNACIÓN ASIGNATURAS'!K190="","",'ASIGNACIÓN ASIGNATURAS'!K190)</f>
        <v/>
      </c>
      <c r="C190" s="290" t="str">
        <f>IF('ASIGNACIÓN ASIGNATURAS'!L190="","",'ASIGNACIÓN ASIGNATURAS'!L190)</f>
        <v/>
      </c>
      <c r="D190" s="290" t="str">
        <f>IF('ASIGNACIÓN ASIGNATURAS'!M190="","",'ASIGNACIÓN ASIGNATURAS'!M190)</f>
        <v/>
      </c>
      <c r="E190" s="290" t="str">
        <f>IF('ASIGNACIÓN ASIGNATURAS'!N190="","",'ASIGNACIÓN ASIGNATURAS'!N190)</f>
        <v/>
      </c>
      <c r="F190" s="290" t="str">
        <f>IF('ASIGNACIÓN ASIGNATURAS'!O190="","",'ASIGNACIÓN ASIGNATURAS'!O190)</f>
        <v/>
      </c>
      <c r="G190" s="290" t="str">
        <f>IF('ASIGNACIÓN ASIGNATURAS'!P190="","",'ASIGNACIÓN ASIGNATURAS'!P190)</f>
        <v/>
      </c>
      <c r="H190" s="290" t="str">
        <f>IF('ASIGNACIÓN ASIGNATURAS'!T190="","",'ASIGNACIÓN ASIGNATURAS'!T190)</f>
        <v/>
      </c>
      <c r="I190" s="290" t="str">
        <f>IF('ASIGNACIÓN ASIGNATURAS'!U190="","",'ASIGNACIÓN ASIGNATURAS'!U190)</f>
        <v/>
      </c>
      <c r="J190" s="290" t="str">
        <f>IF('ASIGNACIÓN ASIGNATURAS'!V190="","",'ASIGNACIÓN ASIGNATURAS'!V190)</f>
        <v/>
      </c>
      <c r="K190" s="301" t="str">
        <f>IF('ASIGNACIÓN ASIGNATURAS'!S190="","",'ASIGNACIÓN ASIGNATURAS'!S190)</f>
        <v/>
      </c>
      <c r="L190" s="244" t="str">
        <f>IF('ASIGNACIÓN ASIGNATURAS'!Q190="","",'ASIGNACIÓN ASIGNATURAS'!Q190)</f>
        <v/>
      </c>
      <c r="M190" s="244" t="str">
        <f>IF('ASIGNACIÓN ASIGNATURAS'!R190="","",'ASIGNACIÓN ASIGNATURAS'!R190)</f>
        <v/>
      </c>
      <c r="N190" s="244" t="str">
        <f>IF('ASIGNACIÓN ASIGNATURAS'!W190="","",'ASIGNACIÓN ASIGNATURAS'!W190)</f>
        <v/>
      </c>
      <c r="O190" s="244" t="str">
        <f>IF('ASIGNACIÓN ASIGNATURAS'!X190="","",'ASIGNACIÓN ASIGNATURAS'!X190)</f>
        <v/>
      </c>
      <c r="P190" s="244" t="str">
        <f>IF('ASIGNACIÓN ASIGNATURAS'!Y190="","",'ASIGNACIÓN ASIGNATURAS'!Y190)</f>
        <v/>
      </c>
      <c r="Q190" s="244" t="str">
        <f>IF('ASIGNACIÓN ASIGNATURAS'!Z190="","",'ASIGNACIÓN ASIGNATURAS'!Z190)</f>
        <v/>
      </c>
      <c r="R190" s="244" t="str">
        <f>IF('ASIGNACIÓN ASIGNATURAS'!AA190="","",'ASIGNACIÓN ASIGNATURAS'!AA190)</f>
        <v/>
      </c>
      <c r="S190" s="244" t="str">
        <f>IF('ASIGNACIÓN ASIGNATURAS'!AB190="","",'ASIGNACIÓN ASIGNATURAS'!AB190)</f>
        <v/>
      </c>
    </row>
    <row r="191" spans="1:19" x14ac:dyDescent="0.3">
      <c r="A191" s="290" t="str">
        <f>IF('ASIGNACIÓN ASIGNATURAS'!J191="","",'ASIGNACIÓN ASIGNATURAS'!J191)</f>
        <v/>
      </c>
      <c r="B191" s="290" t="str">
        <f>IF('ASIGNACIÓN ASIGNATURAS'!K191="","",'ASIGNACIÓN ASIGNATURAS'!K191)</f>
        <v/>
      </c>
      <c r="C191" s="290" t="str">
        <f>IF('ASIGNACIÓN ASIGNATURAS'!L191="","",'ASIGNACIÓN ASIGNATURAS'!L191)</f>
        <v/>
      </c>
      <c r="D191" s="290" t="str">
        <f>IF('ASIGNACIÓN ASIGNATURAS'!M191="","",'ASIGNACIÓN ASIGNATURAS'!M191)</f>
        <v/>
      </c>
      <c r="E191" s="290" t="str">
        <f>IF('ASIGNACIÓN ASIGNATURAS'!N191="","",'ASIGNACIÓN ASIGNATURAS'!N191)</f>
        <v/>
      </c>
      <c r="F191" s="290" t="str">
        <f>IF('ASIGNACIÓN ASIGNATURAS'!O191="","",'ASIGNACIÓN ASIGNATURAS'!O191)</f>
        <v/>
      </c>
      <c r="G191" s="290" t="str">
        <f>IF('ASIGNACIÓN ASIGNATURAS'!P191="","",'ASIGNACIÓN ASIGNATURAS'!P191)</f>
        <v/>
      </c>
      <c r="H191" s="290" t="str">
        <f>IF('ASIGNACIÓN ASIGNATURAS'!T191="","",'ASIGNACIÓN ASIGNATURAS'!T191)</f>
        <v/>
      </c>
      <c r="I191" s="290" t="str">
        <f>IF('ASIGNACIÓN ASIGNATURAS'!U191="","",'ASIGNACIÓN ASIGNATURAS'!U191)</f>
        <v/>
      </c>
      <c r="J191" s="290" t="str">
        <f>IF('ASIGNACIÓN ASIGNATURAS'!V191="","",'ASIGNACIÓN ASIGNATURAS'!V191)</f>
        <v/>
      </c>
      <c r="K191" s="301" t="str">
        <f>IF('ASIGNACIÓN ASIGNATURAS'!S191="","",'ASIGNACIÓN ASIGNATURAS'!S191)</f>
        <v/>
      </c>
      <c r="L191" s="244" t="str">
        <f>IF('ASIGNACIÓN ASIGNATURAS'!Q191="","",'ASIGNACIÓN ASIGNATURAS'!Q191)</f>
        <v/>
      </c>
      <c r="M191" s="244" t="str">
        <f>IF('ASIGNACIÓN ASIGNATURAS'!R191="","",'ASIGNACIÓN ASIGNATURAS'!R191)</f>
        <v/>
      </c>
      <c r="N191" s="244" t="str">
        <f>IF('ASIGNACIÓN ASIGNATURAS'!W191="","",'ASIGNACIÓN ASIGNATURAS'!W191)</f>
        <v/>
      </c>
      <c r="O191" s="244" t="str">
        <f>IF('ASIGNACIÓN ASIGNATURAS'!X191="","",'ASIGNACIÓN ASIGNATURAS'!X191)</f>
        <v/>
      </c>
      <c r="P191" s="244" t="str">
        <f>IF('ASIGNACIÓN ASIGNATURAS'!Y191="","",'ASIGNACIÓN ASIGNATURAS'!Y191)</f>
        <v/>
      </c>
      <c r="Q191" s="244" t="str">
        <f>IF('ASIGNACIÓN ASIGNATURAS'!Z191="","",'ASIGNACIÓN ASIGNATURAS'!Z191)</f>
        <v/>
      </c>
      <c r="R191" s="244" t="str">
        <f>IF('ASIGNACIÓN ASIGNATURAS'!AA191="","",'ASIGNACIÓN ASIGNATURAS'!AA191)</f>
        <v/>
      </c>
      <c r="S191" s="244" t="str">
        <f>IF('ASIGNACIÓN ASIGNATURAS'!AB191="","",'ASIGNACIÓN ASIGNATURAS'!AB191)</f>
        <v/>
      </c>
    </row>
    <row r="192" spans="1:19" x14ac:dyDescent="0.3">
      <c r="A192" s="290" t="str">
        <f>IF('ASIGNACIÓN ASIGNATURAS'!J192="","",'ASIGNACIÓN ASIGNATURAS'!J192)</f>
        <v/>
      </c>
      <c r="B192" s="290" t="str">
        <f>IF('ASIGNACIÓN ASIGNATURAS'!K192="","",'ASIGNACIÓN ASIGNATURAS'!K192)</f>
        <v/>
      </c>
      <c r="C192" s="290" t="str">
        <f>IF('ASIGNACIÓN ASIGNATURAS'!L192="","",'ASIGNACIÓN ASIGNATURAS'!L192)</f>
        <v/>
      </c>
      <c r="D192" s="290" t="str">
        <f>IF('ASIGNACIÓN ASIGNATURAS'!M192="","",'ASIGNACIÓN ASIGNATURAS'!M192)</f>
        <v/>
      </c>
      <c r="E192" s="290" t="str">
        <f>IF('ASIGNACIÓN ASIGNATURAS'!N192="","",'ASIGNACIÓN ASIGNATURAS'!N192)</f>
        <v/>
      </c>
      <c r="F192" s="290" t="str">
        <f>IF('ASIGNACIÓN ASIGNATURAS'!O192="","",'ASIGNACIÓN ASIGNATURAS'!O192)</f>
        <v/>
      </c>
      <c r="G192" s="290" t="str">
        <f>IF('ASIGNACIÓN ASIGNATURAS'!P192="","",'ASIGNACIÓN ASIGNATURAS'!P192)</f>
        <v/>
      </c>
      <c r="H192" s="290" t="str">
        <f>IF('ASIGNACIÓN ASIGNATURAS'!T192="","",'ASIGNACIÓN ASIGNATURAS'!T192)</f>
        <v/>
      </c>
      <c r="I192" s="290" t="str">
        <f>IF('ASIGNACIÓN ASIGNATURAS'!U192="","",'ASIGNACIÓN ASIGNATURAS'!U192)</f>
        <v/>
      </c>
      <c r="J192" s="290" t="str">
        <f>IF('ASIGNACIÓN ASIGNATURAS'!V192="","",'ASIGNACIÓN ASIGNATURAS'!V192)</f>
        <v/>
      </c>
      <c r="K192" s="301" t="str">
        <f>IF('ASIGNACIÓN ASIGNATURAS'!S192="","",'ASIGNACIÓN ASIGNATURAS'!S192)</f>
        <v/>
      </c>
      <c r="L192" s="244" t="str">
        <f>IF('ASIGNACIÓN ASIGNATURAS'!Q192="","",'ASIGNACIÓN ASIGNATURAS'!Q192)</f>
        <v/>
      </c>
      <c r="M192" s="244" t="str">
        <f>IF('ASIGNACIÓN ASIGNATURAS'!R192="","",'ASIGNACIÓN ASIGNATURAS'!R192)</f>
        <v/>
      </c>
      <c r="N192" s="244" t="str">
        <f>IF('ASIGNACIÓN ASIGNATURAS'!W192="","",'ASIGNACIÓN ASIGNATURAS'!W192)</f>
        <v/>
      </c>
      <c r="O192" s="244" t="str">
        <f>IF('ASIGNACIÓN ASIGNATURAS'!X192="","",'ASIGNACIÓN ASIGNATURAS'!X192)</f>
        <v/>
      </c>
      <c r="P192" s="244" t="str">
        <f>IF('ASIGNACIÓN ASIGNATURAS'!Y192="","",'ASIGNACIÓN ASIGNATURAS'!Y192)</f>
        <v/>
      </c>
      <c r="Q192" s="244" t="str">
        <f>IF('ASIGNACIÓN ASIGNATURAS'!Z192="","",'ASIGNACIÓN ASIGNATURAS'!Z192)</f>
        <v/>
      </c>
      <c r="R192" s="244" t="str">
        <f>IF('ASIGNACIÓN ASIGNATURAS'!AA192="","",'ASIGNACIÓN ASIGNATURAS'!AA192)</f>
        <v/>
      </c>
      <c r="S192" s="244" t="str">
        <f>IF('ASIGNACIÓN ASIGNATURAS'!AB192="","",'ASIGNACIÓN ASIGNATURAS'!AB192)</f>
        <v/>
      </c>
    </row>
    <row r="193" spans="1:19" x14ac:dyDescent="0.3">
      <c r="A193" s="290" t="str">
        <f>IF('ASIGNACIÓN ASIGNATURAS'!J193="","",'ASIGNACIÓN ASIGNATURAS'!J193)</f>
        <v/>
      </c>
      <c r="B193" s="290" t="str">
        <f>IF('ASIGNACIÓN ASIGNATURAS'!K193="","",'ASIGNACIÓN ASIGNATURAS'!K193)</f>
        <v/>
      </c>
      <c r="C193" s="290" t="str">
        <f>IF('ASIGNACIÓN ASIGNATURAS'!L193="","",'ASIGNACIÓN ASIGNATURAS'!L193)</f>
        <v/>
      </c>
      <c r="D193" s="290" t="str">
        <f>IF('ASIGNACIÓN ASIGNATURAS'!M193="","",'ASIGNACIÓN ASIGNATURAS'!M193)</f>
        <v/>
      </c>
      <c r="E193" s="290" t="str">
        <f>IF('ASIGNACIÓN ASIGNATURAS'!N193="","",'ASIGNACIÓN ASIGNATURAS'!N193)</f>
        <v/>
      </c>
      <c r="F193" s="290" t="str">
        <f>IF('ASIGNACIÓN ASIGNATURAS'!O193="","",'ASIGNACIÓN ASIGNATURAS'!O193)</f>
        <v/>
      </c>
      <c r="G193" s="290" t="str">
        <f>IF('ASIGNACIÓN ASIGNATURAS'!P193="","",'ASIGNACIÓN ASIGNATURAS'!P193)</f>
        <v/>
      </c>
      <c r="H193" s="290" t="str">
        <f>IF('ASIGNACIÓN ASIGNATURAS'!T193="","",'ASIGNACIÓN ASIGNATURAS'!T193)</f>
        <v/>
      </c>
      <c r="I193" s="290" t="str">
        <f>IF('ASIGNACIÓN ASIGNATURAS'!U193="","",'ASIGNACIÓN ASIGNATURAS'!U193)</f>
        <v/>
      </c>
      <c r="J193" s="290" t="str">
        <f>IF('ASIGNACIÓN ASIGNATURAS'!V193="","",'ASIGNACIÓN ASIGNATURAS'!V193)</f>
        <v/>
      </c>
      <c r="K193" s="301" t="str">
        <f>IF('ASIGNACIÓN ASIGNATURAS'!S193="","",'ASIGNACIÓN ASIGNATURAS'!S193)</f>
        <v/>
      </c>
      <c r="L193" s="244" t="str">
        <f>IF('ASIGNACIÓN ASIGNATURAS'!Q193="","",'ASIGNACIÓN ASIGNATURAS'!Q193)</f>
        <v/>
      </c>
      <c r="M193" s="244" t="str">
        <f>IF('ASIGNACIÓN ASIGNATURAS'!R193="","",'ASIGNACIÓN ASIGNATURAS'!R193)</f>
        <v/>
      </c>
      <c r="N193" s="244" t="str">
        <f>IF('ASIGNACIÓN ASIGNATURAS'!W193="","",'ASIGNACIÓN ASIGNATURAS'!W193)</f>
        <v/>
      </c>
      <c r="O193" s="244" t="str">
        <f>IF('ASIGNACIÓN ASIGNATURAS'!X193="","",'ASIGNACIÓN ASIGNATURAS'!X193)</f>
        <v/>
      </c>
      <c r="P193" s="244" t="str">
        <f>IF('ASIGNACIÓN ASIGNATURAS'!Y193="","",'ASIGNACIÓN ASIGNATURAS'!Y193)</f>
        <v/>
      </c>
      <c r="Q193" s="244" t="str">
        <f>IF('ASIGNACIÓN ASIGNATURAS'!Z193="","",'ASIGNACIÓN ASIGNATURAS'!Z193)</f>
        <v/>
      </c>
      <c r="R193" s="244" t="str">
        <f>IF('ASIGNACIÓN ASIGNATURAS'!AA193="","",'ASIGNACIÓN ASIGNATURAS'!AA193)</f>
        <v/>
      </c>
      <c r="S193" s="244" t="str">
        <f>IF('ASIGNACIÓN ASIGNATURAS'!AB193="","",'ASIGNACIÓN ASIGNATURAS'!AB193)</f>
        <v/>
      </c>
    </row>
    <row r="194" spans="1:19" x14ac:dyDescent="0.3">
      <c r="A194" s="290" t="str">
        <f>IF('ASIGNACIÓN ASIGNATURAS'!J194="","",'ASIGNACIÓN ASIGNATURAS'!J194)</f>
        <v/>
      </c>
      <c r="B194" s="290" t="str">
        <f>IF('ASIGNACIÓN ASIGNATURAS'!K194="","",'ASIGNACIÓN ASIGNATURAS'!K194)</f>
        <v/>
      </c>
      <c r="C194" s="290" t="str">
        <f>IF('ASIGNACIÓN ASIGNATURAS'!L194="","",'ASIGNACIÓN ASIGNATURAS'!L194)</f>
        <v/>
      </c>
      <c r="D194" s="290" t="str">
        <f>IF('ASIGNACIÓN ASIGNATURAS'!M194="","",'ASIGNACIÓN ASIGNATURAS'!M194)</f>
        <v/>
      </c>
      <c r="E194" s="290" t="str">
        <f>IF('ASIGNACIÓN ASIGNATURAS'!N194="","",'ASIGNACIÓN ASIGNATURAS'!N194)</f>
        <v/>
      </c>
      <c r="F194" s="290" t="str">
        <f>IF('ASIGNACIÓN ASIGNATURAS'!O194="","",'ASIGNACIÓN ASIGNATURAS'!O194)</f>
        <v/>
      </c>
      <c r="G194" s="290" t="str">
        <f>IF('ASIGNACIÓN ASIGNATURAS'!P194="","",'ASIGNACIÓN ASIGNATURAS'!P194)</f>
        <v/>
      </c>
      <c r="H194" s="290" t="str">
        <f>IF('ASIGNACIÓN ASIGNATURAS'!T194="","",'ASIGNACIÓN ASIGNATURAS'!T194)</f>
        <v/>
      </c>
      <c r="I194" s="290" t="str">
        <f>IF('ASIGNACIÓN ASIGNATURAS'!U194="","",'ASIGNACIÓN ASIGNATURAS'!U194)</f>
        <v/>
      </c>
      <c r="J194" s="290" t="str">
        <f>IF('ASIGNACIÓN ASIGNATURAS'!V194="","",'ASIGNACIÓN ASIGNATURAS'!V194)</f>
        <v/>
      </c>
      <c r="K194" s="301" t="str">
        <f>IF('ASIGNACIÓN ASIGNATURAS'!S194="","",'ASIGNACIÓN ASIGNATURAS'!S194)</f>
        <v/>
      </c>
      <c r="L194" s="244" t="str">
        <f>IF('ASIGNACIÓN ASIGNATURAS'!Q194="","",'ASIGNACIÓN ASIGNATURAS'!Q194)</f>
        <v/>
      </c>
      <c r="M194" s="244" t="str">
        <f>IF('ASIGNACIÓN ASIGNATURAS'!R194="","",'ASIGNACIÓN ASIGNATURAS'!R194)</f>
        <v/>
      </c>
      <c r="N194" s="244" t="str">
        <f>IF('ASIGNACIÓN ASIGNATURAS'!W194="","",'ASIGNACIÓN ASIGNATURAS'!W194)</f>
        <v/>
      </c>
      <c r="O194" s="244" t="str">
        <f>IF('ASIGNACIÓN ASIGNATURAS'!X194="","",'ASIGNACIÓN ASIGNATURAS'!X194)</f>
        <v/>
      </c>
      <c r="P194" s="244" t="str">
        <f>IF('ASIGNACIÓN ASIGNATURAS'!Y194="","",'ASIGNACIÓN ASIGNATURAS'!Y194)</f>
        <v/>
      </c>
      <c r="Q194" s="244" t="str">
        <f>IF('ASIGNACIÓN ASIGNATURAS'!Z194="","",'ASIGNACIÓN ASIGNATURAS'!Z194)</f>
        <v/>
      </c>
      <c r="R194" s="244" t="str">
        <f>IF('ASIGNACIÓN ASIGNATURAS'!AA194="","",'ASIGNACIÓN ASIGNATURAS'!AA194)</f>
        <v/>
      </c>
      <c r="S194" s="244" t="str">
        <f>IF('ASIGNACIÓN ASIGNATURAS'!AB194="","",'ASIGNACIÓN ASIGNATURAS'!AB194)</f>
        <v/>
      </c>
    </row>
    <row r="195" spans="1:19" x14ac:dyDescent="0.3">
      <c r="A195" s="290" t="str">
        <f>IF('ASIGNACIÓN ASIGNATURAS'!J195="","",'ASIGNACIÓN ASIGNATURAS'!J195)</f>
        <v/>
      </c>
      <c r="B195" s="290" t="str">
        <f>IF('ASIGNACIÓN ASIGNATURAS'!K195="","",'ASIGNACIÓN ASIGNATURAS'!K195)</f>
        <v/>
      </c>
      <c r="C195" s="290" t="str">
        <f>IF('ASIGNACIÓN ASIGNATURAS'!L195="","",'ASIGNACIÓN ASIGNATURAS'!L195)</f>
        <v/>
      </c>
      <c r="D195" s="290" t="str">
        <f>IF('ASIGNACIÓN ASIGNATURAS'!M195="","",'ASIGNACIÓN ASIGNATURAS'!M195)</f>
        <v/>
      </c>
      <c r="E195" s="290" t="str">
        <f>IF('ASIGNACIÓN ASIGNATURAS'!N195="","",'ASIGNACIÓN ASIGNATURAS'!N195)</f>
        <v/>
      </c>
      <c r="F195" s="290" t="str">
        <f>IF('ASIGNACIÓN ASIGNATURAS'!O195="","",'ASIGNACIÓN ASIGNATURAS'!O195)</f>
        <v/>
      </c>
      <c r="G195" s="290" t="str">
        <f>IF('ASIGNACIÓN ASIGNATURAS'!P195="","",'ASIGNACIÓN ASIGNATURAS'!P195)</f>
        <v/>
      </c>
      <c r="H195" s="290" t="str">
        <f>IF('ASIGNACIÓN ASIGNATURAS'!T195="","",'ASIGNACIÓN ASIGNATURAS'!T195)</f>
        <v/>
      </c>
      <c r="I195" s="290" t="str">
        <f>IF('ASIGNACIÓN ASIGNATURAS'!U195="","",'ASIGNACIÓN ASIGNATURAS'!U195)</f>
        <v/>
      </c>
      <c r="J195" s="290" t="str">
        <f>IF('ASIGNACIÓN ASIGNATURAS'!V195="","",'ASIGNACIÓN ASIGNATURAS'!V195)</f>
        <v/>
      </c>
      <c r="K195" s="301" t="str">
        <f>IF('ASIGNACIÓN ASIGNATURAS'!S195="","",'ASIGNACIÓN ASIGNATURAS'!S195)</f>
        <v/>
      </c>
      <c r="L195" s="244" t="str">
        <f>IF('ASIGNACIÓN ASIGNATURAS'!Q195="","",'ASIGNACIÓN ASIGNATURAS'!Q195)</f>
        <v/>
      </c>
      <c r="M195" s="244" t="str">
        <f>IF('ASIGNACIÓN ASIGNATURAS'!R195="","",'ASIGNACIÓN ASIGNATURAS'!R195)</f>
        <v/>
      </c>
      <c r="N195" s="244" t="str">
        <f>IF('ASIGNACIÓN ASIGNATURAS'!W195="","",'ASIGNACIÓN ASIGNATURAS'!W195)</f>
        <v/>
      </c>
      <c r="O195" s="244" t="str">
        <f>IF('ASIGNACIÓN ASIGNATURAS'!X195="","",'ASIGNACIÓN ASIGNATURAS'!X195)</f>
        <v/>
      </c>
      <c r="P195" s="244" t="str">
        <f>IF('ASIGNACIÓN ASIGNATURAS'!Y195="","",'ASIGNACIÓN ASIGNATURAS'!Y195)</f>
        <v/>
      </c>
      <c r="Q195" s="244" t="str">
        <f>IF('ASIGNACIÓN ASIGNATURAS'!Z195="","",'ASIGNACIÓN ASIGNATURAS'!Z195)</f>
        <v/>
      </c>
      <c r="R195" s="244" t="str">
        <f>IF('ASIGNACIÓN ASIGNATURAS'!AA195="","",'ASIGNACIÓN ASIGNATURAS'!AA195)</f>
        <v/>
      </c>
      <c r="S195" s="244" t="str">
        <f>IF('ASIGNACIÓN ASIGNATURAS'!AB195="","",'ASIGNACIÓN ASIGNATURAS'!AB195)</f>
        <v/>
      </c>
    </row>
    <row r="196" spans="1:19" x14ac:dyDescent="0.3">
      <c r="A196" s="290" t="str">
        <f>IF('ASIGNACIÓN ASIGNATURAS'!J196="","",'ASIGNACIÓN ASIGNATURAS'!J196)</f>
        <v/>
      </c>
      <c r="B196" s="290" t="str">
        <f>IF('ASIGNACIÓN ASIGNATURAS'!K196="","",'ASIGNACIÓN ASIGNATURAS'!K196)</f>
        <v/>
      </c>
      <c r="C196" s="290" t="str">
        <f>IF('ASIGNACIÓN ASIGNATURAS'!L196="","",'ASIGNACIÓN ASIGNATURAS'!L196)</f>
        <v/>
      </c>
      <c r="D196" s="290" t="str">
        <f>IF('ASIGNACIÓN ASIGNATURAS'!M196="","",'ASIGNACIÓN ASIGNATURAS'!M196)</f>
        <v/>
      </c>
      <c r="E196" s="290" t="str">
        <f>IF('ASIGNACIÓN ASIGNATURAS'!N196="","",'ASIGNACIÓN ASIGNATURAS'!N196)</f>
        <v/>
      </c>
      <c r="F196" s="290" t="str">
        <f>IF('ASIGNACIÓN ASIGNATURAS'!O196="","",'ASIGNACIÓN ASIGNATURAS'!O196)</f>
        <v/>
      </c>
      <c r="G196" s="290" t="str">
        <f>IF('ASIGNACIÓN ASIGNATURAS'!P196="","",'ASIGNACIÓN ASIGNATURAS'!P196)</f>
        <v/>
      </c>
      <c r="H196" s="290" t="str">
        <f>IF('ASIGNACIÓN ASIGNATURAS'!T196="","",'ASIGNACIÓN ASIGNATURAS'!T196)</f>
        <v/>
      </c>
      <c r="I196" s="290" t="str">
        <f>IF('ASIGNACIÓN ASIGNATURAS'!U196="","",'ASIGNACIÓN ASIGNATURAS'!U196)</f>
        <v/>
      </c>
      <c r="J196" s="290" t="str">
        <f>IF('ASIGNACIÓN ASIGNATURAS'!V196="","",'ASIGNACIÓN ASIGNATURAS'!V196)</f>
        <v/>
      </c>
      <c r="K196" s="301" t="str">
        <f>IF('ASIGNACIÓN ASIGNATURAS'!S196="","",'ASIGNACIÓN ASIGNATURAS'!S196)</f>
        <v/>
      </c>
      <c r="L196" s="244" t="str">
        <f>IF('ASIGNACIÓN ASIGNATURAS'!Q196="","",'ASIGNACIÓN ASIGNATURAS'!Q196)</f>
        <v/>
      </c>
      <c r="M196" s="244" t="str">
        <f>IF('ASIGNACIÓN ASIGNATURAS'!R196="","",'ASIGNACIÓN ASIGNATURAS'!R196)</f>
        <v/>
      </c>
      <c r="N196" s="244" t="str">
        <f>IF('ASIGNACIÓN ASIGNATURAS'!W196="","",'ASIGNACIÓN ASIGNATURAS'!W196)</f>
        <v/>
      </c>
      <c r="O196" s="244" t="str">
        <f>IF('ASIGNACIÓN ASIGNATURAS'!X196="","",'ASIGNACIÓN ASIGNATURAS'!X196)</f>
        <v/>
      </c>
      <c r="P196" s="244" t="str">
        <f>IF('ASIGNACIÓN ASIGNATURAS'!Y196="","",'ASIGNACIÓN ASIGNATURAS'!Y196)</f>
        <v/>
      </c>
      <c r="Q196" s="244" t="str">
        <f>IF('ASIGNACIÓN ASIGNATURAS'!Z196="","",'ASIGNACIÓN ASIGNATURAS'!Z196)</f>
        <v/>
      </c>
      <c r="R196" s="244" t="str">
        <f>IF('ASIGNACIÓN ASIGNATURAS'!AA196="","",'ASIGNACIÓN ASIGNATURAS'!AA196)</f>
        <v/>
      </c>
      <c r="S196" s="244" t="str">
        <f>IF('ASIGNACIÓN ASIGNATURAS'!AB196="","",'ASIGNACIÓN ASIGNATURAS'!AB196)</f>
        <v/>
      </c>
    </row>
    <row r="197" spans="1:19" x14ac:dyDescent="0.3">
      <c r="A197" s="290" t="str">
        <f>IF('ASIGNACIÓN ASIGNATURAS'!J197="","",'ASIGNACIÓN ASIGNATURAS'!J197)</f>
        <v/>
      </c>
      <c r="B197" s="290" t="str">
        <f>IF('ASIGNACIÓN ASIGNATURAS'!K197="","",'ASIGNACIÓN ASIGNATURAS'!K197)</f>
        <v/>
      </c>
      <c r="C197" s="290" t="str">
        <f>IF('ASIGNACIÓN ASIGNATURAS'!L197="","",'ASIGNACIÓN ASIGNATURAS'!L197)</f>
        <v/>
      </c>
      <c r="D197" s="290" t="str">
        <f>IF('ASIGNACIÓN ASIGNATURAS'!M197="","",'ASIGNACIÓN ASIGNATURAS'!M197)</f>
        <v/>
      </c>
      <c r="E197" s="290" t="str">
        <f>IF('ASIGNACIÓN ASIGNATURAS'!N197="","",'ASIGNACIÓN ASIGNATURAS'!N197)</f>
        <v/>
      </c>
      <c r="F197" s="290" t="str">
        <f>IF('ASIGNACIÓN ASIGNATURAS'!O197="","",'ASIGNACIÓN ASIGNATURAS'!O197)</f>
        <v/>
      </c>
      <c r="G197" s="290" t="str">
        <f>IF('ASIGNACIÓN ASIGNATURAS'!P197="","",'ASIGNACIÓN ASIGNATURAS'!P197)</f>
        <v/>
      </c>
      <c r="H197" s="290" t="str">
        <f>IF('ASIGNACIÓN ASIGNATURAS'!T197="","",'ASIGNACIÓN ASIGNATURAS'!T197)</f>
        <v/>
      </c>
      <c r="I197" s="290" t="str">
        <f>IF('ASIGNACIÓN ASIGNATURAS'!U197="","",'ASIGNACIÓN ASIGNATURAS'!U197)</f>
        <v/>
      </c>
      <c r="J197" s="290" t="str">
        <f>IF('ASIGNACIÓN ASIGNATURAS'!V197="","",'ASIGNACIÓN ASIGNATURAS'!V197)</f>
        <v/>
      </c>
      <c r="K197" s="301" t="str">
        <f>IF('ASIGNACIÓN ASIGNATURAS'!S197="","",'ASIGNACIÓN ASIGNATURAS'!S197)</f>
        <v/>
      </c>
      <c r="L197" s="244" t="str">
        <f>IF('ASIGNACIÓN ASIGNATURAS'!Q197="","",'ASIGNACIÓN ASIGNATURAS'!Q197)</f>
        <v/>
      </c>
      <c r="M197" s="244" t="str">
        <f>IF('ASIGNACIÓN ASIGNATURAS'!R197="","",'ASIGNACIÓN ASIGNATURAS'!R197)</f>
        <v/>
      </c>
      <c r="N197" s="244" t="str">
        <f>IF('ASIGNACIÓN ASIGNATURAS'!W197="","",'ASIGNACIÓN ASIGNATURAS'!W197)</f>
        <v/>
      </c>
      <c r="O197" s="244" t="str">
        <f>IF('ASIGNACIÓN ASIGNATURAS'!X197="","",'ASIGNACIÓN ASIGNATURAS'!X197)</f>
        <v/>
      </c>
      <c r="P197" s="244" t="str">
        <f>IF('ASIGNACIÓN ASIGNATURAS'!Y197="","",'ASIGNACIÓN ASIGNATURAS'!Y197)</f>
        <v/>
      </c>
      <c r="Q197" s="244" t="str">
        <f>IF('ASIGNACIÓN ASIGNATURAS'!Z197="","",'ASIGNACIÓN ASIGNATURAS'!Z197)</f>
        <v/>
      </c>
      <c r="R197" s="244" t="str">
        <f>IF('ASIGNACIÓN ASIGNATURAS'!AA197="","",'ASIGNACIÓN ASIGNATURAS'!AA197)</f>
        <v/>
      </c>
      <c r="S197" s="244" t="str">
        <f>IF('ASIGNACIÓN ASIGNATURAS'!AB197="","",'ASIGNACIÓN ASIGNATURAS'!AB197)</f>
        <v/>
      </c>
    </row>
    <row r="198" spans="1:19" x14ac:dyDescent="0.3">
      <c r="A198" s="290" t="str">
        <f>IF('ASIGNACIÓN ASIGNATURAS'!J198="","",'ASIGNACIÓN ASIGNATURAS'!J198)</f>
        <v/>
      </c>
      <c r="B198" s="290" t="str">
        <f>IF('ASIGNACIÓN ASIGNATURAS'!K198="","",'ASIGNACIÓN ASIGNATURAS'!K198)</f>
        <v/>
      </c>
      <c r="C198" s="290" t="str">
        <f>IF('ASIGNACIÓN ASIGNATURAS'!L198="","",'ASIGNACIÓN ASIGNATURAS'!L198)</f>
        <v/>
      </c>
      <c r="D198" s="290" t="str">
        <f>IF('ASIGNACIÓN ASIGNATURAS'!M198="","",'ASIGNACIÓN ASIGNATURAS'!M198)</f>
        <v/>
      </c>
      <c r="E198" s="290" t="str">
        <f>IF('ASIGNACIÓN ASIGNATURAS'!N198="","",'ASIGNACIÓN ASIGNATURAS'!N198)</f>
        <v/>
      </c>
      <c r="F198" s="290" t="str">
        <f>IF('ASIGNACIÓN ASIGNATURAS'!O198="","",'ASIGNACIÓN ASIGNATURAS'!O198)</f>
        <v/>
      </c>
      <c r="G198" s="290" t="str">
        <f>IF('ASIGNACIÓN ASIGNATURAS'!P198="","",'ASIGNACIÓN ASIGNATURAS'!P198)</f>
        <v/>
      </c>
      <c r="H198" s="290" t="str">
        <f>IF('ASIGNACIÓN ASIGNATURAS'!T198="","",'ASIGNACIÓN ASIGNATURAS'!T198)</f>
        <v/>
      </c>
      <c r="I198" s="290" t="str">
        <f>IF('ASIGNACIÓN ASIGNATURAS'!U198="","",'ASIGNACIÓN ASIGNATURAS'!U198)</f>
        <v/>
      </c>
      <c r="J198" s="290" t="str">
        <f>IF('ASIGNACIÓN ASIGNATURAS'!V198="","",'ASIGNACIÓN ASIGNATURAS'!V198)</f>
        <v/>
      </c>
      <c r="K198" s="301" t="str">
        <f>IF('ASIGNACIÓN ASIGNATURAS'!S198="","",'ASIGNACIÓN ASIGNATURAS'!S198)</f>
        <v/>
      </c>
      <c r="L198" s="244" t="str">
        <f>IF('ASIGNACIÓN ASIGNATURAS'!Q198="","",'ASIGNACIÓN ASIGNATURAS'!Q198)</f>
        <v/>
      </c>
      <c r="M198" s="244" t="str">
        <f>IF('ASIGNACIÓN ASIGNATURAS'!R198="","",'ASIGNACIÓN ASIGNATURAS'!R198)</f>
        <v/>
      </c>
      <c r="N198" s="244" t="str">
        <f>IF('ASIGNACIÓN ASIGNATURAS'!W198="","",'ASIGNACIÓN ASIGNATURAS'!W198)</f>
        <v/>
      </c>
      <c r="O198" s="244" t="str">
        <f>IF('ASIGNACIÓN ASIGNATURAS'!X198="","",'ASIGNACIÓN ASIGNATURAS'!X198)</f>
        <v/>
      </c>
      <c r="P198" s="244" t="str">
        <f>IF('ASIGNACIÓN ASIGNATURAS'!Y198="","",'ASIGNACIÓN ASIGNATURAS'!Y198)</f>
        <v/>
      </c>
      <c r="Q198" s="244" t="str">
        <f>IF('ASIGNACIÓN ASIGNATURAS'!Z198="","",'ASIGNACIÓN ASIGNATURAS'!Z198)</f>
        <v/>
      </c>
      <c r="R198" s="244" t="str">
        <f>IF('ASIGNACIÓN ASIGNATURAS'!AA198="","",'ASIGNACIÓN ASIGNATURAS'!AA198)</f>
        <v/>
      </c>
      <c r="S198" s="244" t="str">
        <f>IF('ASIGNACIÓN ASIGNATURAS'!AB198="","",'ASIGNACIÓN ASIGNATURAS'!AB198)</f>
        <v/>
      </c>
    </row>
    <row r="199" spans="1:19" x14ac:dyDescent="0.3">
      <c r="A199" s="290" t="str">
        <f>IF('ASIGNACIÓN ASIGNATURAS'!J199="","",'ASIGNACIÓN ASIGNATURAS'!J199)</f>
        <v/>
      </c>
      <c r="B199" s="290" t="str">
        <f>IF('ASIGNACIÓN ASIGNATURAS'!K199="","",'ASIGNACIÓN ASIGNATURAS'!K199)</f>
        <v/>
      </c>
      <c r="C199" s="290" t="str">
        <f>IF('ASIGNACIÓN ASIGNATURAS'!L199="","",'ASIGNACIÓN ASIGNATURAS'!L199)</f>
        <v/>
      </c>
      <c r="D199" s="290" t="str">
        <f>IF('ASIGNACIÓN ASIGNATURAS'!M199="","",'ASIGNACIÓN ASIGNATURAS'!M199)</f>
        <v/>
      </c>
      <c r="E199" s="290" t="str">
        <f>IF('ASIGNACIÓN ASIGNATURAS'!N199="","",'ASIGNACIÓN ASIGNATURAS'!N199)</f>
        <v/>
      </c>
      <c r="F199" s="290" t="str">
        <f>IF('ASIGNACIÓN ASIGNATURAS'!O199="","",'ASIGNACIÓN ASIGNATURAS'!O199)</f>
        <v/>
      </c>
      <c r="G199" s="290" t="str">
        <f>IF('ASIGNACIÓN ASIGNATURAS'!P199="","",'ASIGNACIÓN ASIGNATURAS'!P199)</f>
        <v/>
      </c>
      <c r="H199" s="290" t="str">
        <f>IF('ASIGNACIÓN ASIGNATURAS'!T199="","",'ASIGNACIÓN ASIGNATURAS'!T199)</f>
        <v/>
      </c>
      <c r="I199" s="290" t="str">
        <f>IF('ASIGNACIÓN ASIGNATURAS'!U199="","",'ASIGNACIÓN ASIGNATURAS'!U199)</f>
        <v/>
      </c>
      <c r="J199" s="290" t="str">
        <f>IF('ASIGNACIÓN ASIGNATURAS'!V199="","",'ASIGNACIÓN ASIGNATURAS'!V199)</f>
        <v/>
      </c>
      <c r="K199" s="301" t="str">
        <f>IF('ASIGNACIÓN ASIGNATURAS'!S199="","",'ASIGNACIÓN ASIGNATURAS'!S199)</f>
        <v/>
      </c>
      <c r="L199" s="244" t="str">
        <f>IF('ASIGNACIÓN ASIGNATURAS'!Q199="","",'ASIGNACIÓN ASIGNATURAS'!Q199)</f>
        <v/>
      </c>
      <c r="M199" s="244" t="str">
        <f>IF('ASIGNACIÓN ASIGNATURAS'!R199="","",'ASIGNACIÓN ASIGNATURAS'!R199)</f>
        <v/>
      </c>
      <c r="N199" s="244" t="str">
        <f>IF('ASIGNACIÓN ASIGNATURAS'!W199="","",'ASIGNACIÓN ASIGNATURAS'!W199)</f>
        <v/>
      </c>
      <c r="O199" s="244" t="str">
        <f>IF('ASIGNACIÓN ASIGNATURAS'!X199="","",'ASIGNACIÓN ASIGNATURAS'!X199)</f>
        <v/>
      </c>
      <c r="P199" s="244" t="str">
        <f>IF('ASIGNACIÓN ASIGNATURAS'!Y199="","",'ASIGNACIÓN ASIGNATURAS'!Y199)</f>
        <v/>
      </c>
      <c r="Q199" s="244" t="str">
        <f>IF('ASIGNACIÓN ASIGNATURAS'!Z199="","",'ASIGNACIÓN ASIGNATURAS'!Z199)</f>
        <v/>
      </c>
      <c r="R199" s="244" t="str">
        <f>IF('ASIGNACIÓN ASIGNATURAS'!AA199="","",'ASIGNACIÓN ASIGNATURAS'!AA199)</f>
        <v/>
      </c>
      <c r="S199" s="244" t="str">
        <f>IF('ASIGNACIÓN ASIGNATURAS'!AB199="","",'ASIGNACIÓN ASIGNATURAS'!AB199)</f>
        <v/>
      </c>
    </row>
    <row r="200" spans="1:19" x14ac:dyDescent="0.3">
      <c r="A200" s="290" t="str">
        <f>IF('ASIGNACIÓN ASIGNATURAS'!J200="","",'ASIGNACIÓN ASIGNATURAS'!J200)</f>
        <v/>
      </c>
      <c r="B200" s="290" t="str">
        <f>IF('ASIGNACIÓN ASIGNATURAS'!K200="","",'ASIGNACIÓN ASIGNATURAS'!K200)</f>
        <v/>
      </c>
      <c r="C200" s="290" t="str">
        <f>IF('ASIGNACIÓN ASIGNATURAS'!L200="","",'ASIGNACIÓN ASIGNATURAS'!L200)</f>
        <v/>
      </c>
      <c r="D200" s="290" t="str">
        <f>IF('ASIGNACIÓN ASIGNATURAS'!M200="","",'ASIGNACIÓN ASIGNATURAS'!M200)</f>
        <v/>
      </c>
      <c r="E200" s="290" t="str">
        <f>IF('ASIGNACIÓN ASIGNATURAS'!N200="","",'ASIGNACIÓN ASIGNATURAS'!N200)</f>
        <v/>
      </c>
      <c r="F200" s="290" t="str">
        <f>IF('ASIGNACIÓN ASIGNATURAS'!O200="","",'ASIGNACIÓN ASIGNATURAS'!O200)</f>
        <v/>
      </c>
      <c r="G200" s="290" t="str">
        <f>IF('ASIGNACIÓN ASIGNATURAS'!P200="","",'ASIGNACIÓN ASIGNATURAS'!P200)</f>
        <v/>
      </c>
      <c r="H200" s="290" t="str">
        <f>IF('ASIGNACIÓN ASIGNATURAS'!T200="","",'ASIGNACIÓN ASIGNATURAS'!T200)</f>
        <v/>
      </c>
      <c r="I200" s="290" t="str">
        <f>IF('ASIGNACIÓN ASIGNATURAS'!U200="","",'ASIGNACIÓN ASIGNATURAS'!U200)</f>
        <v/>
      </c>
      <c r="J200" s="290" t="str">
        <f>IF('ASIGNACIÓN ASIGNATURAS'!V200="","",'ASIGNACIÓN ASIGNATURAS'!V200)</f>
        <v/>
      </c>
      <c r="K200" s="301" t="str">
        <f>IF('ASIGNACIÓN ASIGNATURAS'!S200="","",'ASIGNACIÓN ASIGNATURAS'!S200)</f>
        <v/>
      </c>
      <c r="L200" s="244" t="str">
        <f>IF('ASIGNACIÓN ASIGNATURAS'!Q200="","",'ASIGNACIÓN ASIGNATURAS'!Q200)</f>
        <v/>
      </c>
      <c r="M200" s="244" t="str">
        <f>IF('ASIGNACIÓN ASIGNATURAS'!R200="","",'ASIGNACIÓN ASIGNATURAS'!R200)</f>
        <v/>
      </c>
      <c r="N200" s="244" t="str">
        <f>IF('ASIGNACIÓN ASIGNATURAS'!W200="","",'ASIGNACIÓN ASIGNATURAS'!W200)</f>
        <v/>
      </c>
      <c r="O200" s="244" t="str">
        <f>IF('ASIGNACIÓN ASIGNATURAS'!X200="","",'ASIGNACIÓN ASIGNATURAS'!X200)</f>
        <v/>
      </c>
      <c r="P200" s="244" t="str">
        <f>IF('ASIGNACIÓN ASIGNATURAS'!Y200="","",'ASIGNACIÓN ASIGNATURAS'!Y200)</f>
        <v/>
      </c>
      <c r="Q200" s="244" t="str">
        <f>IF('ASIGNACIÓN ASIGNATURAS'!Z200="","",'ASIGNACIÓN ASIGNATURAS'!Z200)</f>
        <v/>
      </c>
      <c r="R200" s="244" t="str">
        <f>IF('ASIGNACIÓN ASIGNATURAS'!AA200="","",'ASIGNACIÓN ASIGNATURAS'!AA200)</f>
        <v/>
      </c>
      <c r="S200" s="244" t="str">
        <f>IF('ASIGNACIÓN ASIGNATURAS'!AB200="","",'ASIGNACIÓN ASIGNATURAS'!AB200)</f>
        <v/>
      </c>
    </row>
    <row r="201" spans="1:19" x14ac:dyDescent="0.3">
      <c r="A201" s="290" t="str">
        <f>IF('ASIGNACIÓN ASIGNATURAS'!J201="","",'ASIGNACIÓN ASIGNATURAS'!J201)</f>
        <v/>
      </c>
      <c r="B201" s="290" t="str">
        <f>IF('ASIGNACIÓN ASIGNATURAS'!K201="","",'ASIGNACIÓN ASIGNATURAS'!K201)</f>
        <v/>
      </c>
      <c r="C201" s="290" t="str">
        <f>IF('ASIGNACIÓN ASIGNATURAS'!L201="","",'ASIGNACIÓN ASIGNATURAS'!L201)</f>
        <v/>
      </c>
      <c r="D201" s="290" t="str">
        <f>IF('ASIGNACIÓN ASIGNATURAS'!M201="","",'ASIGNACIÓN ASIGNATURAS'!M201)</f>
        <v/>
      </c>
      <c r="E201" s="290" t="str">
        <f>IF('ASIGNACIÓN ASIGNATURAS'!N201="","",'ASIGNACIÓN ASIGNATURAS'!N201)</f>
        <v/>
      </c>
      <c r="F201" s="290" t="str">
        <f>IF('ASIGNACIÓN ASIGNATURAS'!O201="","",'ASIGNACIÓN ASIGNATURAS'!O201)</f>
        <v/>
      </c>
      <c r="G201" s="290" t="str">
        <f>IF('ASIGNACIÓN ASIGNATURAS'!P201="","",'ASIGNACIÓN ASIGNATURAS'!P201)</f>
        <v/>
      </c>
      <c r="H201" s="290" t="str">
        <f>IF('ASIGNACIÓN ASIGNATURAS'!T201="","",'ASIGNACIÓN ASIGNATURAS'!T201)</f>
        <v/>
      </c>
      <c r="I201" s="290" t="str">
        <f>IF('ASIGNACIÓN ASIGNATURAS'!U201="","",'ASIGNACIÓN ASIGNATURAS'!U201)</f>
        <v/>
      </c>
      <c r="J201" s="290" t="str">
        <f>IF('ASIGNACIÓN ASIGNATURAS'!V201="","",'ASIGNACIÓN ASIGNATURAS'!V201)</f>
        <v/>
      </c>
      <c r="K201" s="301" t="str">
        <f>IF('ASIGNACIÓN ASIGNATURAS'!S201="","",'ASIGNACIÓN ASIGNATURAS'!S201)</f>
        <v/>
      </c>
      <c r="L201" s="244" t="str">
        <f>IF('ASIGNACIÓN ASIGNATURAS'!Q201="","",'ASIGNACIÓN ASIGNATURAS'!Q201)</f>
        <v/>
      </c>
      <c r="M201" s="244" t="str">
        <f>IF('ASIGNACIÓN ASIGNATURAS'!R201="","",'ASIGNACIÓN ASIGNATURAS'!R201)</f>
        <v/>
      </c>
      <c r="N201" s="244" t="str">
        <f>IF('ASIGNACIÓN ASIGNATURAS'!W201="","",'ASIGNACIÓN ASIGNATURAS'!W201)</f>
        <v/>
      </c>
      <c r="O201" s="244" t="str">
        <f>IF('ASIGNACIÓN ASIGNATURAS'!X201="","",'ASIGNACIÓN ASIGNATURAS'!X201)</f>
        <v/>
      </c>
      <c r="P201" s="244" t="str">
        <f>IF('ASIGNACIÓN ASIGNATURAS'!Y201="","",'ASIGNACIÓN ASIGNATURAS'!Y201)</f>
        <v/>
      </c>
      <c r="Q201" s="244" t="str">
        <f>IF('ASIGNACIÓN ASIGNATURAS'!Z201="","",'ASIGNACIÓN ASIGNATURAS'!Z201)</f>
        <v/>
      </c>
      <c r="R201" s="244" t="str">
        <f>IF('ASIGNACIÓN ASIGNATURAS'!AA201="","",'ASIGNACIÓN ASIGNATURAS'!AA201)</f>
        <v/>
      </c>
      <c r="S201" s="244" t="str">
        <f>IF('ASIGNACIÓN ASIGNATURAS'!AB201="","",'ASIGNACIÓN ASIGNATURAS'!AB201)</f>
        <v/>
      </c>
    </row>
    <row r="202" spans="1:19" x14ac:dyDescent="0.3">
      <c r="A202" s="290" t="str">
        <f>IF('ASIGNACIÓN ASIGNATURAS'!J202="","",'ASIGNACIÓN ASIGNATURAS'!J202)</f>
        <v/>
      </c>
      <c r="B202" s="290" t="str">
        <f>IF('ASIGNACIÓN ASIGNATURAS'!K202="","",'ASIGNACIÓN ASIGNATURAS'!K202)</f>
        <v/>
      </c>
      <c r="C202" s="290" t="str">
        <f>IF('ASIGNACIÓN ASIGNATURAS'!L202="","",'ASIGNACIÓN ASIGNATURAS'!L202)</f>
        <v/>
      </c>
      <c r="D202" s="290" t="str">
        <f>IF('ASIGNACIÓN ASIGNATURAS'!M202="","",'ASIGNACIÓN ASIGNATURAS'!M202)</f>
        <v/>
      </c>
      <c r="E202" s="290" t="str">
        <f>IF('ASIGNACIÓN ASIGNATURAS'!N202="","",'ASIGNACIÓN ASIGNATURAS'!N202)</f>
        <v/>
      </c>
      <c r="F202" s="290" t="str">
        <f>IF('ASIGNACIÓN ASIGNATURAS'!O202="","",'ASIGNACIÓN ASIGNATURAS'!O202)</f>
        <v/>
      </c>
      <c r="G202" s="290" t="str">
        <f>IF('ASIGNACIÓN ASIGNATURAS'!P202="","",'ASIGNACIÓN ASIGNATURAS'!P202)</f>
        <v/>
      </c>
      <c r="H202" s="290" t="str">
        <f>IF('ASIGNACIÓN ASIGNATURAS'!T202="","",'ASIGNACIÓN ASIGNATURAS'!T202)</f>
        <v/>
      </c>
      <c r="I202" s="290" t="str">
        <f>IF('ASIGNACIÓN ASIGNATURAS'!U202="","",'ASIGNACIÓN ASIGNATURAS'!U202)</f>
        <v/>
      </c>
      <c r="J202" s="290" t="str">
        <f>IF('ASIGNACIÓN ASIGNATURAS'!V202="","",'ASIGNACIÓN ASIGNATURAS'!V202)</f>
        <v/>
      </c>
      <c r="K202" s="301" t="str">
        <f>IF('ASIGNACIÓN ASIGNATURAS'!S202="","",'ASIGNACIÓN ASIGNATURAS'!S202)</f>
        <v/>
      </c>
      <c r="L202" s="244" t="str">
        <f>IF('ASIGNACIÓN ASIGNATURAS'!Q202="","",'ASIGNACIÓN ASIGNATURAS'!Q202)</f>
        <v/>
      </c>
      <c r="M202" s="244" t="str">
        <f>IF('ASIGNACIÓN ASIGNATURAS'!R202="","",'ASIGNACIÓN ASIGNATURAS'!R202)</f>
        <v/>
      </c>
      <c r="N202" s="244" t="str">
        <f>IF('ASIGNACIÓN ASIGNATURAS'!W202="","",'ASIGNACIÓN ASIGNATURAS'!W202)</f>
        <v/>
      </c>
      <c r="O202" s="244" t="str">
        <f>IF('ASIGNACIÓN ASIGNATURAS'!X202="","",'ASIGNACIÓN ASIGNATURAS'!X202)</f>
        <v/>
      </c>
      <c r="P202" s="244" t="str">
        <f>IF('ASIGNACIÓN ASIGNATURAS'!Y202="","",'ASIGNACIÓN ASIGNATURAS'!Y202)</f>
        <v/>
      </c>
      <c r="Q202" s="244" t="str">
        <f>IF('ASIGNACIÓN ASIGNATURAS'!Z202="","",'ASIGNACIÓN ASIGNATURAS'!Z202)</f>
        <v/>
      </c>
      <c r="R202" s="244" t="str">
        <f>IF('ASIGNACIÓN ASIGNATURAS'!AA202="","",'ASIGNACIÓN ASIGNATURAS'!AA202)</f>
        <v/>
      </c>
      <c r="S202" s="244" t="str">
        <f>IF('ASIGNACIÓN ASIGNATURAS'!AB202="","",'ASIGNACIÓN ASIGNATURAS'!AB202)</f>
        <v/>
      </c>
    </row>
    <row r="203" spans="1:19" x14ac:dyDescent="0.3">
      <c r="A203" s="290" t="str">
        <f>IF('ASIGNACIÓN ASIGNATURAS'!J203="","",'ASIGNACIÓN ASIGNATURAS'!J203)</f>
        <v/>
      </c>
      <c r="B203" s="290" t="str">
        <f>IF('ASIGNACIÓN ASIGNATURAS'!K203="","",'ASIGNACIÓN ASIGNATURAS'!K203)</f>
        <v/>
      </c>
      <c r="C203" s="290" t="str">
        <f>IF('ASIGNACIÓN ASIGNATURAS'!L203="","",'ASIGNACIÓN ASIGNATURAS'!L203)</f>
        <v/>
      </c>
      <c r="D203" s="290" t="str">
        <f>IF('ASIGNACIÓN ASIGNATURAS'!M203="","",'ASIGNACIÓN ASIGNATURAS'!M203)</f>
        <v/>
      </c>
      <c r="E203" s="290" t="str">
        <f>IF('ASIGNACIÓN ASIGNATURAS'!N203="","",'ASIGNACIÓN ASIGNATURAS'!N203)</f>
        <v/>
      </c>
      <c r="F203" s="290" t="str">
        <f>IF('ASIGNACIÓN ASIGNATURAS'!O203="","",'ASIGNACIÓN ASIGNATURAS'!O203)</f>
        <v/>
      </c>
      <c r="G203" s="290" t="str">
        <f>IF('ASIGNACIÓN ASIGNATURAS'!P203="","",'ASIGNACIÓN ASIGNATURAS'!P203)</f>
        <v/>
      </c>
      <c r="H203" s="290" t="str">
        <f>IF('ASIGNACIÓN ASIGNATURAS'!T203="","",'ASIGNACIÓN ASIGNATURAS'!T203)</f>
        <v/>
      </c>
      <c r="I203" s="290" t="str">
        <f>IF('ASIGNACIÓN ASIGNATURAS'!U203="","",'ASIGNACIÓN ASIGNATURAS'!U203)</f>
        <v/>
      </c>
      <c r="J203" s="290" t="str">
        <f>IF('ASIGNACIÓN ASIGNATURAS'!V203="","",'ASIGNACIÓN ASIGNATURAS'!V203)</f>
        <v/>
      </c>
      <c r="K203" s="301" t="str">
        <f>IF('ASIGNACIÓN ASIGNATURAS'!S203="","",'ASIGNACIÓN ASIGNATURAS'!S203)</f>
        <v/>
      </c>
      <c r="L203" s="244" t="str">
        <f>IF('ASIGNACIÓN ASIGNATURAS'!Q203="","",'ASIGNACIÓN ASIGNATURAS'!Q203)</f>
        <v/>
      </c>
      <c r="M203" s="244" t="str">
        <f>IF('ASIGNACIÓN ASIGNATURAS'!R203="","",'ASIGNACIÓN ASIGNATURAS'!R203)</f>
        <v/>
      </c>
      <c r="N203" s="244" t="str">
        <f>IF('ASIGNACIÓN ASIGNATURAS'!W203="","",'ASIGNACIÓN ASIGNATURAS'!W203)</f>
        <v/>
      </c>
      <c r="O203" s="244" t="str">
        <f>IF('ASIGNACIÓN ASIGNATURAS'!X203="","",'ASIGNACIÓN ASIGNATURAS'!X203)</f>
        <v/>
      </c>
      <c r="P203" s="244" t="str">
        <f>IF('ASIGNACIÓN ASIGNATURAS'!Y203="","",'ASIGNACIÓN ASIGNATURAS'!Y203)</f>
        <v/>
      </c>
      <c r="Q203" s="244" t="str">
        <f>IF('ASIGNACIÓN ASIGNATURAS'!Z203="","",'ASIGNACIÓN ASIGNATURAS'!Z203)</f>
        <v/>
      </c>
      <c r="R203" s="244" t="str">
        <f>IF('ASIGNACIÓN ASIGNATURAS'!AA203="","",'ASIGNACIÓN ASIGNATURAS'!AA203)</f>
        <v/>
      </c>
      <c r="S203" s="244" t="str">
        <f>IF('ASIGNACIÓN ASIGNATURAS'!AB203="","",'ASIGNACIÓN ASIGNATURAS'!AB203)</f>
        <v/>
      </c>
    </row>
    <row r="204" spans="1:19" x14ac:dyDescent="0.3">
      <c r="A204" s="290" t="str">
        <f>IF('ASIGNACIÓN ASIGNATURAS'!J204="","",'ASIGNACIÓN ASIGNATURAS'!J204)</f>
        <v/>
      </c>
      <c r="B204" s="290" t="str">
        <f>IF('ASIGNACIÓN ASIGNATURAS'!K204="","",'ASIGNACIÓN ASIGNATURAS'!K204)</f>
        <v/>
      </c>
      <c r="C204" s="290" t="str">
        <f>IF('ASIGNACIÓN ASIGNATURAS'!L204="","",'ASIGNACIÓN ASIGNATURAS'!L204)</f>
        <v/>
      </c>
      <c r="D204" s="290" t="str">
        <f>IF('ASIGNACIÓN ASIGNATURAS'!M204="","",'ASIGNACIÓN ASIGNATURAS'!M204)</f>
        <v/>
      </c>
      <c r="E204" s="290" t="str">
        <f>IF('ASIGNACIÓN ASIGNATURAS'!N204="","",'ASIGNACIÓN ASIGNATURAS'!N204)</f>
        <v/>
      </c>
      <c r="F204" s="290" t="str">
        <f>IF('ASIGNACIÓN ASIGNATURAS'!O204="","",'ASIGNACIÓN ASIGNATURAS'!O204)</f>
        <v/>
      </c>
      <c r="G204" s="290" t="str">
        <f>IF('ASIGNACIÓN ASIGNATURAS'!P204="","",'ASIGNACIÓN ASIGNATURAS'!P204)</f>
        <v/>
      </c>
      <c r="H204" s="290" t="str">
        <f>IF('ASIGNACIÓN ASIGNATURAS'!T204="","",'ASIGNACIÓN ASIGNATURAS'!T204)</f>
        <v/>
      </c>
      <c r="I204" s="290" t="str">
        <f>IF('ASIGNACIÓN ASIGNATURAS'!U204="","",'ASIGNACIÓN ASIGNATURAS'!U204)</f>
        <v/>
      </c>
      <c r="J204" s="290" t="str">
        <f>IF('ASIGNACIÓN ASIGNATURAS'!V204="","",'ASIGNACIÓN ASIGNATURAS'!V204)</f>
        <v/>
      </c>
      <c r="K204" s="301" t="str">
        <f>IF('ASIGNACIÓN ASIGNATURAS'!S204="","",'ASIGNACIÓN ASIGNATURAS'!S204)</f>
        <v/>
      </c>
      <c r="L204" s="244" t="str">
        <f>IF('ASIGNACIÓN ASIGNATURAS'!Q204="","",'ASIGNACIÓN ASIGNATURAS'!Q204)</f>
        <v/>
      </c>
      <c r="M204" s="244" t="str">
        <f>IF('ASIGNACIÓN ASIGNATURAS'!R204="","",'ASIGNACIÓN ASIGNATURAS'!R204)</f>
        <v/>
      </c>
      <c r="N204" s="244" t="str">
        <f>IF('ASIGNACIÓN ASIGNATURAS'!W204="","",'ASIGNACIÓN ASIGNATURAS'!W204)</f>
        <v/>
      </c>
      <c r="O204" s="244" t="str">
        <f>IF('ASIGNACIÓN ASIGNATURAS'!X204="","",'ASIGNACIÓN ASIGNATURAS'!X204)</f>
        <v/>
      </c>
      <c r="P204" s="244" t="str">
        <f>IF('ASIGNACIÓN ASIGNATURAS'!Y204="","",'ASIGNACIÓN ASIGNATURAS'!Y204)</f>
        <v/>
      </c>
      <c r="Q204" s="244" t="str">
        <f>IF('ASIGNACIÓN ASIGNATURAS'!Z204="","",'ASIGNACIÓN ASIGNATURAS'!Z204)</f>
        <v/>
      </c>
      <c r="R204" s="244" t="str">
        <f>IF('ASIGNACIÓN ASIGNATURAS'!AA204="","",'ASIGNACIÓN ASIGNATURAS'!AA204)</f>
        <v/>
      </c>
      <c r="S204" s="244" t="str">
        <f>IF('ASIGNACIÓN ASIGNATURAS'!AB204="","",'ASIGNACIÓN ASIGNATURAS'!AB204)</f>
        <v/>
      </c>
    </row>
    <row r="205" spans="1:19" x14ac:dyDescent="0.3">
      <c r="A205" s="290" t="str">
        <f>IF('ASIGNACIÓN ASIGNATURAS'!J205="","",'ASIGNACIÓN ASIGNATURAS'!J205)</f>
        <v/>
      </c>
      <c r="B205" s="290" t="str">
        <f>IF('ASIGNACIÓN ASIGNATURAS'!K205="","",'ASIGNACIÓN ASIGNATURAS'!K205)</f>
        <v/>
      </c>
      <c r="C205" s="290" t="str">
        <f>IF('ASIGNACIÓN ASIGNATURAS'!L205="","",'ASIGNACIÓN ASIGNATURAS'!L205)</f>
        <v/>
      </c>
      <c r="D205" s="290" t="str">
        <f>IF('ASIGNACIÓN ASIGNATURAS'!M205="","",'ASIGNACIÓN ASIGNATURAS'!M205)</f>
        <v/>
      </c>
      <c r="E205" s="290" t="str">
        <f>IF('ASIGNACIÓN ASIGNATURAS'!N205="","",'ASIGNACIÓN ASIGNATURAS'!N205)</f>
        <v/>
      </c>
      <c r="F205" s="290" t="str">
        <f>IF('ASIGNACIÓN ASIGNATURAS'!O205="","",'ASIGNACIÓN ASIGNATURAS'!O205)</f>
        <v/>
      </c>
      <c r="G205" s="290" t="str">
        <f>IF('ASIGNACIÓN ASIGNATURAS'!P205="","",'ASIGNACIÓN ASIGNATURAS'!P205)</f>
        <v/>
      </c>
      <c r="H205" s="290" t="str">
        <f>IF('ASIGNACIÓN ASIGNATURAS'!T205="","",'ASIGNACIÓN ASIGNATURAS'!T205)</f>
        <v/>
      </c>
      <c r="I205" s="290" t="str">
        <f>IF('ASIGNACIÓN ASIGNATURAS'!U205="","",'ASIGNACIÓN ASIGNATURAS'!U205)</f>
        <v/>
      </c>
      <c r="J205" s="290" t="str">
        <f>IF('ASIGNACIÓN ASIGNATURAS'!V205="","",'ASIGNACIÓN ASIGNATURAS'!V205)</f>
        <v/>
      </c>
      <c r="K205" s="301" t="str">
        <f>IF('ASIGNACIÓN ASIGNATURAS'!S205="","",'ASIGNACIÓN ASIGNATURAS'!S205)</f>
        <v/>
      </c>
      <c r="L205" s="244" t="str">
        <f>IF('ASIGNACIÓN ASIGNATURAS'!Q205="","",'ASIGNACIÓN ASIGNATURAS'!Q205)</f>
        <v/>
      </c>
      <c r="M205" s="244" t="str">
        <f>IF('ASIGNACIÓN ASIGNATURAS'!R205="","",'ASIGNACIÓN ASIGNATURAS'!R205)</f>
        <v/>
      </c>
      <c r="N205" s="244" t="str">
        <f>IF('ASIGNACIÓN ASIGNATURAS'!W205="","",'ASIGNACIÓN ASIGNATURAS'!W205)</f>
        <v/>
      </c>
      <c r="O205" s="244" t="str">
        <f>IF('ASIGNACIÓN ASIGNATURAS'!X205="","",'ASIGNACIÓN ASIGNATURAS'!X205)</f>
        <v/>
      </c>
      <c r="P205" s="244" t="str">
        <f>IF('ASIGNACIÓN ASIGNATURAS'!Y205="","",'ASIGNACIÓN ASIGNATURAS'!Y205)</f>
        <v/>
      </c>
      <c r="Q205" s="244" t="str">
        <f>IF('ASIGNACIÓN ASIGNATURAS'!Z205="","",'ASIGNACIÓN ASIGNATURAS'!Z205)</f>
        <v/>
      </c>
      <c r="R205" s="244" t="str">
        <f>IF('ASIGNACIÓN ASIGNATURAS'!AA205="","",'ASIGNACIÓN ASIGNATURAS'!AA205)</f>
        <v/>
      </c>
      <c r="S205" s="244" t="str">
        <f>IF('ASIGNACIÓN ASIGNATURAS'!AB205="","",'ASIGNACIÓN ASIGNATURAS'!AB205)</f>
        <v/>
      </c>
    </row>
    <row r="206" spans="1:19" x14ac:dyDescent="0.3">
      <c r="A206" s="290" t="str">
        <f>IF('ASIGNACIÓN ASIGNATURAS'!J206="","",'ASIGNACIÓN ASIGNATURAS'!J206)</f>
        <v/>
      </c>
      <c r="B206" s="290" t="str">
        <f>IF('ASIGNACIÓN ASIGNATURAS'!K206="","",'ASIGNACIÓN ASIGNATURAS'!K206)</f>
        <v/>
      </c>
      <c r="C206" s="290" t="str">
        <f>IF('ASIGNACIÓN ASIGNATURAS'!L206="","",'ASIGNACIÓN ASIGNATURAS'!L206)</f>
        <v/>
      </c>
      <c r="D206" s="290" t="str">
        <f>IF('ASIGNACIÓN ASIGNATURAS'!M206="","",'ASIGNACIÓN ASIGNATURAS'!M206)</f>
        <v/>
      </c>
      <c r="E206" s="290" t="str">
        <f>IF('ASIGNACIÓN ASIGNATURAS'!N206="","",'ASIGNACIÓN ASIGNATURAS'!N206)</f>
        <v/>
      </c>
      <c r="F206" s="290" t="str">
        <f>IF('ASIGNACIÓN ASIGNATURAS'!O206="","",'ASIGNACIÓN ASIGNATURAS'!O206)</f>
        <v/>
      </c>
      <c r="G206" s="290" t="str">
        <f>IF('ASIGNACIÓN ASIGNATURAS'!P206="","",'ASIGNACIÓN ASIGNATURAS'!P206)</f>
        <v/>
      </c>
      <c r="H206" s="290" t="str">
        <f>IF('ASIGNACIÓN ASIGNATURAS'!T206="","",'ASIGNACIÓN ASIGNATURAS'!T206)</f>
        <v/>
      </c>
      <c r="I206" s="290" t="str">
        <f>IF('ASIGNACIÓN ASIGNATURAS'!U206="","",'ASIGNACIÓN ASIGNATURAS'!U206)</f>
        <v/>
      </c>
      <c r="J206" s="290" t="str">
        <f>IF('ASIGNACIÓN ASIGNATURAS'!V206="","",'ASIGNACIÓN ASIGNATURAS'!V206)</f>
        <v/>
      </c>
      <c r="K206" s="301" t="str">
        <f>IF('ASIGNACIÓN ASIGNATURAS'!S206="","",'ASIGNACIÓN ASIGNATURAS'!S206)</f>
        <v/>
      </c>
      <c r="L206" s="244" t="str">
        <f>IF('ASIGNACIÓN ASIGNATURAS'!Q206="","",'ASIGNACIÓN ASIGNATURAS'!Q206)</f>
        <v/>
      </c>
      <c r="M206" s="244" t="str">
        <f>IF('ASIGNACIÓN ASIGNATURAS'!R206="","",'ASIGNACIÓN ASIGNATURAS'!R206)</f>
        <v/>
      </c>
      <c r="N206" s="244" t="str">
        <f>IF('ASIGNACIÓN ASIGNATURAS'!W206="","",'ASIGNACIÓN ASIGNATURAS'!W206)</f>
        <v/>
      </c>
      <c r="O206" s="244" t="str">
        <f>IF('ASIGNACIÓN ASIGNATURAS'!X206="","",'ASIGNACIÓN ASIGNATURAS'!X206)</f>
        <v/>
      </c>
      <c r="P206" s="244" t="str">
        <f>IF('ASIGNACIÓN ASIGNATURAS'!Y206="","",'ASIGNACIÓN ASIGNATURAS'!Y206)</f>
        <v/>
      </c>
      <c r="Q206" s="244" t="str">
        <f>IF('ASIGNACIÓN ASIGNATURAS'!Z206="","",'ASIGNACIÓN ASIGNATURAS'!Z206)</f>
        <v/>
      </c>
      <c r="R206" s="244" t="str">
        <f>IF('ASIGNACIÓN ASIGNATURAS'!AA206="","",'ASIGNACIÓN ASIGNATURAS'!AA206)</f>
        <v/>
      </c>
      <c r="S206" s="244" t="str">
        <f>IF('ASIGNACIÓN ASIGNATURAS'!AB206="","",'ASIGNACIÓN ASIGNATURAS'!AB206)</f>
        <v/>
      </c>
    </row>
    <row r="207" spans="1:19" x14ac:dyDescent="0.3">
      <c r="A207" s="290" t="str">
        <f>IF('ASIGNACIÓN ASIGNATURAS'!J207="","",'ASIGNACIÓN ASIGNATURAS'!J207)</f>
        <v/>
      </c>
      <c r="B207" s="290" t="str">
        <f>IF('ASIGNACIÓN ASIGNATURAS'!K207="","",'ASIGNACIÓN ASIGNATURAS'!K207)</f>
        <v/>
      </c>
      <c r="C207" s="290" t="str">
        <f>IF('ASIGNACIÓN ASIGNATURAS'!L207="","",'ASIGNACIÓN ASIGNATURAS'!L207)</f>
        <v/>
      </c>
      <c r="D207" s="290" t="str">
        <f>IF('ASIGNACIÓN ASIGNATURAS'!M207="","",'ASIGNACIÓN ASIGNATURAS'!M207)</f>
        <v/>
      </c>
      <c r="E207" s="290" t="str">
        <f>IF('ASIGNACIÓN ASIGNATURAS'!N207="","",'ASIGNACIÓN ASIGNATURAS'!N207)</f>
        <v/>
      </c>
      <c r="F207" s="290" t="str">
        <f>IF('ASIGNACIÓN ASIGNATURAS'!O207="","",'ASIGNACIÓN ASIGNATURAS'!O207)</f>
        <v/>
      </c>
      <c r="G207" s="290" t="str">
        <f>IF('ASIGNACIÓN ASIGNATURAS'!P207="","",'ASIGNACIÓN ASIGNATURAS'!P207)</f>
        <v/>
      </c>
      <c r="H207" s="290" t="str">
        <f>IF('ASIGNACIÓN ASIGNATURAS'!T207="","",'ASIGNACIÓN ASIGNATURAS'!T207)</f>
        <v/>
      </c>
      <c r="I207" s="290" t="str">
        <f>IF('ASIGNACIÓN ASIGNATURAS'!U207="","",'ASIGNACIÓN ASIGNATURAS'!U207)</f>
        <v/>
      </c>
      <c r="J207" s="290" t="str">
        <f>IF('ASIGNACIÓN ASIGNATURAS'!V207="","",'ASIGNACIÓN ASIGNATURAS'!V207)</f>
        <v/>
      </c>
      <c r="K207" s="301" t="str">
        <f>IF('ASIGNACIÓN ASIGNATURAS'!S207="","",'ASIGNACIÓN ASIGNATURAS'!S207)</f>
        <v/>
      </c>
      <c r="L207" s="244" t="str">
        <f>IF('ASIGNACIÓN ASIGNATURAS'!Q207="","",'ASIGNACIÓN ASIGNATURAS'!Q207)</f>
        <v/>
      </c>
      <c r="M207" s="244" t="str">
        <f>IF('ASIGNACIÓN ASIGNATURAS'!R207="","",'ASIGNACIÓN ASIGNATURAS'!R207)</f>
        <v/>
      </c>
      <c r="N207" s="244" t="str">
        <f>IF('ASIGNACIÓN ASIGNATURAS'!W207="","",'ASIGNACIÓN ASIGNATURAS'!W207)</f>
        <v/>
      </c>
      <c r="O207" s="244" t="str">
        <f>IF('ASIGNACIÓN ASIGNATURAS'!X207="","",'ASIGNACIÓN ASIGNATURAS'!X207)</f>
        <v/>
      </c>
      <c r="P207" s="244" t="str">
        <f>IF('ASIGNACIÓN ASIGNATURAS'!Y207="","",'ASIGNACIÓN ASIGNATURAS'!Y207)</f>
        <v/>
      </c>
      <c r="Q207" s="244" t="str">
        <f>IF('ASIGNACIÓN ASIGNATURAS'!Z207="","",'ASIGNACIÓN ASIGNATURAS'!Z207)</f>
        <v/>
      </c>
      <c r="R207" s="244" t="str">
        <f>IF('ASIGNACIÓN ASIGNATURAS'!AA207="","",'ASIGNACIÓN ASIGNATURAS'!AA207)</f>
        <v/>
      </c>
      <c r="S207" s="244" t="str">
        <f>IF('ASIGNACIÓN ASIGNATURAS'!AB207="","",'ASIGNACIÓN ASIGNATURAS'!AB207)</f>
        <v/>
      </c>
    </row>
    <row r="208" spans="1:19" x14ac:dyDescent="0.3">
      <c r="A208" s="290" t="str">
        <f>IF('ASIGNACIÓN ASIGNATURAS'!J208="","",'ASIGNACIÓN ASIGNATURAS'!J208)</f>
        <v/>
      </c>
      <c r="B208" s="290" t="str">
        <f>IF('ASIGNACIÓN ASIGNATURAS'!K208="","",'ASIGNACIÓN ASIGNATURAS'!K208)</f>
        <v/>
      </c>
      <c r="C208" s="290" t="str">
        <f>IF('ASIGNACIÓN ASIGNATURAS'!L208="","",'ASIGNACIÓN ASIGNATURAS'!L208)</f>
        <v/>
      </c>
      <c r="D208" s="290" t="str">
        <f>IF('ASIGNACIÓN ASIGNATURAS'!M208="","",'ASIGNACIÓN ASIGNATURAS'!M208)</f>
        <v/>
      </c>
      <c r="E208" s="290" t="str">
        <f>IF('ASIGNACIÓN ASIGNATURAS'!N208="","",'ASIGNACIÓN ASIGNATURAS'!N208)</f>
        <v/>
      </c>
      <c r="F208" s="290" t="str">
        <f>IF('ASIGNACIÓN ASIGNATURAS'!O208="","",'ASIGNACIÓN ASIGNATURAS'!O208)</f>
        <v/>
      </c>
      <c r="G208" s="290" t="str">
        <f>IF('ASIGNACIÓN ASIGNATURAS'!P208="","",'ASIGNACIÓN ASIGNATURAS'!P208)</f>
        <v/>
      </c>
      <c r="H208" s="290" t="str">
        <f>IF('ASIGNACIÓN ASIGNATURAS'!T208="","",'ASIGNACIÓN ASIGNATURAS'!T208)</f>
        <v/>
      </c>
      <c r="I208" s="290" t="str">
        <f>IF('ASIGNACIÓN ASIGNATURAS'!U208="","",'ASIGNACIÓN ASIGNATURAS'!U208)</f>
        <v/>
      </c>
      <c r="J208" s="290" t="str">
        <f>IF('ASIGNACIÓN ASIGNATURAS'!V208="","",'ASIGNACIÓN ASIGNATURAS'!V208)</f>
        <v/>
      </c>
      <c r="K208" s="301" t="str">
        <f>IF('ASIGNACIÓN ASIGNATURAS'!S208="","",'ASIGNACIÓN ASIGNATURAS'!S208)</f>
        <v/>
      </c>
      <c r="L208" s="244" t="str">
        <f>IF('ASIGNACIÓN ASIGNATURAS'!Q208="","",'ASIGNACIÓN ASIGNATURAS'!Q208)</f>
        <v/>
      </c>
      <c r="M208" s="244" t="str">
        <f>IF('ASIGNACIÓN ASIGNATURAS'!R208="","",'ASIGNACIÓN ASIGNATURAS'!R208)</f>
        <v/>
      </c>
      <c r="N208" s="244" t="str">
        <f>IF('ASIGNACIÓN ASIGNATURAS'!W208="","",'ASIGNACIÓN ASIGNATURAS'!W208)</f>
        <v/>
      </c>
      <c r="O208" s="244" t="str">
        <f>IF('ASIGNACIÓN ASIGNATURAS'!X208="","",'ASIGNACIÓN ASIGNATURAS'!X208)</f>
        <v/>
      </c>
      <c r="P208" s="244" t="str">
        <f>IF('ASIGNACIÓN ASIGNATURAS'!Y208="","",'ASIGNACIÓN ASIGNATURAS'!Y208)</f>
        <v/>
      </c>
      <c r="Q208" s="244" t="str">
        <f>IF('ASIGNACIÓN ASIGNATURAS'!Z208="","",'ASIGNACIÓN ASIGNATURAS'!Z208)</f>
        <v/>
      </c>
      <c r="R208" s="244" t="str">
        <f>IF('ASIGNACIÓN ASIGNATURAS'!AA208="","",'ASIGNACIÓN ASIGNATURAS'!AA208)</f>
        <v/>
      </c>
      <c r="S208" s="244" t="str">
        <f>IF('ASIGNACIÓN ASIGNATURAS'!AB208="","",'ASIGNACIÓN ASIGNATURAS'!AB208)</f>
        <v/>
      </c>
    </row>
    <row r="209" spans="1:19" x14ac:dyDescent="0.3">
      <c r="A209" s="290" t="str">
        <f>IF('ASIGNACIÓN ASIGNATURAS'!J209="","",'ASIGNACIÓN ASIGNATURAS'!J209)</f>
        <v/>
      </c>
      <c r="B209" s="290" t="str">
        <f>IF('ASIGNACIÓN ASIGNATURAS'!K209="","",'ASIGNACIÓN ASIGNATURAS'!K209)</f>
        <v/>
      </c>
      <c r="C209" s="290" t="str">
        <f>IF('ASIGNACIÓN ASIGNATURAS'!L209="","",'ASIGNACIÓN ASIGNATURAS'!L209)</f>
        <v/>
      </c>
      <c r="D209" s="290" t="str">
        <f>IF('ASIGNACIÓN ASIGNATURAS'!M209="","",'ASIGNACIÓN ASIGNATURAS'!M209)</f>
        <v/>
      </c>
      <c r="E209" s="290" t="str">
        <f>IF('ASIGNACIÓN ASIGNATURAS'!N209="","",'ASIGNACIÓN ASIGNATURAS'!N209)</f>
        <v/>
      </c>
      <c r="F209" s="290" t="str">
        <f>IF('ASIGNACIÓN ASIGNATURAS'!O209="","",'ASIGNACIÓN ASIGNATURAS'!O209)</f>
        <v/>
      </c>
      <c r="G209" s="290" t="str">
        <f>IF('ASIGNACIÓN ASIGNATURAS'!P209="","",'ASIGNACIÓN ASIGNATURAS'!P209)</f>
        <v/>
      </c>
      <c r="H209" s="290" t="str">
        <f>IF('ASIGNACIÓN ASIGNATURAS'!T209="","",'ASIGNACIÓN ASIGNATURAS'!T209)</f>
        <v/>
      </c>
      <c r="I209" s="290" t="str">
        <f>IF('ASIGNACIÓN ASIGNATURAS'!U209="","",'ASIGNACIÓN ASIGNATURAS'!U209)</f>
        <v/>
      </c>
      <c r="J209" s="290" t="str">
        <f>IF('ASIGNACIÓN ASIGNATURAS'!V209="","",'ASIGNACIÓN ASIGNATURAS'!V209)</f>
        <v/>
      </c>
      <c r="K209" s="301" t="str">
        <f>IF('ASIGNACIÓN ASIGNATURAS'!S209="","",'ASIGNACIÓN ASIGNATURAS'!S209)</f>
        <v/>
      </c>
      <c r="L209" s="244" t="str">
        <f>IF('ASIGNACIÓN ASIGNATURAS'!Q209="","",'ASIGNACIÓN ASIGNATURAS'!Q209)</f>
        <v/>
      </c>
      <c r="M209" s="244" t="str">
        <f>IF('ASIGNACIÓN ASIGNATURAS'!R209="","",'ASIGNACIÓN ASIGNATURAS'!R209)</f>
        <v/>
      </c>
      <c r="N209" s="244" t="str">
        <f>IF('ASIGNACIÓN ASIGNATURAS'!W209="","",'ASIGNACIÓN ASIGNATURAS'!W209)</f>
        <v/>
      </c>
      <c r="O209" s="244" t="str">
        <f>IF('ASIGNACIÓN ASIGNATURAS'!X209="","",'ASIGNACIÓN ASIGNATURAS'!X209)</f>
        <v/>
      </c>
      <c r="P209" s="244" t="str">
        <f>IF('ASIGNACIÓN ASIGNATURAS'!Y209="","",'ASIGNACIÓN ASIGNATURAS'!Y209)</f>
        <v/>
      </c>
      <c r="Q209" s="244" t="str">
        <f>IF('ASIGNACIÓN ASIGNATURAS'!Z209="","",'ASIGNACIÓN ASIGNATURAS'!Z209)</f>
        <v/>
      </c>
      <c r="R209" s="244" t="str">
        <f>IF('ASIGNACIÓN ASIGNATURAS'!AA209="","",'ASIGNACIÓN ASIGNATURAS'!AA209)</f>
        <v/>
      </c>
      <c r="S209" s="244" t="str">
        <f>IF('ASIGNACIÓN ASIGNATURAS'!AB209="","",'ASIGNACIÓN ASIGNATURAS'!AB209)</f>
        <v/>
      </c>
    </row>
    <row r="210" spans="1:19" x14ac:dyDescent="0.3">
      <c r="A210" s="290" t="str">
        <f>IF('ASIGNACIÓN ASIGNATURAS'!J210="","",'ASIGNACIÓN ASIGNATURAS'!J210)</f>
        <v/>
      </c>
      <c r="B210" s="290" t="str">
        <f>IF('ASIGNACIÓN ASIGNATURAS'!K210="","",'ASIGNACIÓN ASIGNATURAS'!K210)</f>
        <v/>
      </c>
      <c r="C210" s="290" t="str">
        <f>IF('ASIGNACIÓN ASIGNATURAS'!L210="","",'ASIGNACIÓN ASIGNATURAS'!L210)</f>
        <v/>
      </c>
      <c r="D210" s="290" t="str">
        <f>IF('ASIGNACIÓN ASIGNATURAS'!M210="","",'ASIGNACIÓN ASIGNATURAS'!M210)</f>
        <v/>
      </c>
      <c r="E210" s="290" t="str">
        <f>IF('ASIGNACIÓN ASIGNATURAS'!N210="","",'ASIGNACIÓN ASIGNATURAS'!N210)</f>
        <v/>
      </c>
      <c r="F210" s="290" t="str">
        <f>IF('ASIGNACIÓN ASIGNATURAS'!O210="","",'ASIGNACIÓN ASIGNATURAS'!O210)</f>
        <v/>
      </c>
      <c r="G210" s="290" t="str">
        <f>IF('ASIGNACIÓN ASIGNATURAS'!P210="","",'ASIGNACIÓN ASIGNATURAS'!P210)</f>
        <v/>
      </c>
      <c r="H210" s="290" t="str">
        <f>IF('ASIGNACIÓN ASIGNATURAS'!T210="","",'ASIGNACIÓN ASIGNATURAS'!T210)</f>
        <v/>
      </c>
      <c r="I210" s="290" t="str">
        <f>IF('ASIGNACIÓN ASIGNATURAS'!U210="","",'ASIGNACIÓN ASIGNATURAS'!U210)</f>
        <v/>
      </c>
      <c r="J210" s="290" t="str">
        <f>IF('ASIGNACIÓN ASIGNATURAS'!V210="","",'ASIGNACIÓN ASIGNATURAS'!V210)</f>
        <v/>
      </c>
      <c r="K210" s="301" t="str">
        <f>IF('ASIGNACIÓN ASIGNATURAS'!S210="","",'ASIGNACIÓN ASIGNATURAS'!S210)</f>
        <v/>
      </c>
      <c r="L210" s="244" t="str">
        <f>IF('ASIGNACIÓN ASIGNATURAS'!Q210="","",'ASIGNACIÓN ASIGNATURAS'!Q210)</f>
        <v/>
      </c>
      <c r="M210" s="244" t="str">
        <f>IF('ASIGNACIÓN ASIGNATURAS'!R210="","",'ASIGNACIÓN ASIGNATURAS'!R210)</f>
        <v/>
      </c>
      <c r="N210" s="244" t="str">
        <f>IF('ASIGNACIÓN ASIGNATURAS'!W210="","",'ASIGNACIÓN ASIGNATURAS'!W210)</f>
        <v/>
      </c>
      <c r="O210" s="244" t="str">
        <f>IF('ASIGNACIÓN ASIGNATURAS'!X210="","",'ASIGNACIÓN ASIGNATURAS'!X210)</f>
        <v/>
      </c>
      <c r="P210" s="244" t="str">
        <f>IF('ASIGNACIÓN ASIGNATURAS'!Y210="","",'ASIGNACIÓN ASIGNATURAS'!Y210)</f>
        <v/>
      </c>
      <c r="Q210" s="244" t="str">
        <f>IF('ASIGNACIÓN ASIGNATURAS'!Z210="","",'ASIGNACIÓN ASIGNATURAS'!Z210)</f>
        <v/>
      </c>
      <c r="R210" s="244" t="str">
        <f>IF('ASIGNACIÓN ASIGNATURAS'!AA210="","",'ASIGNACIÓN ASIGNATURAS'!AA210)</f>
        <v/>
      </c>
      <c r="S210" s="244" t="str">
        <f>IF('ASIGNACIÓN ASIGNATURAS'!AB210="","",'ASIGNACIÓN ASIGNATURAS'!AB210)</f>
        <v/>
      </c>
    </row>
    <row r="211" spans="1:19" x14ac:dyDescent="0.3">
      <c r="A211" s="290" t="str">
        <f>IF('ASIGNACIÓN ASIGNATURAS'!J211="","",'ASIGNACIÓN ASIGNATURAS'!J211)</f>
        <v/>
      </c>
      <c r="B211" s="290" t="str">
        <f>IF('ASIGNACIÓN ASIGNATURAS'!K211="","",'ASIGNACIÓN ASIGNATURAS'!K211)</f>
        <v/>
      </c>
      <c r="C211" s="290" t="str">
        <f>IF('ASIGNACIÓN ASIGNATURAS'!L211="","",'ASIGNACIÓN ASIGNATURAS'!L211)</f>
        <v/>
      </c>
      <c r="D211" s="290" t="str">
        <f>IF('ASIGNACIÓN ASIGNATURAS'!M211="","",'ASIGNACIÓN ASIGNATURAS'!M211)</f>
        <v/>
      </c>
      <c r="E211" s="290" t="str">
        <f>IF('ASIGNACIÓN ASIGNATURAS'!N211="","",'ASIGNACIÓN ASIGNATURAS'!N211)</f>
        <v/>
      </c>
      <c r="F211" s="290" t="str">
        <f>IF('ASIGNACIÓN ASIGNATURAS'!O211="","",'ASIGNACIÓN ASIGNATURAS'!O211)</f>
        <v/>
      </c>
      <c r="G211" s="290" t="str">
        <f>IF('ASIGNACIÓN ASIGNATURAS'!P211="","",'ASIGNACIÓN ASIGNATURAS'!P211)</f>
        <v/>
      </c>
      <c r="H211" s="290" t="str">
        <f>IF('ASIGNACIÓN ASIGNATURAS'!T211="","",'ASIGNACIÓN ASIGNATURAS'!T211)</f>
        <v/>
      </c>
      <c r="I211" s="290" t="str">
        <f>IF('ASIGNACIÓN ASIGNATURAS'!U211="","",'ASIGNACIÓN ASIGNATURAS'!U211)</f>
        <v/>
      </c>
      <c r="J211" s="290" t="str">
        <f>IF('ASIGNACIÓN ASIGNATURAS'!V211="","",'ASIGNACIÓN ASIGNATURAS'!V211)</f>
        <v/>
      </c>
      <c r="K211" s="301" t="str">
        <f>IF('ASIGNACIÓN ASIGNATURAS'!S211="","",'ASIGNACIÓN ASIGNATURAS'!S211)</f>
        <v/>
      </c>
      <c r="L211" s="244" t="str">
        <f>IF('ASIGNACIÓN ASIGNATURAS'!Q211="","",'ASIGNACIÓN ASIGNATURAS'!Q211)</f>
        <v/>
      </c>
      <c r="M211" s="244" t="str">
        <f>IF('ASIGNACIÓN ASIGNATURAS'!R211="","",'ASIGNACIÓN ASIGNATURAS'!R211)</f>
        <v/>
      </c>
      <c r="N211" s="244" t="str">
        <f>IF('ASIGNACIÓN ASIGNATURAS'!W211="","",'ASIGNACIÓN ASIGNATURAS'!W211)</f>
        <v/>
      </c>
      <c r="O211" s="244" t="str">
        <f>IF('ASIGNACIÓN ASIGNATURAS'!X211="","",'ASIGNACIÓN ASIGNATURAS'!X211)</f>
        <v/>
      </c>
      <c r="P211" s="244" t="str">
        <f>IF('ASIGNACIÓN ASIGNATURAS'!Y211="","",'ASIGNACIÓN ASIGNATURAS'!Y211)</f>
        <v/>
      </c>
      <c r="Q211" s="244" t="str">
        <f>IF('ASIGNACIÓN ASIGNATURAS'!Z211="","",'ASIGNACIÓN ASIGNATURAS'!Z211)</f>
        <v/>
      </c>
      <c r="R211" s="244" t="str">
        <f>IF('ASIGNACIÓN ASIGNATURAS'!AA211="","",'ASIGNACIÓN ASIGNATURAS'!AA211)</f>
        <v/>
      </c>
      <c r="S211" s="244" t="str">
        <f>IF('ASIGNACIÓN ASIGNATURAS'!AB211="","",'ASIGNACIÓN ASIGNATURAS'!AB211)</f>
        <v/>
      </c>
    </row>
    <row r="212" spans="1:19" x14ac:dyDescent="0.3">
      <c r="A212" s="290" t="str">
        <f>IF('ASIGNACIÓN ASIGNATURAS'!J212="","",'ASIGNACIÓN ASIGNATURAS'!J212)</f>
        <v/>
      </c>
      <c r="B212" s="290" t="str">
        <f>IF('ASIGNACIÓN ASIGNATURAS'!K212="","",'ASIGNACIÓN ASIGNATURAS'!K212)</f>
        <v/>
      </c>
      <c r="C212" s="290" t="str">
        <f>IF('ASIGNACIÓN ASIGNATURAS'!L212="","",'ASIGNACIÓN ASIGNATURAS'!L212)</f>
        <v/>
      </c>
      <c r="D212" s="290" t="str">
        <f>IF('ASIGNACIÓN ASIGNATURAS'!M212="","",'ASIGNACIÓN ASIGNATURAS'!M212)</f>
        <v/>
      </c>
      <c r="E212" s="290" t="str">
        <f>IF('ASIGNACIÓN ASIGNATURAS'!N212="","",'ASIGNACIÓN ASIGNATURAS'!N212)</f>
        <v/>
      </c>
      <c r="F212" s="290" t="str">
        <f>IF('ASIGNACIÓN ASIGNATURAS'!O212="","",'ASIGNACIÓN ASIGNATURAS'!O212)</f>
        <v/>
      </c>
      <c r="G212" s="290" t="str">
        <f>IF('ASIGNACIÓN ASIGNATURAS'!P212="","",'ASIGNACIÓN ASIGNATURAS'!P212)</f>
        <v/>
      </c>
      <c r="H212" s="290" t="str">
        <f>IF('ASIGNACIÓN ASIGNATURAS'!T212="","",'ASIGNACIÓN ASIGNATURAS'!T212)</f>
        <v/>
      </c>
      <c r="I212" s="290" t="str">
        <f>IF('ASIGNACIÓN ASIGNATURAS'!U212="","",'ASIGNACIÓN ASIGNATURAS'!U212)</f>
        <v/>
      </c>
      <c r="J212" s="290" t="str">
        <f>IF('ASIGNACIÓN ASIGNATURAS'!V212="","",'ASIGNACIÓN ASIGNATURAS'!V212)</f>
        <v/>
      </c>
      <c r="K212" s="301" t="str">
        <f>IF('ASIGNACIÓN ASIGNATURAS'!S212="","",'ASIGNACIÓN ASIGNATURAS'!S212)</f>
        <v/>
      </c>
      <c r="L212" s="244" t="str">
        <f>IF('ASIGNACIÓN ASIGNATURAS'!Q212="","",'ASIGNACIÓN ASIGNATURAS'!Q212)</f>
        <v/>
      </c>
      <c r="M212" s="244" t="str">
        <f>IF('ASIGNACIÓN ASIGNATURAS'!R212="","",'ASIGNACIÓN ASIGNATURAS'!R212)</f>
        <v/>
      </c>
      <c r="N212" s="244" t="str">
        <f>IF('ASIGNACIÓN ASIGNATURAS'!W212="","",'ASIGNACIÓN ASIGNATURAS'!W212)</f>
        <v/>
      </c>
      <c r="O212" s="244" t="str">
        <f>IF('ASIGNACIÓN ASIGNATURAS'!X212="","",'ASIGNACIÓN ASIGNATURAS'!X212)</f>
        <v/>
      </c>
      <c r="P212" s="244" t="str">
        <f>IF('ASIGNACIÓN ASIGNATURAS'!Y212="","",'ASIGNACIÓN ASIGNATURAS'!Y212)</f>
        <v/>
      </c>
      <c r="Q212" s="244" t="str">
        <f>IF('ASIGNACIÓN ASIGNATURAS'!Z212="","",'ASIGNACIÓN ASIGNATURAS'!Z212)</f>
        <v/>
      </c>
      <c r="R212" s="244" t="str">
        <f>IF('ASIGNACIÓN ASIGNATURAS'!AA212="","",'ASIGNACIÓN ASIGNATURAS'!AA212)</f>
        <v/>
      </c>
      <c r="S212" s="244" t="str">
        <f>IF('ASIGNACIÓN ASIGNATURAS'!AB212="","",'ASIGNACIÓN ASIGNATURAS'!AB212)</f>
        <v/>
      </c>
    </row>
    <row r="213" spans="1:19" x14ac:dyDescent="0.3">
      <c r="A213" s="290" t="str">
        <f>IF('ASIGNACIÓN ASIGNATURAS'!J213="","",'ASIGNACIÓN ASIGNATURAS'!J213)</f>
        <v/>
      </c>
      <c r="B213" s="290" t="str">
        <f>IF('ASIGNACIÓN ASIGNATURAS'!K213="","",'ASIGNACIÓN ASIGNATURAS'!K213)</f>
        <v/>
      </c>
      <c r="C213" s="290" t="str">
        <f>IF('ASIGNACIÓN ASIGNATURAS'!L213="","",'ASIGNACIÓN ASIGNATURAS'!L213)</f>
        <v/>
      </c>
      <c r="D213" s="290" t="str">
        <f>IF('ASIGNACIÓN ASIGNATURAS'!M213="","",'ASIGNACIÓN ASIGNATURAS'!M213)</f>
        <v/>
      </c>
      <c r="E213" s="290" t="str">
        <f>IF('ASIGNACIÓN ASIGNATURAS'!N213="","",'ASIGNACIÓN ASIGNATURAS'!N213)</f>
        <v/>
      </c>
      <c r="F213" s="290" t="str">
        <f>IF('ASIGNACIÓN ASIGNATURAS'!O213="","",'ASIGNACIÓN ASIGNATURAS'!O213)</f>
        <v/>
      </c>
      <c r="G213" s="290" t="str">
        <f>IF('ASIGNACIÓN ASIGNATURAS'!P213="","",'ASIGNACIÓN ASIGNATURAS'!P213)</f>
        <v/>
      </c>
      <c r="H213" s="290" t="str">
        <f>IF('ASIGNACIÓN ASIGNATURAS'!T213="","",'ASIGNACIÓN ASIGNATURAS'!T213)</f>
        <v/>
      </c>
      <c r="I213" s="290" t="str">
        <f>IF('ASIGNACIÓN ASIGNATURAS'!U213="","",'ASIGNACIÓN ASIGNATURAS'!U213)</f>
        <v/>
      </c>
      <c r="J213" s="290" t="str">
        <f>IF('ASIGNACIÓN ASIGNATURAS'!V213="","",'ASIGNACIÓN ASIGNATURAS'!V213)</f>
        <v/>
      </c>
      <c r="K213" s="301" t="str">
        <f>IF('ASIGNACIÓN ASIGNATURAS'!S213="","",'ASIGNACIÓN ASIGNATURAS'!S213)</f>
        <v/>
      </c>
      <c r="L213" s="244" t="str">
        <f>IF('ASIGNACIÓN ASIGNATURAS'!Q213="","",'ASIGNACIÓN ASIGNATURAS'!Q213)</f>
        <v/>
      </c>
      <c r="M213" s="244" t="str">
        <f>IF('ASIGNACIÓN ASIGNATURAS'!R213="","",'ASIGNACIÓN ASIGNATURAS'!R213)</f>
        <v/>
      </c>
      <c r="N213" s="244" t="str">
        <f>IF('ASIGNACIÓN ASIGNATURAS'!W213="","",'ASIGNACIÓN ASIGNATURAS'!W213)</f>
        <v/>
      </c>
      <c r="O213" s="244" t="str">
        <f>IF('ASIGNACIÓN ASIGNATURAS'!X213="","",'ASIGNACIÓN ASIGNATURAS'!X213)</f>
        <v/>
      </c>
      <c r="P213" s="244" t="str">
        <f>IF('ASIGNACIÓN ASIGNATURAS'!Y213="","",'ASIGNACIÓN ASIGNATURAS'!Y213)</f>
        <v/>
      </c>
      <c r="Q213" s="244" t="str">
        <f>IF('ASIGNACIÓN ASIGNATURAS'!Z213="","",'ASIGNACIÓN ASIGNATURAS'!Z213)</f>
        <v/>
      </c>
      <c r="R213" s="244" t="str">
        <f>IF('ASIGNACIÓN ASIGNATURAS'!AA213="","",'ASIGNACIÓN ASIGNATURAS'!AA213)</f>
        <v/>
      </c>
      <c r="S213" s="244" t="str">
        <f>IF('ASIGNACIÓN ASIGNATURAS'!AB213="","",'ASIGNACIÓN ASIGNATURAS'!AB213)</f>
        <v/>
      </c>
    </row>
    <row r="214" spans="1:19" x14ac:dyDescent="0.3">
      <c r="A214" s="290" t="str">
        <f>IF('ASIGNACIÓN ASIGNATURAS'!J214="","",'ASIGNACIÓN ASIGNATURAS'!J214)</f>
        <v/>
      </c>
      <c r="B214" s="290" t="str">
        <f>IF('ASIGNACIÓN ASIGNATURAS'!K214="","",'ASIGNACIÓN ASIGNATURAS'!K214)</f>
        <v/>
      </c>
      <c r="C214" s="290" t="str">
        <f>IF('ASIGNACIÓN ASIGNATURAS'!L214="","",'ASIGNACIÓN ASIGNATURAS'!L214)</f>
        <v/>
      </c>
      <c r="D214" s="290" t="str">
        <f>IF('ASIGNACIÓN ASIGNATURAS'!M214="","",'ASIGNACIÓN ASIGNATURAS'!M214)</f>
        <v/>
      </c>
      <c r="E214" s="290" t="str">
        <f>IF('ASIGNACIÓN ASIGNATURAS'!N214="","",'ASIGNACIÓN ASIGNATURAS'!N214)</f>
        <v/>
      </c>
      <c r="F214" s="290" t="str">
        <f>IF('ASIGNACIÓN ASIGNATURAS'!O214="","",'ASIGNACIÓN ASIGNATURAS'!O214)</f>
        <v/>
      </c>
      <c r="G214" s="290" t="str">
        <f>IF('ASIGNACIÓN ASIGNATURAS'!P214="","",'ASIGNACIÓN ASIGNATURAS'!P214)</f>
        <v/>
      </c>
      <c r="H214" s="290" t="str">
        <f>IF('ASIGNACIÓN ASIGNATURAS'!T214="","",'ASIGNACIÓN ASIGNATURAS'!T214)</f>
        <v/>
      </c>
      <c r="I214" s="290" t="str">
        <f>IF('ASIGNACIÓN ASIGNATURAS'!U214="","",'ASIGNACIÓN ASIGNATURAS'!U214)</f>
        <v/>
      </c>
      <c r="J214" s="290" t="str">
        <f>IF('ASIGNACIÓN ASIGNATURAS'!V214="","",'ASIGNACIÓN ASIGNATURAS'!V214)</f>
        <v/>
      </c>
      <c r="K214" s="301" t="str">
        <f>IF('ASIGNACIÓN ASIGNATURAS'!S214="","",'ASIGNACIÓN ASIGNATURAS'!S214)</f>
        <v/>
      </c>
      <c r="L214" s="244" t="str">
        <f>IF('ASIGNACIÓN ASIGNATURAS'!Q214="","",'ASIGNACIÓN ASIGNATURAS'!Q214)</f>
        <v/>
      </c>
      <c r="M214" s="244" t="str">
        <f>IF('ASIGNACIÓN ASIGNATURAS'!R214="","",'ASIGNACIÓN ASIGNATURAS'!R214)</f>
        <v/>
      </c>
      <c r="N214" s="244" t="str">
        <f>IF('ASIGNACIÓN ASIGNATURAS'!W214="","",'ASIGNACIÓN ASIGNATURAS'!W214)</f>
        <v/>
      </c>
      <c r="O214" s="244" t="str">
        <f>IF('ASIGNACIÓN ASIGNATURAS'!X214="","",'ASIGNACIÓN ASIGNATURAS'!X214)</f>
        <v/>
      </c>
      <c r="P214" s="244" t="str">
        <f>IF('ASIGNACIÓN ASIGNATURAS'!Y214="","",'ASIGNACIÓN ASIGNATURAS'!Y214)</f>
        <v/>
      </c>
      <c r="Q214" s="244" t="str">
        <f>IF('ASIGNACIÓN ASIGNATURAS'!Z214="","",'ASIGNACIÓN ASIGNATURAS'!Z214)</f>
        <v/>
      </c>
      <c r="R214" s="244" t="str">
        <f>IF('ASIGNACIÓN ASIGNATURAS'!AA214="","",'ASIGNACIÓN ASIGNATURAS'!AA214)</f>
        <v/>
      </c>
      <c r="S214" s="244" t="str">
        <f>IF('ASIGNACIÓN ASIGNATURAS'!AB214="","",'ASIGNACIÓN ASIGNATURAS'!AB214)</f>
        <v/>
      </c>
    </row>
    <row r="215" spans="1:19" x14ac:dyDescent="0.3">
      <c r="A215" s="290" t="str">
        <f>IF('ASIGNACIÓN ASIGNATURAS'!J215="","",'ASIGNACIÓN ASIGNATURAS'!J215)</f>
        <v/>
      </c>
      <c r="B215" s="290" t="str">
        <f>IF('ASIGNACIÓN ASIGNATURAS'!K215="","",'ASIGNACIÓN ASIGNATURAS'!K215)</f>
        <v/>
      </c>
      <c r="C215" s="290" t="str">
        <f>IF('ASIGNACIÓN ASIGNATURAS'!L215="","",'ASIGNACIÓN ASIGNATURAS'!L215)</f>
        <v/>
      </c>
      <c r="D215" s="290" t="str">
        <f>IF('ASIGNACIÓN ASIGNATURAS'!M215="","",'ASIGNACIÓN ASIGNATURAS'!M215)</f>
        <v/>
      </c>
      <c r="E215" s="290" t="str">
        <f>IF('ASIGNACIÓN ASIGNATURAS'!N215="","",'ASIGNACIÓN ASIGNATURAS'!N215)</f>
        <v/>
      </c>
      <c r="F215" s="290" t="str">
        <f>IF('ASIGNACIÓN ASIGNATURAS'!O215="","",'ASIGNACIÓN ASIGNATURAS'!O215)</f>
        <v/>
      </c>
      <c r="G215" s="290" t="str">
        <f>IF('ASIGNACIÓN ASIGNATURAS'!P215="","",'ASIGNACIÓN ASIGNATURAS'!P215)</f>
        <v/>
      </c>
      <c r="H215" s="290" t="str">
        <f>IF('ASIGNACIÓN ASIGNATURAS'!T215="","",'ASIGNACIÓN ASIGNATURAS'!T215)</f>
        <v/>
      </c>
      <c r="I215" s="290" t="str">
        <f>IF('ASIGNACIÓN ASIGNATURAS'!U215="","",'ASIGNACIÓN ASIGNATURAS'!U215)</f>
        <v/>
      </c>
      <c r="J215" s="290" t="str">
        <f>IF('ASIGNACIÓN ASIGNATURAS'!V215="","",'ASIGNACIÓN ASIGNATURAS'!V215)</f>
        <v/>
      </c>
      <c r="K215" s="301" t="str">
        <f>IF('ASIGNACIÓN ASIGNATURAS'!S215="","",'ASIGNACIÓN ASIGNATURAS'!S215)</f>
        <v/>
      </c>
      <c r="L215" s="244" t="str">
        <f>IF('ASIGNACIÓN ASIGNATURAS'!Q215="","",'ASIGNACIÓN ASIGNATURAS'!Q215)</f>
        <v/>
      </c>
      <c r="M215" s="244" t="str">
        <f>IF('ASIGNACIÓN ASIGNATURAS'!R215="","",'ASIGNACIÓN ASIGNATURAS'!R215)</f>
        <v/>
      </c>
      <c r="N215" s="244" t="str">
        <f>IF('ASIGNACIÓN ASIGNATURAS'!W215="","",'ASIGNACIÓN ASIGNATURAS'!W215)</f>
        <v/>
      </c>
      <c r="O215" s="244" t="str">
        <f>IF('ASIGNACIÓN ASIGNATURAS'!X215="","",'ASIGNACIÓN ASIGNATURAS'!X215)</f>
        <v/>
      </c>
      <c r="P215" s="244" t="str">
        <f>IF('ASIGNACIÓN ASIGNATURAS'!Y215="","",'ASIGNACIÓN ASIGNATURAS'!Y215)</f>
        <v/>
      </c>
      <c r="Q215" s="244" t="str">
        <f>IF('ASIGNACIÓN ASIGNATURAS'!Z215="","",'ASIGNACIÓN ASIGNATURAS'!Z215)</f>
        <v/>
      </c>
      <c r="R215" s="244" t="str">
        <f>IF('ASIGNACIÓN ASIGNATURAS'!AA215="","",'ASIGNACIÓN ASIGNATURAS'!AA215)</f>
        <v/>
      </c>
      <c r="S215" s="244" t="str">
        <f>IF('ASIGNACIÓN ASIGNATURAS'!AB215="","",'ASIGNACIÓN ASIGNATURAS'!AB215)</f>
        <v/>
      </c>
    </row>
    <row r="216" spans="1:19" x14ac:dyDescent="0.3">
      <c r="A216" s="290" t="str">
        <f>IF('ASIGNACIÓN ASIGNATURAS'!J216="","",'ASIGNACIÓN ASIGNATURAS'!J216)</f>
        <v/>
      </c>
      <c r="B216" s="290" t="str">
        <f>IF('ASIGNACIÓN ASIGNATURAS'!K216="","",'ASIGNACIÓN ASIGNATURAS'!K216)</f>
        <v/>
      </c>
      <c r="C216" s="290" t="str">
        <f>IF('ASIGNACIÓN ASIGNATURAS'!L216="","",'ASIGNACIÓN ASIGNATURAS'!L216)</f>
        <v/>
      </c>
      <c r="D216" s="290" t="str">
        <f>IF('ASIGNACIÓN ASIGNATURAS'!M216="","",'ASIGNACIÓN ASIGNATURAS'!M216)</f>
        <v/>
      </c>
      <c r="E216" s="290" t="str">
        <f>IF('ASIGNACIÓN ASIGNATURAS'!N216="","",'ASIGNACIÓN ASIGNATURAS'!N216)</f>
        <v/>
      </c>
      <c r="F216" s="290" t="str">
        <f>IF('ASIGNACIÓN ASIGNATURAS'!O216="","",'ASIGNACIÓN ASIGNATURAS'!O216)</f>
        <v/>
      </c>
      <c r="G216" s="290" t="str">
        <f>IF('ASIGNACIÓN ASIGNATURAS'!P216="","",'ASIGNACIÓN ASIGNATURAS'!P216)</f>
        <v/>
      </c>
      <c r="H216" s="290" t="str">
        <f>IF('ASIGNACIÓN ASIGNATURAS'!T216="","",'ASIGNACIÓN ASIGNATURAS'!T216)</f>
        <v/>
      </c>
      <c r="I216" s="290" t="str">
        <f>IF('ASIGNACIÓN ASIGNATURAS'!U216="","",'ASIGNACIÓN ASIGNATURAS'!U216)</f>
        <v/>
      </c>
      <c r="J216" s="290" t="str">
        <f>IF('ASIGNACIÓN ASIGNATURAS'!V216="","",'ASIGNACIÓN ASIGNATURAS'!V216)</f>
        <v/>
      </c>
      <c r="K216" s="301" t="str">
        <f>IF('ASIGNACIÓN ASIGNATURAS'!S216="","",'ASIGNACIÓN ASIGNATURAS'!S216)</f>
        <v/>
      </c>
      <c r="L216" s="244" t="str">
        <f>IF('ASIGNACIÓN ASIGNATURAS'!Q216="","",'ASIGNACIÓN ASIGNATURAS'!Q216)</f>
        <v/>
      </c>
      <c r="M216" s="244" t="str">
        <f>IF('ASIGNACIÓN ASIGNATURAS'!R216="","",'ASIGNACIÓN ASIGNATURAS'!R216)</f>
        <v/>
      </c>
      <c r="N216" s="244" t="str">
        <f>IF('ASIGNACIÓN ASIGNATURAS'!W216="","",'ASIGNACIÓN ASIGNATURAS'!W216)</f>
        <v/>
      </c>
      <c r="O216" s="244" t="str">
        <f>IF('ASIGNACIÓN ASIGNATURAS'!X216="","",'ASIGNACIÓN ASIGNATURAS'!X216)</f>
        <v/>
      </c>
      <c r="P216" s="244" t="str">
        <f>IF('ASIGNACIÓN ASIGNATURAS'!Y216="","",'ASIGNACIÓN ASIGNATURAS'!Y216)</f>
        <v/>
      </c>
      <c r="Q216" s="244" t="str">
        <f>IF('ASIGNACIÓN ASIGNATURAS'!Z216="","",'ASIGNACIÓN ASIGNATURAS'!Z216)</f>
        <v/>
      </c>
      <c r="R216" s="244" t="str">
        <f>IF('ASIGNACIÓN ASIGNATURAS'!AA216="","",'ASIGNACIÓN ASIGNATURAS'!AA216)</f>
        <v/>
      </c>
      <c r="S216" s="244" t="str">
        <f>IF('ASIGNACIÓN ASIGNATURAS'!AB216="","",'ASIGNACIÓN ASIGNATURAS'!AB216)</f>
        <v/>
      </c>
    </row>
    <row r="217" spans="1:19" x14ac:dyDescent="0.3">
      <c r="A217" s="290" t="str">
        <f>IF('ASIGNACIÓN ASIGNATURAS'!J217="","",'ASIGNACIÓN ASIGNATURAS'!J217)</f>
        <v/>
      </c>
      <c r="B217" s="290" t="str">
        <f>IF('ASIGNACIÓN ASIGNATURAS'!K217="","",'ASIGNACIÓN ASIGNATURAS'!K217)</f>
        <v/>
      </c>
      <c r="C217" s="290" t="str">
        <f>IF('ASIGNACIÓN ASIGNATURAS'!L217="","",'ASIGNACIÓN ASIGNATURAS'!L217)</f>
        <v/>
      </c>
      <c r="D217" s="290" t="str">
        <f>IF('ASIGNACIÓN ASIGNATURAS'!M217="","",'ASIGNACIÓN ASIGNATURAS'!M217)</f>
        <v/>
      </c>
      <c r="E217" s="290" t="str">
        <f>IF('ASIGNACIÓN ASIGNATURAS'!N217="","",'ASIGNACIÓN ASIGNATURAS'!N217)</f>
        <v/>
      </c>
      <c r="F217" s="290" t="str">
        <f>IF('ASIGNACIÓN ASIGNATURAS'!O217="","",'ASIGNACIÓN ASIGNATURAS'!O217)</f>
        <v/>
      </c>
      <c r="G217" s="290" t="str">
        <f>IF('ASIGNACIÓN ASIGNATURAS'!P217="","",'ASIGNACIÓN ASIGNATURAS'!P217)</f>
        <v/>
      </c>
      <c r="H217" s="290" t="str">
        <f>IF('ASIGNACIÓN ASIGNATURAS'!T217="","",'ASIGNACIÓN ASIGNATURAS'!T217)</f>
        <v/>
      </c>
      <c r="I217" s="290" t="str">
        <f>IF('ASIGNACIÓN ASIGNATURAS'!U217="","",'ASIGNACIÓN ASIGNATURAS'!U217)</f>
        <v/>
      </c>
      <c r="J217" s="290" t="str">
        <f>IF('ASIGNACIÓN ASIGNATURAS'!V217="","",'ASIGNACIÓN ASIGNATURAS'!V217)</f>
        <v/>
      </c>
      <c r="K217" s="301" t="str">
        <f>IF('ASIGNACIÓN ASIGNATURAS'!S217="","",'ASIGNACIÓN ASIGNATURAS'!S217)</f>
        <v/>
      </c>
      <c r="L217" s="244" t="str">
        <f>IF('ASIGNACIÓN ASIGNATURAS'!Q217="","",'ASIGNACIÓN ASIGNATURAS'!Q217)</f>
        <v/>
      </c>
      <c r="M217" s="244" t="str">
        <f>IF('ASIGNACIÓN ASIGNATURAS'!R217="","",'ASIGNACIÓN ASIGNATURAS'!R217)</f>
        <v/>
      </c>
      <c r="N217" s="244" t="str">
        <f>IF('ASIGNACIÓN ASIGNATURAS'!W217="","",'ASIGNACIÓN ASIGNATURAS'!W217)</f>
        <v/>
      </c>
      <c r="O217" s="244" t="str">
        <f>IF('ASIGNACIÓN ASIGNATURAS'!X217="","",'ASIGNACIÓN ASIGNATURAS'!X217)</f>
        <v/>
      </c>
      <c r="P217" s="244" t="str">
        <f>IF('ASIGNACIÓN ASIGNATURAS'!Y217="","",'ASIGNACIÓN ASIGNATURAS'!Y217)</f>
        <v/>
      </c>
      <c r="Q217" s="244" t="str">
        <f>IF('ASIGNACIÓN ASIGNATURAS'!Z217="","",'ASIGNACIÓN ASIGNATURAS'!Z217)</f>
        <v/>
      </c>
      <c r="R217" s="244" t="str">
        <f>IF('ASIGNACIÓN ASIGNATURAS'!AA217="","",'ASIGNACIÓN ASIGNATURAS'!AA217)</f>
        <v/>
      </c>
      <c r="S217" s="244" t="str">
        <f>IF('ASIGNACIÓN ASIGNATURAS'!AB217="","",'ASIGNACIÓN ASIGNATURAS'!AB217)</f>
        <v/>
      </c>
    </row>
    <row r="218" spans="1:19" x14ac:dyDescent="0.3">
      <c r="A218" s="290" t="str">
        <f>IF('ASIGNACIÓN ASIGNATURAS'!J218="","",'ASIGNACIÓN ASIGNATURAS'!J218)</f>
        <v/>
      </c>
      <c r="B218" s="290" t="str">
        <f>IF('ASIGNACIÓN ASIGNATURAS'!K218="","",'ASIGNACIÓN ASIGNATURAS'!K218)</f>
        <v/>
      </c>
      <c r="C218" s="290" t="str">
        <f>IF('ASIGNACIÓN ASIGNATURAS'!L218="","",'ASIGNACIÓN ASIGNATURAS'!L218)</f>
        <v/>
      </c>
      <c r="D218" s="290" t="str">
        <f>IF('ASIGNACIÓN ASIGNATURAS'!M218="","",'ASIGNACIÓN ASIGNATURAS'!M218)</f>
        <v/>
      </c>
      <c r="E218" s="290" t="str">
        <f>IF('ASIGNACIÓN ASIGNATURAS'!N218="","",'ASIGNACIÓN ASIGNATURAS'!N218)</f>
        <v/>
      </c>
      <c r="F218" s="290" t="str">
        <f>IF('ASIGNACIÓN ASIGNATURAS'!O218="","",'ASIGNACIÓN ASIGNATURAS'!O218)</f>
        <v/>
      </c>
      <c r="G218" s="290" t="str">
        <f>IF('ASIGNACIÓN ASIGNATURAS'!P218="","",'ASIGNACIÓN ASIGNATURAS'!P218)</f>
        <v/>
      </c>
      <c r="H218" s="290" t="str">
        <f>IF('ASIGNACIÓN ASIGNATURAS'!T218="","",'ASIGNACIÓN ASIGNATURAS'!T218)</f>
        <v/>
      </c>
      <c r="I218" s="290" t="str">
        <f>IF('ASIGNACIÓN ASIGNATURAS'!U218="","",'ASIGNACIÓN ASIGNATURAS'!U218)</f>
        <v/>
      </c>
      <c r="J218" s="290" t="str">
        <f>IF('ASIGNACIÓN ASIGNATURAS'!V218="","",'ASIGNACIÓN ASIGNATURAS'!V218)</f>
        <v/>
      </c>
      <c r="K218" s="301" t="str">
        <f>IF('ASIGNACIÓN ASIGNATURAS'!S218="","",'ASIGNACIÓN ASIGNATURAS'!S218)</f>
        <v/>
      </c>
      <c r="L218" s="244" t="str">
        <f>IF('ASIGNACIÓN ASIGNATURAS'!Q218="","",'ASIGNACIÓN ASIGNATURAS'!Q218)</f>
        <v/>
      </c>
      <c r="M218" s="244" t="str">
        <f>IF('ASIGNACIÓN ASIGNATURAS'!R218="","",'ASIGNACIÓN ASIGNATURAS'!R218)</f>
        <v/>
      </c>
      <c r="N218" s="244" t="str">
        <f>IF('ASIGNACIÓN ASIGNATURAS'!W218="","",'ASIGNACIÓN ASIGNATURAS'!W218)</f>
        <v/>
      </c>
      <c r="O218" s="244" t="str">
        <f>IF('ASIGNACIÓN ASIGNATURAS'!X218="","",'ASIGNACIÓN ASIGNATURAS'!X218)</f>
        <v/>
      </c>
      <c r="P218" s="244" t="str">
        <f>IF('ASIGNACIÓN ASIGNATURAS'!Y218="","",'ASIGNACIÓN ASIGNATURAS'!Y218)</f>
        <v/>
      </c>
      <c r="Q218" s="244" t="str">
        <f>IF('ASIGNACIÓN ASIGNATURAS'!Z218="","",'ASIGNACIÓN ASIGNATURAS'!Z218)</f>
        <v/>
      </c>
      <c r="R218" s="244" t="str">
        <f>IF('ASIGNACIÓN ASIGNATURAS'!AA218="","",'ASIGNACIÓN ASIGNATURAS'!AA218)</f>
        <v/>
      </c>
      <c r="S218" s="244" t="str">
        <f>IF('ASIGNACIÓN ASIGNATURAS'!AB218="","",'ASIGNACIÓN ASIGNATURAS'!AB218)</f>
        <v/>
      </c>
    </row>
    <row r="219" spans="1:19" x14ac:dyDescent="0.3">
      <c r="A219" s="290" t="str">
        <f>IF('ASIGNACIÓN ASIGNATURAS'!J219="","",'ASIGNACIÓN ASIGNATURAS'!J219)</f>
        <v/>
      </c>
      <c r="B219" s="290" t="str">
        <f>IF('ASIGNACIÓN ASIGNATURAS'!K219="","",'ASIGNACIÓN ASIGNATURAS'!K219)</f>
        <v/>
      </c>
      <c r="C219" s="290" t="str">
        <f>IF('ASIGNACIÓN ASIGNATURAS'!L219="","",'ASIGNACIÓN ASIGNATURAS'!L219)</f>
        <v/>
      </c>
      <c r="D219" s="290" t="str">
        <f>IF('ASIGNACIÓN ASIGNATURAS'!M219="","",'ASIGNACIÓN ASIGNATURAS'!M219)</f>
        <v/>
      </c>
      <c r="E219" s="290" t="str">
        <f>IF('ASIGNACIÓN ASIGNATURAS'!N219="","",'ASIGNACIÓN ASIGNATURAS'!N219)</f>
        <v/>
      </c>
      <c r="F219" s="290" t="str">
        <f>IF('ASIGNACIÓN ASIGNATURAS'!O219="","",'ASIGNACIÓN ASIGNATURAS'!O219)</f>
        <v/>
      </c>
      <c r="G219" s="290" t="str">
        <f>IF('ASIGNACIÓN ASIGNATURAS'!P219="","",'ASIGNACIÓN ASIGNATURAS'!P219)</f>
        <v/>
      </c>
      <c r="H219" s="290" t="str">
        <f>IF('ASIGNACIÓN ASIGNATURAS'!T219="","",'ASIGNACIÓN ASIGNATURAS'!T219)</f>
        <v/>
      </c>
      <c r="I219" s="290" t="str">
        <f>IF('ASIGNACIÓN ASIGNATURAS'!U219="","",'ASIGNACIÓN ASIGNATURAS'!U219)</f>
        <v/>
      </c>
      <c r="J219" s="290" t="str">
        <f>IF('ASIGNACIÓN ASIGNATURAS'!V219="","",'ASIGNACIÓN ASIGNATURAS'!V219)</f>
        <v/>
      </c>
      <c r="K219" s="301" t="str">
        <f>IF('ASIGNACIÓN ASIGNATURAS'!S219="","",'ASIGNACIÓN ASIGNATURAS'!S219)</f>
        <v/>
      </c>
      <c r="L219" s="244" t="str">
        <f>IF('ASIGNACIÓN ASIGNATURAS'!Q219="","",'ASIGNACIÓN ASIGNATURAS'!Q219)</f>
        <v/>
      </c>
      <c r="M219" s="244" t="str">
        <f>IF('ASIGNACIÓN ASIGNATURAS'!R219="","",'ASIGNACIÓN ASIGNATURAS'!R219)</f>
        <v/>
      </c>
      <c r="N219" s="244" t="str">
        <f>IF('ASIGNACIÓN ASIGNATURAS'!W219="","",'ASIGNACIÓN ASIGNATURAS'!W219)</f>
        <v/>
      </c>
      <c r="O219" s="244" t="str">
        <f>IF('ASIGNACIÓN ASIGNATURAS'!X219="","",'ASIGNACIÓN ASIGNATURAS'!X219)</f>
        <v/>
      </c>
      <c r="P219" s="244" t="str">
        <f>IF('ASIGNACIÓN ASIGNATURAS'!Y219="","",'ASIGNACIÓN ASIGNATURAS'!Y219)</f>
        <v/>
      </c>
      <c r="Q219" s="244" t="str">
        <f>IF('ASIGNACIÓN ASIGNATURAS'!Z219="","",'ASIGNACIÓN ASIGNATURAS'!Z219)</f>
        <v/>
      </c>
      <c r="R219" s="244" t="str">
        <f>IF('ASIGNACIÓN ASIGNATURAS'!AA219="","",'ASIGNACIÓN ASIGNATURAS'!AA219)</f>
        <v/>
      </c>
      <c r="S219" s="244" t="str">
        <f>IF('ASIGNACIÓN ASIGNATURAS'!AB219="","",'ASIGNACIÓN ASIGNATURAS'!AB219)</f>
        <v/>
      </c>
    </row>
    <row r="220" spans="1:19" x14ac:dyDescent="0.3">
      <c r="A220" s="290" t="str">
        <f>IF('ASIGNACIÓN ASIGNATURAS'!J220="","",'ASIGNACIÓN ASIGNATURAS'!J220)</f>
        <v/>
      </c>
      <c r="B220" s="290" t="str">
        <f>IF('ASIGNACIÓN ASIGNATURAS'!K220="","",'ASIGNACIÓN ASIGNATURAS'!K220)</f>
        <v/>
      </c>
      <c r="C220" s="290" t="str">
        <f>IF('ASIGNACIÓN ASIGNATURAS'!L220="","",'ASIGNACIÓN ASIGNATURAS'!L220)</f>
        <v/>
      </c>
      <c r="D220" s="290" t="str">
        <f>IF('ASIGNACIÓN ASIGNATURAS'!M220="","",'ASIGNACIÓN ASIGNATURAS'!M220)</f>
        <v/>
      </c>
      <c r="E220" s="290" t="str">
        <f>IF('ASIGNACIÓN ASIGNATURAS'!N220="","",'ASIGNACIÓN ASIGNATURAS'!N220)</f>
        <v/>
      </c>
      <c r="F220" s="290" t="str">
        <f>IF('ASIGNACIÓN ASIGNATURAS'!O220="","",'ASIGNACIÓN ASIGNATURAS'!O220)</f>
        <v/>
      </c>
      <c r="G220" s="290" t="str">
        <f>IF('ASIGNACIÓN ASIGNATURAS'!P220="","",'ASIGNACIÓN ASIGNATURAS'!P220)</f>
        <v/>
      </c>
      <c r="H220" s="290" t="str">
        <f>IF('ASIGNACIÓN ASIGNATURAS'!T220="","",'ASIGNACIÓN ASIGNATURAS'!T220)</f>
        <v/>
      </c>
      <c r="I220" s="290" t="str">
        <f>IF('ASIGNACIÓN ASIGNATURAS'!U220="","",'ASIGNACIÓN ASIGNATURAS'!U220)</f>
        <v/>
      </c>
      <c r="J220" s="290" t="str">
        <f>IF('ASIGNACIÓN ASIGNATURAS'!V220="","",'ASIGNACIÓN ASIGNATURAS'!V220)</f>
        <v/>
      </c>
      <c r="K220" s="301" t="str">
        <f>IF('ASIGNACIÓN ASIGNATURAS'!S220="","",'ASIGNACIÓN ASIGNATURAS'!S220)</f>
        <v/>
      </c>
      <c r="L220" s="244" t="str">
        <f>IF('ASIGNACIÓN ASIGNATURAS'!Q220="","",'ASIGNACIÓN ASIGNATURAS'!Q220)</f>
        <v/>
      </c>
      <c r="M220" s="244" t="str">
        <f>IF('ASIGNACIÓN ASIGNATURAS'!R220="","",'ASIGNACIÓN ASIGNATURAS'!R220)</f>
        <v/>
      </c>
      <c r="N220" s="244" t="str">
        <f>IF('ASIGNACIÓN ASIGNATURAS'!W220="","",'ASIGNACIÓN ASIGNATURAS'!W220)</f>
        <v/>
      </c>
      <c r="O220" s="244" t="str">
        <f>IF('ASIGNACIÓN ASIGNATURAS'!X220="","",'ASIGNACIÓN ASIGNATURAS'!X220)</f>
        <v/>
      </c>
      <c r="P220" s="244" t="str">
        <f>IF('ASIGNACIÓN ASIGNATURAS'!Y220="","",'ASIGNACIÓN ASIGNATURAS'!Y220)</f>
        <v/>
      </c>
      <c r="Q220" s="244" t="str">
        <f>IF('ASIGNACIÓN ASIGNATURAS'!Z220="","",'ASIGNACIÓN ASIGNATURAS'!Z220)</f>
        <v/>
      </c>
      <c r="R220" s="244" t="str">
        <f>IF('ASIGNACIÓN ASIGNATURAS'!AA220="","",'ASIGNACIÓN ASIGNATURAS'!AA220)</f>
        <v/>
      </c>
      <c r="S220" s="244" t="str">
        <f>IF('ASIGNACIÓN ASIGNATURAS'!AB220="","",'ASIGNACIÓN ASIGNATURAS'!AB220)</f>
        <v/>
      </c>
    </row>
    <row r="221" spans="1:19" x14ac:dyDescent="0.3">
      <c r="A221" s="290" t="str">
        <f>IF('ASIGNACIÓN ASIGNATURAS'!J221="","",'ASIGNACIÓN ASIGNATURAS'!J221)</f>
        <v/>
      </c>
      <c r="B221" s="290" t="str">
        <f>IF('ASIGNACIÓN ASIGNATURAS'!K221="","",'ASIGNACIÓN ASIGNATURAS'!K221)</f>
        <v/>
      </c>
      <c r="C221" s="290" t="str">
        <f>IF('ASIGNACIÓN ASIGNATURAS'!L221="","",'ASIGNACIÓN ASIGNATURAS'!L221)</f>
        <v/>
      </c>
      <c r="D221" s="290" t="str">
        <f>IF('ASIGNACIÓN ASIGNATURAS'!M221="","",'ASIGNACIÓN ASIGNATURAS'!M221)</f>
        <v/>
      </c>
      <c r="E221" s="290" t="str">
        <f>IF('ASIGNACIÓN ASIGNATURAS'!N221="","",'ASIGNACIÓN ASIGNATURAS'!N221)</f>
        <v/>
      </c>
      <c r="F221" s="290" t="str">
        <f>IF('ASIGNACIÓN ASIGNATURAS'!O221="","",'ASIGNACIÓN ASIGNATURAS'!O221)</f>
        <v/>
      </c>
      <c r="G221" s="290" t="str">
        <f>IF('ASIGNACIÓN ASIGNATURAS'!P221="","",'ASIGNACIÓN ASIGNATURAS'!P221)</f>
        <v/>
      </c>
      <c r="H221" s="290" t="str">
        <f>IF('ASIGNACIÓN ASIGNATURAS'!T221="","",'ASIGNACIÓN ASIGNATURAS'!T221)</f>
        <v/>
      </c>
      <c r="I221" s="290" t="str">
        <f>IF('ASIGNACIÓN ASIGNATURAS'!U221="","",'ASIGNACIÓN ASIGNATURAS'!U221)</f>
        <v/>
      </c>
      <c r="J221" s="290" t="str">
        <f>IF('ASIGNACIÓN ASIGNATURAS'!V221="","",'ASIGNACIÓN ASIGNATURAS'!V221)</f>
        <v/>
      </c>
      <c r="K221" s="301" t="str">
        <f>IF('ASIGNACIÓN ASIGNATURAS'!S221="","",'ASIGNACIÓN ASIGNATURAS'!S221)</f>
        <v/>
      </c>
      <c r="L221" s="244" t="str">
        <f>IF('ASIGNACIÓN ASIGNATURAS'!Q221="","",'ASIGNACIÓN ASIGNATURAS'!Q221)</f>
        <v/>
      </c>
      <c r="M221" s="244" t="str">
        <f>IF('ASIGNACIÓN ASIGNATURAS'!R221="","",'ASIGNACIÓN ASIGNATURAS'!R221)</f>
        <v/>
      </c>
      <c r="N221" s="244" t="str">
        <f>IF('ASIGNACIÓN ASIGNATURAS'!W221="","",'ASIGNACIÓN ASIGNATURAS'!W221)</f>
        <v/>
      </c>
      <c r="O221" s="244" t="str">
        <f>IF('ASIGNACIÓN ASIGNATURAS'!X221="","",'ASIGNACIÓN ASIGNATURAS'!X221)</f>
        <v/>
      </c>
      <c r="P221" s="244" t="str">
        <f>IF('ASIGNACIÓN ASIGNATURAS'!Y221="","",'ASIGNACIÓN ASIGNATURAS'!Y221)</f>
        <v/>
      </c>
      <c r="Q221" s="244" t="str">
        <f>IF('ASIGNACIÓN ASIGNATURAS'!Z221="","",'ASIGNACIÓN ASIGNATURAS'!Z221)</f>
        <v/>
      </c>
      <c r="R221" s="244" t="str">
        <f>IF('ASIGNACIÓN ASIGNATURAS'!AA221="","",'ASIGNACIÓN ASIGNATURAS'!AA221)</f>
        <v/>
      </c>
      <c r="S221" s="244" t="str">
        <f>IF('ASIGNACIÓN ASIGNATURAS'!AB221="","",'ASIGNACIÓN ASIGNATURAS'!AB221)</f>
        <v/>
      </c>
    </row>
    <row r="222" spans="1:19" x14ac:dyDescent="0.3">
      <c r="A222" s="290" t="str">
        <f>IF('ASIGNACIÓN ASIGNATURAS'!J222="","",'ASIGNACIÓN ASIGNATURAS'!J222)</f>
        <v/>
      </c>
      <c r="B222" s="290" t="str">
        <f>IF('ASIGNACIÓN ASIGNATURAS'!K222="","",'ASIGNACIÓN ASIGNATURAS'!K222)</f>
        <v/>
      </c>
      <c r="C222" s="290" t="str">
        <f>IF('ASIGNACIÓN ASIGNATURAS'!L222="","",'ASIGNACIÓN ASIGNATURAS'!L222)</f>
        <v/>
      </c>
      <c r="D222" s="290" t="str">
        <f>IF('ASIGNACIÓN ASIGNATURAS'!M222="","",'ASIGNACIÓN ASIGNATURAS'!M222)</f>
        <v/>
      </c>
      <c r="E222" s="290" t="str">
        <f>IF('ASIGNACIÓN ASIGNATURAS'!N222="","",'ASIGNACIÓN ASIGNATURAS'!N222)</f>
        <v/>
      </c>
      <c r="F222" s="290" t="str">
        <f>IF('ASIGNACIÓN ASIGNATURAS'!O222="","",'ASIGNACIÓN ASIGNATURAS'!O222)</f>
        <v/>
      </c>
      <c r="G222" s="290" t="str">
        <f>IF('ASIGNACIÓN ASIGNATURAS'!P222="","",'ASIGNACIÓN ASIGNATURAS'!P222)</f>
        <v/>
      </c>
      <c r="H222" s="290" t="str">
        <f>IF('ASIGNACIÓN ASIGNATURAS'!T222="","",'ASIGNACIÓN ASIGNATURAS'!T222)</f>
        <v/>
      </c>
      <c r="I222" s="290" t="str">
        <f>IF('ASIGNACIÓN ASIGNATURAS'!U222="","",'ASIGNACIÓN ASIGNATURAS'!U222)</f>
        <v/>
      </c>
      <c r="J222" s="290" t="str">
        <f>IF('ASIGNACIÓN ASIGNATURAS'!V222="","",'ASIGNACIÓN ASIGNATURAS'!V222)</f>
        <v/>
      </c>
      <c r="K222" s="301" t="str">
        <f>IF('ASIGNACIÓN ASIGNATURAS'!S222="","",'ASIGNACIÓN ASIGNATURAS'!S222)</f>
        <v/>
      </c>
      <c r="L222" s="244" t="str">
        <f>IF('ASIGNACIÓN ASIGNATURAS'!Q222="","",'ASIGNACIÓN ASIGNATURAS'!Q222)</f>
        <v/>
      </c>
      <c r="M222" s="244" t="str">
        <f>IF('ASIGNACIÓN ASIGNATURAS'!R222="","",'ASIGNACIÓN ASIGNATURAS'!R222)</f>
        <v/>
      </c>
      <c r="N222" s="244" t="str">
        <f>IF('ASIGNACIÓN ASIGNATURAS'!W222="","",'ASIGNACIÓN ASIGNATURAS'!W222)</f>
        <v/>
      </c>
      <c r="O222" s="244" t="str">
        <f>IF('ASIGNACIÓN ASIGNATURAS'!X222="","",'ASIGNACIÓN ASIGNATURAS'!X222)</f>
        <v/>
      </c>
      <c r="P222" s="244" t="str">
        <f>IF('ASIGNACIÓN ASIGNATURAS'!Y222="","",'ASIGNACIÓN ASIGNATURAS'!Y222)</f>
        <v/>
      </c>
      <c r="Q222" s="244" t="str">
        <f>IF('ASIGNACIÓN ASIGNATURAS'!Z222="","",'ASIGNACIÓN ASIGNATURAS'!Z222)</f>
        <v/>
      </c>
      <c r="R222" s="244" t="str">
        <f>IF('ASIGNACIÓN ASIGNATURAS'!AA222="","",'ASIGNACIÓN ASIGNATURAS'!AA222)</f>
        <v/>
      </c>
      <c r="S222" s="244" t="str">
        <f>IF('ASIGNACIÓN ASIGNATURAS'!AB222="","",'ASIGNACIÓN ASIGNATURAS'!AB222)</f>
        <v/>
      </c>
    </row>
    <row r="223" spans="1:19" x14ac:dyDescent="0.3">
      <c r="A223" s="290" t="str">
        <f>IF('ASIGNACIÓN ASIGNATURAS'!J223="","",'ASIGNACIÓN ASIGNATURAS'!J223)</f>
        <v/>
      </c>
      <c r="B223" s="290" t="str">
        <f>IF('ASIGNACIÓN ASIGNATURAS'!K223="","",'ASIGNACIÓN ASIGNATURAS'!K223)</f>
        <v/>
      </c>
      <c r="C223" s="290" t="str">
        <f>IF('ASIGNACIÓN ASIGNATURAS'!L223="","",'ASIGNACIÓN ASIGNATURAS'!L223)</f>
        <v/>
      </c>
      <c r="D223" s="290" t="str">
        <f>IF('ASIGNACIÓN ASIGNATURAS'!M223="","",'ASIGNACIÓN ASIGNATURAS'!M223)</f>
        <v/>
      </c>
      <c r="E223" s="290" t="str">
        <f>IF('ASIGNACIÓN ASIGNATURAS'!N223="","",'ASIGNACIÓN ASIGNATURAS'!N223)</f>
        <v/>
      </c>
      <c r="F223" s="290" t="str">
        <f>IF('ASIGNACIÓN ASIGNATURAS'!O223="","",'ASIGNACIÓN ASIGNATURAS'!O223)</f>
        <v/>
      </c>
      <c r="G223" s="290" t="str">
        <f>IF('ASIGNACIÓN ASIGNATURAS'!P223="","",'ASIGNACIÓN ASIGNATURAS'!P223)</f>
        <v/>
      </c>
      <c r="H223" s="290" t="str">
        <f>IF('ASIGNACIÓN ASIGNATURAS'!T223="","",'ASIGNACIÓN ASIGNATURAS'!T223)</f>
        <v/>
      </c>
      <c r="I223" s="290" t="str">
        <f>IF('ASIGNACIÓN ASIGNATURAS'!U223="","",'ASIGNACIÓN ASIGNATURAS'!U223)</f>
        <v/>
      </c>
      <c r="J223" s="290" t="str">
        <f>IF('ASIGNACIÓN ASIGNATURAS'!V223="","",'ASIGNACIÓN ASIGNATURAS'!V223)</f>
        <v/>
      </c>
      <c r="K223" s="301" t="str">
        <f>IF('ASIGNACIÓN ASIGNATURAS'!S223="","",'ASIGNACIÓN ASIGNATURAS'!S223)</f>
        <v/>
      </c>
      <c r="L223" s="244" t="str">
        <f>IF('ASIGNACIÓN ASIGNATURAS'!Q223="","",'ASIGNACIÓN ASIGNATURAS'!Q223)</f>
        <v/>
      </c>
      <c r="M223" s="244" t="str">
        <f>IF('ASIGNACIÓN ASIGNATURAS'!R223="","",'ASIGNACIÓN ASIGNATURAS'!R223)</f>
        <v/>
      </c>
      <c r="N223" s="244" t="str">
        <f>IF('ASIGNACIÓN ASIGNATURAS'!W223="","",'ASIGNACIÓN ASIGNATURAS'!W223)</f>
        <v/>
      </c>
      <c r="O223" s="244" t="str">
        <f>IF('ASIGNACIÓN ASIGNATURAS'!X223="","",'ASIGNACIÓN ASIGNATURAS'!X223)</f>
        <v/>
      </c>
      <c r="P223" s="244" t="str">
        <f>IF('ASIGNACIÓN ASIGNATURAS'!Y223="","",'ASIGNACIÓN ASIGNATURAS'!Y223)</f>
        <v/>
      </c>
      <c r="Q223" s="244" t="str">
        <f>IF('ASIGNACIÓN ASIGNATURAS'!Z223="","",'ASIGNACIÓN ASIGNATURAS'!Z223)</f>
        <v/>
      </c>
      <c r="R223" s="244" t="str">
        <f>IF('ASIGNACIÓN ASIGNATURAS'!AA223="","",'ASIGNACIÓN ASIGNATURAS'!AA223)</f>
        <v/>
      </c>
      <c r="S223" s="244" t="str">
        <f>IF('ASIGNACIÓN ASIGNATURAS'!AB223="","",'ASIGNACIÓN ASIGNATURAS'!AB223)</f>
        <v/>
      </c>
    </row>
    <row r="224" spans="1:19" x14ac:dyDescent="0.3">
      <c r="A224" s="290" t="str">
        <f>IF('ASIGNACIÓN ASIGNATURAS'!J224="","",'ASIGNACIÓN ASIGNATURAS'!J224)</f>
        <v/>
      </c>
      <c r="B224" s="290" t="str">
        <f>IF('ASIGNACIÓN ASIGNATURAS'!K224="","",'ASIGNACIÓN ASIGNATURAS'!K224)</f>
        <v/>
      </c>
      <c r="C224" s="290" t="str">
        <f>IF('ASIGNACIÓN ASIGNATURAS'!L224="","",'ASIGNACIÓN ASIGNATURAS'!L224)</f>
        <v/>
      </c>
      <c r="D224" s="290" t="str">
        <f>IF('ASIGNACIÓN ASIGNATURAS'!M224="","",'ASIGNACIÓN ASIGNATURAS'!M224)</f>
        <v/>
      </c>
      <c r="E224" s="290" t="str">
        <f>IF('ASIGNACIÓN ASIGNATURAS'!N224="","",'ASIGNACIÓN ASIGNATURAS'!N224)</f>
        <v/>
      </c>
      <c r="F224" s="290" t="str">
        <f>IF('ASIGNACIÓN ASIGNATURAS'!O224="","",'ASIGNACIÓN ASIGNATURAS'!O224)</f>
        <v/>
      </c>
      <c r="G224" s="290" t="str">
        <f>IF('ASIGNACIÓN ASIGNATURAS'!P224="","",'ASIGNACIÓN ASIGNATURAS'!P224)</f>
        <v/>
      </c>
      <c r="H224" s="290" t="str">
        <f>IF('ASIGNACIÓN ASIGNATURAS'!T224="","",'ASIGNACIÓN ASIGNATURAS'!T224)</f>
        <v/>
      </c>
      <c r="I224" s="290" t="str">
        <f>IF('ASIGNACIÓN ASIGNATURAS'!U224="","",'ASIGNACIÓN ASIGNATURAS'!U224)</f>
        <v/>
      </c>
      <c r="J224" s="290" t="str">
        <f>IF('ASIGNACIÓN ASIGNATURAS'!V224="","",'ASIGNACIÓN ASIGNATURAS'!V224)</f>
        <v/>
      </c>
      <c r="K224" s="301" t="str">
        <f>IF('ASIGNACIÓN ASIGNATURAS'!S224="","",'ASIGNACIÓN ASIGNATURAS'!S224)</f>
        <v/>
      </c>
      <c r="L224" s="244" t="str">
        <f>IF('ASIGNACIÓN ASIGNATURAS'!Q224="","",'ASIGNACIÓN ASIGNATURAS'!Q224)</f>
        <v/>
      </c>
      <c r="M224" s="244" t="str">
        <f>IF('ASIGNACIÓN ASIGNATURAS'!R224="","",'ASIGNACIÓN ASIGNATURAS'!R224)</f>
        <v/>
      </c>
      <c r="N224" s="244" t="str">
        <f>IF('ASIGNACIÓN ASIGNATURAS'!W224="","",'ASIGNACIÓN ASIGNATURAS'!W224)</f>
        <v/>
      </c>
      <c r="O224" s="244" t="str">
        <f>IF('ASIGNACIÓN ASIGNATURAS'!X224="","",'ASIGNACIÓN ASIGNATURAS'!X224)</f>
        <v/>
      </c>
      <c r="P224" s="244" t="str">
        <f>IF('ASIGNACIÓN ASIGNATURAS'!Y224="","",'ASIGNACIÓN ASIGNATURAS'!Y224)</f>
        <v/>
      </c>
      <c r="Q224" s="244" t="str">
        <f>IF('ASIGNACIÓN ASIGNATURAS'!Z224="","",'ASIGNACIÓN ASIGNATURAS'!Z224)</f>
        <v/>
      </c>
      <c r="R224" s="244" t="str">
        <f>IF('ASIGNACIÓN ASIGNATURAS'!AA224="","",'ASIGNACIÓN ASIGNATURAS'!AA224)</f>
        <v/>
      </c>
      <c r="S224" s="244" t="str">
        <f>IF('ASIGNACIÓN ASIGNATURAS'!AB224="","",'ASIGNACIÓN ASIGNATURAS'!AB224)</f>
        <v/>
      </c>
    </row>
    <row r="225" spans="1:19" x14ac:dyDescent="0.3">
      <c r="A225" s="290" t="str">
        <f>IF('ASIGNACIÓN ASIGNATURAS'!J225="","",'ASIGNACIÓN ASIGNATURAS'!J225)</f>
        <v/>
      </c>
      <c r="B225" s="290" t="str">
        <f>IF('ASIGNACIÓN ASIGNATURAS'!K225="","",'ASIGNACIÓN ASIGNATURAS'!K225)</f>
        <v/>
      </c>
      <c r="C225" s="290" t="str">
        <f>IF('ASIGNACIÓN ASIGNATURAS'!L225="","",'ASIGNACIÓN ASIGNATURAS'!L225)</f>
        <v/>
      </c>
      <c r="D225" s="290" t="str">
        <f>IF('ASIGNACIÓN ASIGNATURAS'!M225="","",'ASIGNACIÓN ASIGNATURAS'!M225)</f>
        <v/>
      </c>
      <c r="E225" s="290" t="str">
        <f>IF('ASIGNACIÓN ASIGNATURAS'!N225="","",'ASIGNACIÓN ASIGNATURAS'!N225)</f>
        <v/>
      </c>
      <c r="F225" s="290" t="str">
        <f>IF('ASIGNACIÓN ASIGNATURAS'!O225="","",'ASIGNACIÓN ASIGNATURAS'!O225)</f>
        <v/>
      </c>
      <c r="G225" s="290" t="str">
        <f>IF('ASIGNACIÓN ASIGNATURAS'!P225="","",'ASIGNACIÓN ASIGNATURAS'!P225)</f>
        <v/>
      </c>
      <c r="H225" s="290" t="str">
        <f>IF('ASIGNACIÓN ASIGNATURAS'!T225="","",'ASIGNACIÓN ASIGNATURAS'!T225)</f>
        <v/>
      </c>
      <c r="I225" s="290" t="str">
        <f>IF('ASIGNACIÓN ASIGNATURAS'!U225="","",'ASIGNACIÓN ASIGNATURAS'!U225)</f>
        <v/>
      </c>
      <c r="J225" s="290" t="str">
        <f>IF('ASIGNACIÓN ASIGNATURAS'!V225="","",'ASIGNACIÓN ASIGNATURAS'!V225)</f>
        <v/>
      </c>
      <c r="K225" s="301" t="str">
        <f>IF('ASIGNACIÓN ASIGNATURAS'!S225="","",'ASIGNACIÓN ASIGNATURAS'!S225)</f>
        <v/>
      </c>
      <c r="L225" s="244" t="str">
        <f>IF('ASIGNACIÓN ASIGNATURAS'!Q225="","",'ASIGNACIÓN ASIGNATURAS'!Q225)</f>
        <v/>
      </c>
      <c r="M225" s="244" t="str">
        <f>IF('ASIGNACIÓN ASIGNATURAS'!R225="","",'ASIGNACIÓN ASIGNATURAS'!R225)</f>
        <v/>
      </c>
      <c r="N225" s="244" t="str">
        <f>IF('ASIGNACIÓN ASIGNATURAS'!W225="","",'ASIGNACIÓN ASIGNATURAS'!W225)</f>
        <v/>
      </c>
      <c r="O225" s="244" t="str">
        <f>IF('ASIGNACIÓN ASIGNATURAS'!X225="","",'ASIGNACIÓN ASIGNATURAS'!X225)</f>
        <v/>
      </c>
      <c r="P225" s="244" t="str">
        <f>IF('ASIGNACIÓN ASIGNATURAS'!Y225="","",'ASIGNACIÓN ASIGNATURAS'!Y225)</f>
        <v/>
      </c>
      <c r="Q225" s="244" t="str">
        <f>IF('ASIGNACIÓN ASIGNATURAS'!Z225="","",'ASIGNACIÓN ASIGNATURAS'!Z225)</f>
        <v/>
      </c>
      <c r="R225" s="244" t="str">
        <f>IF('ASIGNACIÓN ASIGNATURAS'!AA225="","",'ASIGNACIÓN ASIGNATURAS'!AA225)</f>
        <v/>
      </c>
      <c r="S225" s="244" t="str">
        <f>IF('ASIGNACIÓN ASIGNATURAS'!AB225="","",'ASIGNACIÓN ASIGNATURAS'!AB225)</f>
        <v/>
      </c>
    </row>
    <row r="226" spans="1:19" x14ac:dyDescent="0.3">
      <c r="A226" s="290" t="str">
        <f>IF('ASIGNACIÓN ASIGNATURAS'!J226="","",'ASIGNACIÓN ASIGNATURAS'!J226)</f>
        <v/>
      </c>
      <c r="B226" s="290" t="str">
        <f>IF('ASIGNACIÓN ASIGNATURAS'!K226="","",'ASIGNACIÓN ASIGNATURAS'!K226)</f>
        <v/>
      </c>
      <c r="C226" s="290" t="str">
        <f>IF('ASIGNACIÓN ASIGNATURAS'!L226="","",'ASIGNACIÓN ASIGNATURAS'!L226)</f>
        <v/>
      </c>
      <c r="D226" s="290" t="str">
        <f>IF('ASIGNACIÓN ASIGNATURAS'!M226="","",'ASIGNACIÓN ASIGNATURAS'!M226)</f>
        <v/>
      </c>
      <c r="E226" s="290" t="str">
        <f>IF('ASIGNACIÓN ASIGNATURAS'!N226="","",'ASIGNACIÓN ASIGNATURAS'!N226)</f>
        <v/>
      </c>
      <c r="F226" s="290" t="str">
        <f>IF('ASIGNACIÓN ASIGNATURAS'!O226="","",'ASIGNACIÓN ASIGNATURAS'!O226)</f>
        <v/>
      </c>
      <c r="G226" s="290" t="str">
        <f>IF('ASIGNACIÓN ASIGNATURAS'!P226="","",'ASIGNACIÓN ASIGNATURAS'!P226)</f>
        <v/>
      </c>
      <c r="H226" s="290" t="str">
        <f>IF('ASIGNACIÓN ASIGNATURAS'!T226="","",'ASIGNACIÓN ASIGNATURAS'!T226)</f>
        <v/>
      </c>
      <c r="I226" s="290" t="str">
        <f>IF('ASIGNACIÓN ASIGNATURAS'!U226="","",'ASIGNACIÓN ASIGNATURAS'!U226)</f>
        <v/>
      </c>
      <c r="J226" s="290" t="str">
        <f>IF('ASIGNACIÓN ASIGNATURAS'!V226="","",'ASIGNACIÓN ASIGNATURAS'!V226)</f>
        <v/>
      </c>
      <c r="K226" s="301" t="str">
        <f>IF('ASIGNACIÓN ASIGNATURAS'!S226="","",'ASIGNACIÓN ASIGNATURAS'!S226)</f>
        <v/>
      </c>
      <c r="L226" s="244" t="str">
        <f>IF('ASIGNACIÓN ASIGNATURAS'!Q226="","",'ASIGNACIÓN ASIGNATURAS'!Q226)</f>
        <v/>
      </c>
      <c r="M226" s="244" t="str">
        <f>IF('ASIGNACIÓN ASIGNATURAS'!R226="","",'ASIGNACIÓN ASIGNATURAS'!R226)</f>
        <v/>
      </c>
      <c r="N226" s="244" t="str">
        <f>IF('ASIGNACIÓN ASIGNATURAS'!W226="","",'ASIGNACIÓN ASIGNATURAS'!W226)</f>
        <v/>
      </c>
      <c r="O226" s="244" t="str">
        <f>IF('ASIGNACIÓN ASIGNATURAS'!X226="","",'ASIGNACIÓN ASIGNATURAS'!X226)</f>
        <v/>
      </c>
      <c r="P226" s="244" t="str">
        <f>IF('ASIGNACIÓN ASIGNATURAS'!Y226="","",'ASIGNACIÓN ASIGNATURAS'!Y226)</f>
        <v/>
      </c>
      <c r="Q226" s="244" t="str">
        <f>IF('ASIGNACIÓN ASIGNATURAS'!Z226="","",'ASIGNACIÓN ASIGNATURAS'!Z226)</f>
        <v/>
      </c>
      <c r="R226" s="244" t="str">
        <f>IF('ASIGNACIÓN ASIGNATURAS'!AA226="","",'ASIGNACIÓN ASIGNATURAS'!AA226)</f>
        <v/>
      </c>
      <c r="S226" s="244" t="str">
        <f>IF('ASIGNACIÓN ASIGNATURAS'!AB226="","",'ASIGNACIÓN ASIGNATURAS'!AB226)</f>
        <v/>
      </c>
    </row>
    <row r="227" spans="1:19" x14ac:dyDescent="0.3">
      <c r="A227" s="290" t="str">
        <f>IF('ASIGNACIÓN ASIGNATURAS'!J227="","",'ASIGNACIÓN ASIGNATURAS'!J227)</f>
        <v/>
      </c>
      <c r="B227" s="290" t="str">
        <f>IF('ASIGNACIÓN ASIGNATURAS'!K227="","",'ASIGNACIÓN ASIGNATURAS'!K227)</f>
        <v/>
      </c>
      <c r="C227" s="290" t="str">
        <f>IF('ASIGNACIÓN ASIGNATURAS'!L227="","",'ASIGNACIÓN ASIGNATURAS'!L227)</f>
        <v/>
      </c>
      <c r="D227" s="290" t="str">
        <f>IF('ASIGNACIÓN ASIGNATURAS'!M227="","",'ASIGNACIÓN ASIGNATURAS'!M227)</f>
        <v/>
      </c>
      <c r="E227" s="290" t="str">
        <f>IF('ASIGNACIÓN ASIGNATURAS'!N227="","",'ASIGNACIÓN ASIGNATURAS'!N227)</f>
        <v/>
      </c>
      <c r="F227" s="290" t="str">
        <f>IF('ASIGNACIÓN ASIGNATURAS'!O227="","",'ASIGNACIÓN ASIGNATURAS'!O227)</f>
        <v/>
      </c>
      <c r="G227" s="290" t="str">
        <f>IF('ASIGNACIÓN ASIGNATURAS'!P227="","",'ASIGNACIÓN ASIGNATURAS'!P227)</f>
        <v/>
      </c>
      <c r="H227" s="290" t="str">
        <f>IF('ASIGNACIÓN ASIGNATURAS'!T227="","",'ASIGNACIÓN ASIGNATURAS'!T227)</f>
        <v/>
      </c>
      <c r="I227" s="290" t="str">
        <f>IF('ASIGNACIÓN ASIGNATURAS'!U227="","",'ASIGNACIÓN ASIGNATURAS'!U227)</f>
        <v/>
      </c>
      <c r="J227" s="290" t="str">
        <f>IF('ASIGNACIÓN ASIGNATURAS'!V227="","",'ASIGNACIÓN ASIGNATURAS'!V227)</f>
        <v/>
      </c>
      <c r="K227" s="301" t="str">
        <f>IF('ASIGNACIÓN ASIGNATURAS'!S227="","",'ASIGNACIÓN ASIGNATURAS'!S227)</f>
        <v/>
      </c>
      <c r="L227" s="244" t="str">
        <f>IF('ASIGNACIÓN ASIGNATURAS'!Q227="","",'ASIGNACIÓN ASIGNATURAS'!Q227)</f>
        <v/>
      </c>
      <c r="M227" s="244" t="str">
        <f>IF('ASIGNACIÓN ASIGNATURAS'!R227="","",'ASIGNACIÓN ASIGNATURAS'!R227)</f>
        <v/>
      </c>
      <c r="N227" s="244" t="str">
        <f>IF('ASIGNACIÓN ASIGNATURAS'!W227="","",'ASIGNACIÓN ASIGNATURAS'!W227)</f>
        <v/>
      </c>
      <c r="O227" s="244" t="str">
        <f>IF('ASIGNACIÓN ASIGNATURAS'!X227="","",'ASIGNACIÓN ASIGNATURAS'!X227)</f>
        <v/>
      </c>
      <c r="P227" s="244" t="str">
        <f>IF('ASIGNACIÓN ASIGNATURAS'!Y227="","",'ASIGNACIÓN ASIGNATURAS'!Y227)</f>
        <v/>
      </c>
      <c r="Q227" s="244" t="str">
        <f>IF('ASIGNACIÓN ASIGNATURAS'!Z227="","",'ASIGNACIÓN ASIGNATURAS'!Z227)</f>
        <v/>
      </c>
      <c r="R227" s="244" t="str">
        <f>IF('ASIGNACIÓN ASIGNATURAS'!AA227="","",'ASIGNACIÓN ASIGNATURAS'!AA227)</f>
        <v/>
      </c>
      <c r="S227" s="244" t="str">
        <f>IF('ASIGNACIÓN ASIGNATURAS'!AB227="","",'ASIGNACIÓN ASIGNATURAS'!AB227)</f>
        <v/>
      </c>
    </row>
    <row r="228" spans="1:19" x14ac:dyDescent="0.3">
      <c r="A228" s="290" t="str">
        <f>IF('ASIGNACIÓN ASIGNATURAS'!J228="","",'ASIGNACIÓN ASIGNATURAS'!J228)</f>
        <v/>
      </c>
      <c r="B228" s="290" t="str">
        <f>IF('ASIGNACIÓN ASIGNATURAS'!K228="","",'ASIGNACIÓN ASIGNATURAS'!K228)</f>
        <v/>
      </c>
      <c r="C228" s="290" t="str">
        <f>IF('ASIGNACIÓN ASIGNATURAS'!L228="","",'ASIGNACIÓN ASIGNATURAS'!L228)</f>
        <v/>
      </c>
      <c r="D228" s="290" t="str">
        <f>IF('ASIGNACIÓN ASIGNATURAS'!M228="","",'ASIGNACIÓN ASIGNATURAS'!M228)</f>
        <v/>
      </c>
      <c r="E228" s="290" t="str">
        <f>IF('ASIGNACIÓN ASIGNATURAS'!N228="","",'ASIGNACIÓN ASIGNATURAS'!N228)</f>
        <v/>
      </c>
      <c r="F228" s="290" t="str">
        <f>IF('ASIGNACIÓN ASIGNATURAS'!O228="","",'ASIGNACIÓN ASIGNATURAS'!O228)</f>
        <v/>
      </c>
      <c r="G228" s="290" t="str">
        <f>IF('ASIGNACIÓN ASIGNATURAS'!P228="","",'ASIGNACIÓN ASIGNATURAS'!P228)</f>
        <v/>
      </c>
      <c r="H228" s="290" t="str">
        <f>IF('ASIGNACIÓN ASIGNATURAS'!T228="","",'ASIGNACIÓN ASIGNATURAS'!T228)</f>
        <v/>
      </c>
      <c r="I228" s="290" t="str">
        <f>IF('ASIGNACIÓN ASIGNATURAS'!U228="","",'ASIGNACIÓN ASIGNATURAS'!U228)</f>
        <v/>
      </c>
      <c r="J228" s="290" t="str">
        <f>IF('ASIGNACIÓN ASIGNATURAS'!V228="","",'ASIGNACIÓN ASIGNATURAS'!V228)</f>
        <v/>
      </c>
      <c r="K228" s="301" t="str">
        <f>IF('ASIGNACIÓN ASIGNATURAS'!S228="","",'ASIGNACIÓN ASIGNATURAS'!S228)</f>
        <v/>
      </c>
      <c r="L228" s="244" t="str">
        <f>IF('ASIGNACIÓN ASIGNATURAS'!Q228="","",'ASIGNACIÓN ASIGNATURAS'!Q228)</f>
        <v/>
      </c>
      <c r="M228" s="244" t="str">
        <f>IF('ASIGNACIÓN ASIGNATURAS'!R228="","",'ASIGNACIÓN ASIGNATURAS'!R228)</f>
        <v/>
      </c>
      <c r="N228" s="244" t="str">
        <f>IF('ASIGNACIÓN ASIGNATURAS'!W228="","",'ASIGNACIÓN ASIGNATURAS'!W228)</f>
        <v/>
      </c>
      <c r="O228" s="244" t="str">
        <f>IF('ASIGNACIÓN ASIGNATURAS'!X228="","",'ASIGNACIÓN ASIGNATURAS'!X228)</f>
        <v/>
      </c>
      <c r="P228" s="244" t="str">
        <f>IF('ASIGNACIÓN ASIGNATURAS'!Y228="","",'ASIGNACIÓN ASIGNATURAS'!Y228)</f>
        <v/>
      </c>
      <c r="Q228" s="244" t="str">
        <f>IF('ASIGNACIÓN ASIGNATURAS'!Z228="","",'ASIGNACIÓN ASIGNATURAS'!Z228)</f>
        <v/>
      </c>
      <c r="R228" s="244" t="str">
        <f>IF('ASIGNACIÓN ASIGNATURAS'!AA228="","",'ASIGNACIÓN ASIGNATURAS'!AA228)</f>
        <v/>
      </c>
      <c r="S228" s="244" t="str">
        <f>IF('ASIGNACIÓN ASIGNATURAS'!AB228="","",'ASIGNACIÓN ASIGNATURAS'!AB228)</f>
        <v/>
      </c>
    </row>
    <row r="229" spans="1:19" x14ac:dyDescent="0.3">
      <c r="A229" s="290" t="str">
        <f>IF('ASIGNACIÓN ASIGNATURAS'!J229="","",'ASIGNACIÓN ASIGNATURAS'!J229)</f>
        <v/>
      </c>
      <c r="B229" s="290" t="str">
        <f>IF('ASIGNACIÓN ASIGNATURAS'!K229="","",'ASIGNACIÓN ASIGNATURAS'!K229)</f>
        <v/>
      </c>
      <c r="C229" s="290" t="str">
        <f>IF('ASIGNACIÓN ASIGNATURAS'!L229="","",'ASIGNACIÓN ASIGNATURAS'!L229)</f>
        <v/>
      </c>
      <c r="D229" s="290" t="str">
        <f>IF('ASIGNACIÓN ASIGNATURAS'!M229="","",'ASIGNACIÓN ASIGNATURAS'!M229)</f>
        <v/>
      </c>
      <c r="E229" s="290" t="str">
        <f>IF('ASIGNACIÓN ASIGNATURAS'!N229="","",'ASIGNACIÓN ASIGNATURAS'!N229)</f>
        <v/>
      </c>
      <c r="F229" s="290" t="str">
        <f>IF('ASIGNACIÓN ASIGNATURAS'!O229="","",'ASIGNACIÓN ASIGNATURAS'!O229)</f>
        <v/>
      </c>
      <c r="G229" s="290" t="str">
        <f>IF('ASIGNACIÓN ASIGNATURAS'!P229="","",'ASIGNACIÓN ASIGNATURAS'!P229)</f>
        <v/>
      </c>
      <c r="H229" s="290" t="str">
        <f>IF('ASIGNACIÓN ASIGNATURAS'!T229="","",'ASIGNACIÓN ASIGNATURAS'!T229)</f>
        <v/>
      </c>
      <c r="I229" s="290" t="str">
        <f>IF('ASIGNACIÓN ASIGNATURAS'!U229="","",'ASIGNACIÓN ASIGNATURAS'!U229)</f>
        <v/>
      </c>
      <c r="J229" s="290" t="str">
        <f>IF('ASIGNACIÓN ASIGNATURAS'!V229="","",'ASIGNACIÓN ASIGNATURAS'!V229)</f>
        <v/>
      </c>
      <c r="K229" s="301" t="str">
        <f>IF('ASIGNACIÓN ASIGNATURAS'!S229="","",'ASIGNACIÓN ASIGNATURAS'!S229)</f>
        <v/>
      </c>
      <c r="L229" s="244" t="str">
        <f>IF('ASIGNACIÓN ASIGNATURAS'!Q229="","",'ASIGNACIÓN ASIGNATURAS'!Q229)</f>
        <v/>
      </c>
      <c r="M229" s="244" t="str">
        <f>IF('ASIGNACIÓN ASIGNATURAS'!R229="","",'ASIGNACIÓN ASIGNATURAS'!R229)</f>
        <v/>
      </c>
      <c r="N229" s="244" t="str">
        <f>IF('ASIGNACIÓN ASIGNATURAS'!W229="","",'ASIGNACIÓN ASIGNATURAS'!W229)</f>
        <v/>
      </c>
      <c r="O229" s="244" t="str">
        <f>IF('ASIGNACIÓN ASIGNATURAS'!X229="","",'ASIGNACIÓN ASIGNATURAS'!X229)</f>
        <v/>
      </c>
      <c r="P229" s="244" t="str">
        <f>IF('ASIGNACIÓN ASIGNATURAS'!Y229="","",'ASIGNACIÓN ASIGNATURAS'!Y229)</f>
        <v/>
      </c>
      <c r="Q229" s="244" t="str">
        <f>IF('ASIGNACIÓN ASIGNATURAS'!Z229="","",'ASIGNACIÓN ASIGNATURAS'!Z229)</f>
        <v/>
      </c>
      <c r="R229" s="244" t="str">
        <f>IF('ASIGNACIÓN ASIGNATURAS'!AA229="","",'ASIGNACIÓN ASIGNATURAS'!AA229)</f>
        <v/>
      </c>
      <c r="S229" s="244" t="str">
        <f>IF('ASIGNACIÓN ASIGNATURAS'!AB229="","",'ASIGNACIÓN ASIGNATURAS'!AB229)</f>
        <v/>
      </c>
    </row>
    <row r="230" spans="1:19" x14ac:dyDescent="0.3">
      <c r="A230" s="290" t="str">
        <f>IF('ASIGNACIÓN ASIGNATURAS'!J230="","",'ASIGNACIÓN ASIGNATURAS'!J230)</f>
        <v/>
      </c>
      <c r="B230" s="290" t="str">
        <f>IF('ASIGNACIÓN ASIGNATURAS'!K230="","",'ASIGNACIÓN ASIGNATURAS'!K230)</f>
        <v/>
      </c>
      <c r="C230" s="290" t="str">
        <f>IF('ASIGNACIÓN ASIGNATURAS'!L230="","",'ASIGNACIÓN ASIGNATURAS'!L230)</f>
        <v/>
      </c>
      <c r="D230" s="290" t="str">
        <f>IF('ASIGNACIÓN ASIGNATURAS'!M230="","",'ASIGNACIÓN ASIGNATURAS'!M230)</f>
        <v/>
      </c>
      <c r="E230" s="290" t="str">
        <f>IF('ASIGNACIÓN ASIGNATURAS'!N230="","",'ASIGNACIÓN ASIGNATURAS'!N230)</f>
        <v/>
      </c>
      <c r="F230" s="290" t="str">
        <f>IF('ASIGNACIÓN ASIGNATURAS'!O230="","",'ASIGNACIÓN ASIGNATURAS'!O230)</f>
        <v/>
      </c>
      <c r="G230" s="290" t="str">
        <f>IF('ASIGNACIÓN ASIGNATURAS'!P230="","",'ASIGNACIÓN ASIGNATURAS'!P230)</f>
        <v/>
      </c>
      <c r="H230" s="290" t="str">
        <f>IF('ASIGNACIÓN ASIGNATURAS'!T230="","",'ASIGNACIÓN ASIGNATURAS'!T230)</f>
        <v/>
      </c>
      <c r="I230" s="290" t="str">
        <f>IF('ASIGNACIÓN ASIGNATURAS'!U230="","",'ASIGNACIÓN ASIGNATURAS'!U230)</f>
        <v/>
      </c>
      <c r="J230" s="290" t="str">
        <f>IF('ASIGNACIÓN ASIGNATURAS'!V230="","",'ASIGNACIÓN ASIGNATURAS'!V230)</f>
        <v/>
      </c>
      <c r="K230" s="301" t="str">
        <f>IF('ASIGNACIÓN ASIGNATURAS'!S230="","",'ASIGNACIÓN ASIGNATURAS'!S230)</f>
        <v/>
      </c>
      <c r="L230" s="244" t="str">
        <f>IF('ASIGNACIÓN ASIGNATURAS'!Q230="","",'ASIGNACIÓN ASIGNATURAS'!Q230)</f>
        <v/>
      </c>
      <c r="M230" s="244" t="str">
        <f>IF('ASIGNACIÓN ASIGNATURAS'!R230="","",'ASIGNACIÓN ASIGNATURAS'!R230)</f>
        <v/>
      </c>
      <c r="N230" s="244" t="str">
        <f>IF('ASIGNACIÓN ASIGNATURAS'!W230="","",'ASIGNACIÓN ASIGNATURAS'!W230)</f>
        <v/>
      </c>
      <c r="O230" s="244" t="str">
        <f>IF('ASIGNACIÓN ASIGNATURAS'!X230="","",'ASIGNACIÓN ASIGNATURAS'!X230)</f>
        <v/>
      </c>
      <c r="P230" s="244" t="str">
        <f>IF('ASIGNACIÓN ASIGNATURAS'!Y230="","",'ASIGNACIÓN ASIGNATURAS'!Y230)</f>
        <v/>
      </c>
      <c r="Q230" s="244" t="str">
        <f>IF('ASIGNACIÓN ASIGNATURAS'!Z230="","",'ASIGNACIÓN ASIGNATURAS'!Z230)</f>
        <v/>
      </c>
      <c r="R230" s="244" t="str">
        <f>IF('ASIGNACIÓN ASIGNATURAS'!AA230="","",'ASIGNACIÓN ASIGNATURAS'!AA230)</f>
        <v/>
      </c>
      <c r="S230" s="244" t="str">
        <f>IF('ASIGNACIÓN ASIGNATURAS'!AB230="","",'ASIGNACIÓN ASIGNATURAS'!AB230)</f>
        <v/>
      </c>
    </row>
    <row r="231" spans="1:19" x14ac:dyDescent="0.3">
      <c r="A231" s="290" t="str">
        <f>IF('ASIGNACIÓN ASIGNATURAS'!J231="","",'ASIGNACIÓN ASIGNATURAS'!J231)</f>
        <v/>
      </c>
      <c r="B231" s="290" t="str">
        <f>IF('ASIGNACIÓN ASIGNATURAS'!K231="","",'ASIGNACIÓN ASIGNATURAS'!K231)</f>
        <v/>
      </c>
      <c r="C231" s="290" t="str">
        <f>IF('ASIGNACIÓN ASIGNATURAS'!L231="","",'ASIGNACIÓN ASIGNATURAS'!L231)</f>
        <v/>
      </c>
      <c r="D231" s="290" t="str">
        <f>IF('ASIGNACIÓN ASIGNATURAS'!M231="","",'ASIGNACIÓN ASIGNATURAS'!M231)</f>
        <v/>
      </c>
      <c r="E231" s="290" t="str">
        <f>IF('ASIGNACIÓN ASIGNATURAS'!N231="","",'ASIGNACIÓN ASIGNATURAS'!N231)</f>
        <v/>
      </c>
      <c r="F231" s="290" t="str">
        <f>IF('ASIGNACIÓN ASIGNATURAS'!O231="","",'ASIGNACIÓN ASIGNATURAS'!O231)</f>
        <v/>
      </c>
      <c r="G231" s="290" t="str">
        <f>IF('ASIGNACIÓN ASIGNATURAS'!P231="","",'ASIGNACIÓN ASIGNATURAS'!P231)</f>
        <v/>
      </c>
      <c r="H231" s="290" t="str">
        <f>IF('ASIGNACIÓN ASIGNATURAS'!T231="","",'ASIGNACIÓN ASIGNATURAS'!T231)</f>
        <v/>
      </c>
      <c r="I231" s="290" t="str">
        <f>IF('ASIGNACIÓN ASIGNATURAS'!U231="","",'ASIGNACIÓN ASIGNATURAS'!U231)</f>
        <v/>
      </c>
      <c r="J231" s="290" t="str">
        <f>IF('ASIGNACIÓN ASIGNATURAS'!V231="","",'ASIGNACIÓN ASIGNATURAS'!V231)</f>
        <v/>
      </c>
      <c r="K231" s="301" t="str">
        <f>IF('ASIGNACIÓN ASIGNATURAS'!S231="","",'ASIGNACIÓN ASIGNATURAS'!S231)</f>
        <v/>
      </c>
      <c r="L231" s="244" t="str">
        <f>IF('ASIGNACIÓN ASIGNATURAS'!Q231="","",'ASIGNACIÓN ASIGNATURAS'!Q231)</f>
        <v/>
      </c>
      <c r="M231" s="244" t="str">
        <f>IF('ASIGNACIÓN ASIGNATURAS'!R231="","",'ASIGNACIÓN ASIGNATURAS'!R231)</f>
        <v/>
      </c>
      <c r="N231" s="244" t="str">
        <f>IF('ASIGNACIÓN ASIGNATURAS'!W231="","",'ASIGNACIÓN ASIGNATURAS'!W231)</f>
        <v/>
      </c>
      <c r="O231" s="244" t="str">
        <f>IF('ASIGNACIÓN ASIGNATURAS'!X231="","",'ASIGNACIÓN ASIGNATURAS'!X231)</f>
        <v/>
      </c>
      <c r="P231" s="244" t="str">
        <f>IF('ASIGNACIÓN ASIGNATURAS'!Y231="","",'ASIGNACIÓN ASIGNATURAS'!Y231)</f>
        <v/>
      </c>
      <c r="Q231" s="244" t="str">
        <f>IF('ASIGNACIÓN ASIGNATURAS'!Z231="","",'ASIGNACIÓN ASIGNATURAS'!Z231)</f>
        <v/>
      </c>
      <c r="R231" s="244" t="str">
        <f>IF('ASIGNACIÓN ASIGNATURAS'!AA231="","",'ASIGNACIÓN ASIGNATURAS'!AA231)</f>
        <v/>
      </c>
      <c r="S231" s="244" t="str">
        <f>IF('ASIGNACIÓN ASIGNATURAS'!AB231="","",'ASIGNACIÓN ASIGNATURAS'!AB231)</f>
        <v/>
      </c>
    </row>
    <row r="232" spans="1:19" x14ac:dyDescent="0.3">
      <c r="A232" s="290" t="str">
        <f>IF('ASIGNACIÓN ASIGNATURAS'!J232="","",'ASIGNACIÓN ASIGNATURAS'!J232)</f>
        <v/>
      </c>
      <c r="B232" s="290" t="str">
        <f>IF('ASIGNACIÓN ASIGNATURAS'!K232="","",'ASIGNACIÓN ASIGNATURAS'!K232)</f>
        <v/>
      </c>
      <c r="C232" s="290" t="str">
        <f>IF('ASIGNACIÓN ASIGNATURAS'!L232="","",'ASIGNACIÓN ASIGNATURAS'!L232)</f>
        <v/>
      </c>
      <c r="D232" s="290" t="str">
        <f>IF('ASIGNACIÓN ASIGNATURAS'!M232="","",'ASIGNACIÓN ASIGNATURAS'!M232)</f>
        <v/>
      </c>
      <c r="E232" s="290" t="str">
        <f>IF('ASIGNACIÓN ASIGNATURAS'!N232="","",'ASIGNACIÓN ASIGNATURAS'!N232)</f>
        <v/>
      </c>
      <c r="F232" s="290" t="str">
        <f>IF('ASIGNACIÓN ASIGNATURAS'!O232="","",'ASIGNACIÓN ASIGNATURAS'!O232)</f>
        <v/>
      </c>
      <c r="G232" s="290" t="str">
        <f>IF('ASIGNACIÓN ASIGNATURAS'!P232="","",'ASIGNACIÓN ASIGNATURAS'!P232)</f>
        <v/>
      </c>
      <c r="H232" s="290" t="str">
        <f>IF('ASIGNACIÓN ASIGNATURAS'!T232="","",'ASIGNACIÓN ASIGNATURAS'!T232)</f>
        <v/>
      </c>
      <c r="I232" s="290" t="str">
        <f>IF('ASIGNACIÓN ASIGNATURAS'!U232="","",'ASIGNACIÓN ASIGNATURAS'!U232)</f>
        <v/>
      </c>
      <c r="J232" s="290" t="str">
        <f>IF('ASIGNACIÓN ASIGNATURAS'!V232="","",'ASIGNACIÓN ASIGNATURAS'!V232)</f>
        <v/>
      </c>
      <c r="K232" s="301" t="str">
        <f>IF('ASIGNACIÓN ASIGNATURAS'!S232="","",'ASIGNACIÓN ASIGNATURAS'!S232)</f>
        <v/>
      </c>
      <c r="L232" s="244" t="str">
        <f>IF('ASIGNACIÓN ASIGNATURAS'!Q232="","",'ASIGNACIÓN ASIGNATURAS'!Q232)</f>
        <v/>
      </c>
      <c r="M232" s="244" t="str">
        <f>IF('ASIGNACIÓN ASIGNATURAS'!R232="","",'ASIGNACIÓN ASIGNATURAS'!R232)</f>
        <v/>
      </c>
      <c r="N232" s="244" t="str">
        <f>IF('ASIGNACIÓN ASIGNATURAS'!W232="","",'ASIGNACIÓN ASIGNATURAS'!W232)</f>
        <v/>
      </c>
      <c r="O232" s="244" t="str">
        <f>IF('ASIGNACIÓN ASIGNATURAS'!X232="","",'ASIGNACIÓN ASIGNATURAS'!X232)</f>
        <v/>
      </c>
      <c r="P232" s="244" t="str">
        <f>IF('ASIGNACIÓN ASIGNATURAS'!Y232="","",'ASIGNACIÓN ASIGNATURAS'!Y232)</f>
        <v/>
      </c>
      <c r="Q232" s="244" t="str">
        <f>IF('ASIGNACIÓN ASIGNATURAS'!Z232="","",'ASIGNACIÓN ASIGNATURAS'!Z232)</f>
        <v/>
      </c>
      <c r="R232" s="244" t="str">
        <f>IF('ASIGNACIÓN ASIGNATURAS'!AA232="","",'ASIGNACIÓN ASIGNATURAS'!AA232)</f>
        <v/>
      </c>
      <c r="S232" s="244" t="str">
        <f>IF('ASIGNACIÓN ASIGNATURAS'!AB232="","",'ASIGNACIÓN ASIGNATURAS'!AB232)</f>
        <v/>
      </c>
    </row>
    <row r="233" spans="1:19" x14ac:dyDescent="0.3">
      <c r="A233" s="290" t="str">
        <f>IF('ASIGNACIÓN ASIGNATURAS'!J233="","",'ASIGNACIÓN ASIGNATURAS'!J233)</f>
        <v/>
      </c>
      <c r="B233" s="290" t="str">
        <f>IF('ASIGNACIÓN ASIGNATURAS'!K233="","",'ASIGNACIÓN ASIGNATURAS'!K233)</f>
        <v/>
      </c>
      <c r="C233" s="290" t="str">
        <f>IF('ASIGNACIÓN ASIGNATURAS'!L233="","",'ASIGNACIÓN ASIGNATURAS'!L233)</f>
        <v/>
      </c>
      <c r="D233" s="290" t="str">
        <f>IF('ASIGNACIÓN ASIGNATURAS'!M233="","",'ASIGNACIÓN ASIGNATURAS'!M233)</f>
        <v/>
      </c>
      <c r="E233" s="290" t="str">
        <f>IF('ASIGNACIÓN ASIGNATURAS'!N233="","",'ASIGNACIÓN ASIGNATURAS'!N233)</f>
        <v/>
      </c>
      <c r="F233" s="290" t="str">
        <f>IF('ASIGNACIÓN ASIGNATURAS'!O233="","",'ASIGNACIÓN ASIGNATURAS'!O233)</f>
        <v/>
      </c>
      <c r="G233" s="290" t="str">
        <f>IF('ASIGNACIÓN ASIGNATURAS'!P233="","",'ASIGNACIÓN ASIGNATURAS'!P233)</f>
        <v/>
      </c>
      <c r="H233" s="290" t="str">
        <f>IF('ASIGNACIÓN ASIGNATURAS'!T233="","",'ASIGNACIÓN ASIGNATURAS'!T233)</f>
        <v/>
      </c>
      <c r="I233" s="290" t="str">
        <f>IF('ASIGNACIÓN ASIGNATURAS'!U233="","",'ASIGNACIÓN ASIGNATURAS'!U233)</f>
        <v/>
      </c>
      <c r="J233" s="290" t="str">
        <f>IF('ASIGNACIÓN ASIGNATURAS'!V233="","",'ASIGNACIÓN ASIGNATURAS'!V233)</f>
        <v/>
      </c>
      <c r="K233" s="301" t="str">
        <f>IF('ASIGNACIÓN ASIGNATURAS'!S233="","",'ASIGNACIÓN ASIGNATURAS'!S233)</f>
        <v/>
      </c>
      <c r="L233" s="244" t="str">
        <f>IF('ASIGNACIÓN ASIGNATURAS'!Q233="","",'ASIGNACIÓN ASIGNATURAS'!Q233)</f>
        <v/>
      </c>
      <c r="M233" s="244" t="str">
        <f>IF('ASIGNACIÓN ASIGNATURAS'!R233="","",'ASIGNACIÓN ASIGNATURAS'!R233)</f>
        <v/>
      </c>
      <c r="N233" s="244" t="str">
        <f>IF('ASIGNACIÓN ASIGNATURAS'!W233="","",'ASIGNACIÓN ASIGNATURAS'!W233)</f>
        <v/>
      </c>
      <c r="O233" s="244" t="str">
        <f>IF('ASIGNACIÓN ASIGNATURAS'!X233="","",'ASIGNACIÓN ASIGNATURAS'!X233)</f>
        <v/>
      </c>
      <c r="P233" s="244" t="str">
        <f>IF('ASIGNACIÓN ASIGNATURAS'!Y233="","",'ASIGNACIÓN ASIGNATURAS'!Y233)</f>
        <v/>
      </c>
      <c r="Q233" s="244" t="str">
        <f>IF('ASIGNACIÓN ASIGNATURAS'!Z233="","",'ASIGNACIÓN ASIGNATURAS'!Z233)</f>
        <v/>
      </c>
      <c r="R233" s="244" t="str">
        <f>IF('ASIGNACIÓN ASIGNATURAS'!AA233="","",'ASIGNACIÓN ASIGNATURAS'!AA233)</f>
        <v/>
      </c>
      <c r="S233" s="244" t="str">
        <f>IF('ASIGNACIÓN ASIGNATURAS'!AB233="","",'ASIGNACIÓN ASIGNATURAS'!AB233)</f>
        <v/>
      </c>
    </row>
    <row r="234" spans="1:19" x14ac:dyDescent="0.3">
      <c r="A234" s="290" t="str">
        <f>IF('ASIGNACIÓN ASIGNATURAS'!J234="","",'ASIGNACIÓN ASIGNATURAS'!J234)</f>
        <v/>
      </c>
      <c r="B234" s="290" t="str">
        <f>IF('ASIGNACIÓN ASIGNATURAS'!K234="","",'ASIGNACIÓN ASIGNATURAS'!K234)</f>
        <v/>
      </c>
      <c r="C234" s="290" t="str">
        <f>IF('ASIGNACIÓN ASIGNATURAS'!L234="","",'ASIGNACIÓN ASIGNATURAS'!L234)</f>
        <v/>
      </c>
      <c r="D234" s="290" t="str">
        <f>IF('ASIGNACIÓN ASIGNATURAS'!M234="","",'ASIGNACIÓN ASIGNATURAS'!M234)</f>
        <v/>
      </c>
      <c r="E234" s="290" t="str">
        <f>IF('ASIGNACIÓN ASIGNATURAS'!N234="","",'ASIGNACIÓN ASIGNATURAS'!N234)</f>
        <v/>
      </c>
      <c r="F234" s="290" t="str">
        <f>IF('ASIGNACIÓN ASIGNATURAS'!O234="","",'ASIGNACIÓN ASIGNATURAS'!O234)</f>
        <v/>
      </c>
      <c r="G234" s="290" t="str">
        <f>IF('ASIGNACIÓN ASIGNATURAS'!P234="","",'ASIGNACIÓN ASIGNATURAS'!P234)</f>
        <v/>
      </c>
      <c r="H234" s="290" t="str">
        <f>IF('ASIGNACIÓN ASIGNATURAS'!T234="","",'ASIGNACIÓN ASIGNATURAS'!T234)</f>
        <v/>
      </c>
      <c r="I234" s="290" t="str">
        <f>IF('ASIGNACIÓN ASIGNATURAS'!U234="","",'ASIGNACIÓN ASIGNATURAS'!U234)</f>
        <v/>
      </c>
      <c r="J234" s="290" t="str">
        <f>IF('ASIGNACIÓN ASIGNATURAS'!V234="","",'ASIGNACIÓN ASIGNATURAS'!V234)</f>
        <v/>
      </c>
      <c r="K234" s="301" t="str">
        <f>IF('ASIGNACIÓN ASIGNATURAS'!S234="","",'ASIGNACIÓN ASIGNATURAS'!S234)</f>
        <v/>
      </c>
      <c r="L234" s="244" t="str">
        <f>IF('ASIGNACIÓN ASIGNATURAS'!Q234="","",'ASIGNACIÓN ASIGNATURAS'!Q234)</f>
        <v/>
      </c>
      <c r="M234" s="244" t="str">
        <f>IF('ASIGNACIÓN ASIGNATURAS'!R234="","",'ASIGNACIÓN ASIGNATURAS'!R234)</f>
        <v/>
      </c>
      <c r="N234" s="244" t="str">
        <f>IF('ASIGNACIÓN ASIGNATURAS'!W234="","",'ASIGNACIÓN ASIGNATURAS'!W234)</f>
        <v/>
      </c>
      <c r="O234" s="244" t="str">
        <f>IF('ASIGNACIÓN ASIGNATURAS'!X234="","",'ASIGNACIÓN ASIGNATURAS'!X234)</f>
        <v/>
      </c>
      <c r="P234" s="244" t="str">
        <f>IF('ASIGNACIÓN ASIGNATURAS'!Y234="","",'ASIGNACIÓN ASIGNATURAS'!Y234)</f>
        <v/>
      </c>
      <c r="Q234" s="244" t="str">
        <f>IF('ASIGNACIÓN ASIGNATURAS'!Z234="","",'ASIGNACIÓN ASIGNATURAS'!Z234)</f>
        <v/>
      </c>
      <c r="R234" s="244" t="str">
        <f>IF('ASIGNACIÓN ASIGNATURAS'!AA234="","",'ASIGNACIÓN ASIGNATURAS'!AA234)</f>
        <v/>
      </c>
      <c r="S234" s="244" t="str">
        <f>IF('ASIGNACIÓN ASIGNATURAS'!AB234="","",'ASIGNACIÓN ASIGNATURAS'!AB234)</f>
        <v/>
      </c>
    </row>
    <row r="235" spans="1:19" x14ac:dyDescent="0.3">
      <c r="A235" s="290" t="str">
        <f>IF('ASIGNACIÓN ASIGNATURAS'!J235="","",'ASIGNACIÓN ASIGNATURAS'!J235)</f>
        <v/>
      </c>
      <c r="B235" s="290" t="str">
        <f>IF('ASIGNACIÓN ASIGNATURAS'!K235="","",'ASIGNACIÓN ASIGNATURAS'!K235)</f>
        <v/>
      </c>
      <c r="C235" s="290" t="str">
        <f>IF('ASIGNACIÓN ASIGNATURAS'!L235="","",'ASIGNACIÓN ASIGNATURAS'!L235)</f>
        <v/>
      </c>
      <c r="D235" s="290" t="str">
        <f>IF('ASIGNACIÓN ASIGNATURAS'!M235="","",'ASIGNACIÓN ASIGNATURAS'!M235)</f>
        <v/>
      </c>
      <c r="E235" s="290" t="str">
        <f>IF('ASIGNACIÓN ASIGNATURAS'!N235="","",'ASIGNACIÓN ASIGNATURAS'!N235)</f>
        <v/>
      </c>
      <c r="F235" s="290" t="str">
        <f>IF('ASIGNACIÓN ASIGNATURAS'!O235="","",'ASIGNACIÓN ASIGNATURAS'!O235)</f>
        <v/>
      </c>
      <c r="G235" s="290" t="str">
        <f>IF('ASIGNACIÓN ASIGNATURAS'!P235="","",'ASIGNACIÓN ASIGNATURAS'!P235)</f>
        <v/>
      </c>
      <c r="H235" s="290" t="str">
        <f>IF('ASIGNACIÓN ASIGNATURAS'!T235="","",'ASIGNACIÓN ASIGNATURAS'!T235)</f>
        <v/>
      </c>
      <c r="I235" s="290" t="str">
        <f>IF('ASIGNACIÓN ASIGNATURAS'!U235="","",'ASIGNACIÓN ASIGNATURAS'!U235)</f>
        <v/>
      </c>
      <c r="J235" s="290" t="str">
        <f>IF('ASIGNACIÓN ASIGNATURAS'!V235="","",'ASIGNACIÓN ASIGNATURAS'!V235)</f>
        <v/>
      </c>
      <c r="K235" s="301" t="str">
        <f>IF('ASIGNACIÓN ASIGNATURAS'!S235="","",'ASIGNACIÓN ASIGNATURAS'!S235)</f>
        <v/>
      </c>
      <c r="L235" s="244" t="str">
        <f>IF('ASIGNACIÓN ASIGNATURAS'!Q235="","",'ASIGNACIÓN ASIGNATURAS'!Q235)</f>
        <v/>
      </c>
      <c r="M235" s="244" t="str">
        <f>IF('ASIGNACIÓN ASIGNATURAS'!R235="","",'ASIGNACIÓN ASIGNATURAS'!R235)</f>
        <v/>
      </c>
      <c r="N235" s="244" t="str">
        <f>IF('ASIGNACIÓN ASIGNATURAS'!W235="","",'ASIGNACIÓN ASIGNATURAS'!W235)</f>
        <v/>
      </c>
      <c r="O235" s="244" t="str">
        <f>IF('ASIGNACIÓN ASIGNATURAS'!X235="","",'ASIGNACIÓN ASIGNATURAS'!X235)</f>
        <v/>
      </c>
      <c r="P235" s="244" t="str">
        <f>IF('ASIGNACIÓN ASIGNATURAS'!Y235="","",'ASIGNACIÓN ASIGNATURAS'!Y235)</f>
        <v/>
      </c>
      <c r="Q235" s="244" t="str">
        <f>IF('ASIGNACIÓN ASIGNATURAS'!Z235="","",'ASIGNACIÓN ASIGNATURAS'!Z235)</f>
        <v/>
      </c>
      <c r="R235" s="244" t="str">
        <f>IF('ASIGNACIÓN ASIGNATURAS'!AA235="","",'ASIGNACIÓN ASIGNATURAS'!AA235)</f>
        <v/>
      </c>
      <c r="S235" s="244" t="str">
        <f>IF('ASIGNACIÓN ASIGNATURAS'!AB235="","",'ASIGNACIÓN ASIGNATURAS'!AB235)</f>
        <v/>
      </c>
    </row>
    <row r="236" spans="1:19" x14ac:dyDescent="0.3">
      <c r="A236" s="290" t="str">
        <f>IF('ASIGNACIÓN ASIGNATURAS'!J236="","",'ASIGNACIÓN ASIGNATURAS'!J236)</f>
        <v/>
      </c>
      <c r="B236" s="290" t="str">
        <f>IF('ASIGNACIÓN ASIGNATURAS'!K236="","",'ASIGNACIÓN ASIGNATURAS'!K236)</f>
        <v/>
      </c>
      <c r="C236" s="290" t="str">
        <f>IF('ASIGNACIÓN ASIGNATURAS'!L236="","",'ASIGNACIÓN ASIGNATURAS'!L236)</f>
        <v/>
      </c>
      <c r="D236" s="290" t="str">
        <f>IF('ASIGNACIÓN ASIGNATURAS'!M236="","",'ASIGNACIÓN ASIGNATURAS'!M236)</f>
        <v/>
      </c>
      <c r="E236" s="290" t="str">
        <f>IF('ASIGNACIÓN ASIGNATURAS'!N236="","",'ASIGNACIÓN ASIGNATURAS'!N236)</f>
        <v/>
      </c>
      <c r="F236" s="290" t="str">
        <f>IF('ASIGNACIÓN ASIGNATURAS'!O236="","",'ASIGNACIÓN ASIGNATURAS'!O236)</f>
        <v/>
      </c>
      <c r="G236" s="290" t="str">
        <f>IF('ASIGNACIÓN ASIGNATURAS'!P236="","",'ASIGNACIÓN ASIGNATURAS'!P236)</f>
        <v/>
      </c>
      <c r="H236" s="290" t="str">
        <f>IF('ASIGNACIÓN ASIGNATURAS'!T236="","",'ASIGNACIÓN ASIGNATURAS'!T236)</f>
        <v/>
      </c>
      <c r="I236" s="290" t="str">
        <f>IF('ASIGNACIÓN ASIGNATURAS'!U236="","",'ASIGNACIÓN ASIGNATURAS'!U236)</f>
        <v/>
      </c>
      <c r="J236" s="290" t="str">
        <f>IF('ASIGNACIÓN ASIGNATURAS'!V236="","",'ASIGNACIÓN ASIGNATURAS'!V236)</f>
        <v/>
      </c>
      <c r="K236" s="301" t="str">
        <f>IF('ASIGNACIÓN ASIGNATURAS'!S236="","",'ASIGNACIÓN ASIGNATURAS'!S236)</f>
        <v/>
      </c>
      <c r="L236" s="244" t="str">
        <f>IF('ASIGNACIÓN ASIGNATURAS'!Q236="","",'ASIGNACIÓN ASIGNATURAS'!Q236)</f>
        <v/>
      </c>
      <c r="M236" s="244" t="str">
        <f>IF('ASIGNACIÓN ASIGNATURAS'!R236="","",'ASIGNACIÓN ASIGNATURAS'!R236)</f>
        <v/>
      </c>
      <c r="N236" s="244" t="str">
        <f>IF('ASIGNACIÓN ASIGNATURAS'!W236="","",'ASIGNACIÓN ASIGNATURAS'!W236)</f>
        <v/>
      </c>
      <c r="O236" s="244" t="str">
        <f>IF('ASIGNACIÓN ASIGNATURAS'!X236="","",'ASIGNACIÓN ASIGNATURAS'!X236)</f>
        <v/>
      </c>
      <c r="P236" s="244" t="str">
        <f>IF('ASIGNACIÓN ASIGNATURAS'!Y236="","",'ASIGNACIÓN ASIGNATURAS'!Y236)</f>
        <v/>
      </c>
      <c r="Q236" s="244" t="str">
        <f>IF('ASIGNACIÓN ASIGNATURAS'!Z236="","",'ASIGNACIÓN ASIGNATURAS'!Z236)</f>
        <v/>
      </c>
      <c r="R236" s="244" t="str">
        <f>IF('ASIGNACIÓN ASIGNATURAS'!AA236="","",'ASIGNACIÓN ASIGNATURAS'!AA236)</f>
        <v/>
      </c>
      <c r="S236" s="244" t="str">
        <f>IF('ASIGNACIÓN ASIGNATURAS'!AB236="","",'ASIGNACIÓN ASIGNATURAS'!AB236)</f>
        <v/>
      </c>
    </row>
    <row r="237" spans="1:19" x14ac:dyDescent="0.3">
      <c r="A237" s="290" t="str">
        <f>IF('ASIGNACIÓN ASIGNATURAS'!J237="","",'ASIGNACIÓN ASIGNATURAS'!J237)</f>
        <v/>
      </c>
      <c r="B237" s="290" t="str">
        <f>IF('ASIGNACIÓN ASIGNATURAS'!K237="","",'ASIGNACIÓN ASIGNATURAS'!K237)</f>
        <v/>
      </c>
      <c r="C237" s="290" t="str">
        <f>IF('ASIGNACIÓN ASIGNATURAS'!L237="","",'ASIGNACIÓN ASIGNATURAS'!L237)</f>
        <v/>
      </c>
      <c r="D237" s="290" t="str">
        <f>IF('ASIGNACIÓN ASIGNATURAS'!M237="","",'ASIGNACIÓN ASIGNATURAS'!M237)</f>
        <v/>
      </c>
      <c r="E237" s="290" t="str">
        <f>IF('ASIGNACIÓN ASIGNATURAS'!N237="","",'ASIGNACIÓN ASIGNATURAS'!N237)</f>
        <v/>
      </c>
      <c r="F237" s="290" t="str">
        <f>IF('ASIGNACIÓN ASIGNATURAS'!O237="","",'ASIGNACIÓN ASIGNATURAS'!O237)</f>
        <v/>
      </c>
      <c r="G237" s="290" t="str">
        <f>IF('ASIGNACIÓN ASIGNATURAS'!P237="","",'ASIGNACIÓN ASIGNATURAS'!P237)</f>
        <v/>
      </c>
      <c r="H237" s="290" t="str">
        <f>IF('ASIGNACIÓN ASIGNATURAS'!T237="","",'ASIGNACIÓN ASIGNATURAS'!T237)</f>
        <v/>
      </c>
      <c r="I237" s="290" t="str">
        <f>IF('ASIGNACIÓN ASIGNATURAS'!U237="","",'ASIGNACIÓN ASIGNATURAS'!U237)</f>
        <v/>
      </c>
      <c r="J237" s="290" t="str">
        <f>IF('ASIGNACIÓN ASIGNATURAS'!V237="","",'ASIGNACIÓN ASIGNATURAS'!V237)</f>
        <v/>
      </c>
      <c r="K237" s="301" t="str">
        <f>IF('ASIGNACIÓN ASIGNATURAS'!S237="","",'ASIGNACIÓN ASIGNATURAS'!S237)</f>
        <v/>
      </c>
      <c r="L237" s="244" t="str">
        <f>IF('ASIGNACIÓN ASIGNATURAS'!Q237="","",'ASIGNACIÓN ASIGNATURAS'!Q237)</f>
        <v/>
      </c>
      <c r="M237" s="244" t="str">
        <f>IF('ASIGNACIÓN ASIGNATURAS'!R237="","",'ASIGNACIÓN ASIGNATURAS'!R237)</f>
        <v/>
      </c>
      <c r="N237" s="244" t="str">
        <f>IF('ASIGNACIÓN ASIGNATURAS'!W237="","",'ASIGNACIÓN ASIGNATURAS'!W237)</f>
        <v/>
      </c>
      <c r="O237" s="244" t="str">
        <f>IF('ASIGNACIÓN ASIGNATURAS'!X237="","",'ASIGNACIÓN ASIGNATURAS'!X237)</f>
        <v/>
      </c>
      <c r="P237" s="244" t="str">
        <f>IF('ASIGNACIÓN ASIGNATURAS'!Y237="","",'ASIGNACIÓN ASIGNATURAS'!Y237)</f>
        <v/>
      </c>
      <c r="Q237" s="244" t="str">
        <f>IF('ASIGNACIÓN ASIGNATURAS'!Z237="","",'ASIGNACIÓN ASIGNATURAS'!Z237)</f>
        <v/>
      </c>
      <c r="R237" s="244" t="str">
        <f>IF('ASIGNACIÓN ASIGNATURAS'!AA237="","",'ASIGNACIÓN ASIGNATURAS'!AA237)</f>
        <v/>
      </c>
      <c r="S237" s="244" t="str">
        <f>IF('ASIGNACIÓN ASIGNATURAS'!AB237="","",'ASIGNACIÓN ASIGNATURAS'!AB237)</f>
        <v/>
      </c>
    </row>
    <row r="238" spans="1:19" x14ac:dyDescent="0.3">
      <c r="A238" s="290" t="str">
        <f>IF('ASIGNACIÓN ASIGNATURAS'!J238="","",'ASIGNACIÓN ASIGNATURAS'!J238)</f>
        <v/>
      </c>
      <c r="B238" s="290" t="str">
        <f>IF('ASIGNACIÓN ASIGNATURAS'!K238="","",'ASIGNACIÓN ASIGNATURAS'!K238)</f>
        <v/>
      </c>
      <c r="C238" s="290" t="str">
        <f>IF('ASIGNACIÓN ASIGNATURAS'!L238="","",'ASIGNACIÓN ASIGNATURAS'!L238)</f>
        <v/>
      </c>
      <c r="D238" s="290" t="str">
        <f>IF('ASIGNACIÓN ASIGNATURAS'!M238="","",'ASIGNACIÓN ASIGNATURAS'!M238)</f>
        <v/>
      </c>
      <c r="E238" s="290" t="str">
        <f>IF('ASIGNACIÓN ASIGNATURAS'!N238="","",'ASIGNACIÓN ASIGNATURAS'!N238)</f>
        <v/>
      </c>
      <c r="F238" s="290" t="str">
        <f>IF('ASIGNACIÓN ASIGNATURAS'!O238="","",'ASIGNACIÓN ASIGNATURAS'!O238)</f>
        <v/>
      </c>
      <c r="G238" s="290" t="str">
        <f>IF('ASIGNACIÓN ASIGNATURAS'!P238="","",'ASIGNACIÓN ASIGNATURAS'!P238)</f>
        <v/>
      </c>
      <c r="H238" s="290" t="str">
        <f>IF('ASIGNACIÓN ASIGNATURAS'!T238="","",'ASIGNACIÓN ASIGNATURAS'!T238)</f>
        <v/>
      </c>
      <c r="I238" s="290" t="str">
        <f>IF('ASIGNACIÓN ASIGNATURAS'!U238="","",'ASIGNACIÓN ASIGNATURAS'!U238)</f>
        <v/>
      </c>
      <c r="J238" s="290" t="str">
        <f>IF('ASIGNACIÓN ASIGNATURAS'!V238="","",'ASIGNACIÓN ASIGNATURAS'!V238)</f>
        <v/>
      </c>
      <c r="K238" s="301" t="str">
        <f>IF('ASIGNACIÓN ASIGNATURAS'!S238="","",'ASIGNACIÓN ASIGNATURAS'!S238)</f>
        <v/>
      </c>
      <c r="L238" s="244" t="str">
        <f>IF('ASIGNACIÓN ASIGNATURAS'!Q238="","",'ASIGNACIÓN ASIGNATURAS'!Q238)</f>
        <v/>
      </c>
      <c r="M238" s="244" t="str">
        <f>IF('ASIGNACIÓN ASIGNATURAS'!R238="","",'ASIGNACIÓN ASIGNATURAS'!R238)</f>
        <v/>
      </c>
      <c r="N238" s="244" t="str">
        <f>IF('ASIGNACIÓN ASIGNATURAS'!W238="","",'ASIGNACIÓN ASIGNATURAS'!W238)</f>
        <v/>
      </c>
      <c r="O238" s="244" t="str">
        <f>IF('ASIGNACIÓN ASIGNATURAS'!X238="","",'ASIGNACIÓN ASIGNATURAS'!X238)</f>
        <v/>
      </c>
      <c r="P238" s="244" t="str">
        <f>IF('ASIGNACIÓN ASIGNATURAS'!Y238="","",'ASIGNACIÓN ASIGNATURAS'!Y238)</f>
        <v/>
      </c>
      <c r="Q238" s="244" t="str">
        <f>IF('ASIGNACIÓN ASIGNATURAS'!Z238="","",'ASIGNACIÓN ASIGNATURAS'!Z238)</f>
        <v/>
      </c>
      <c r="R238" s="244" t="str">
        <f>IF('ASIGNACIÓN ASIGNATURAS'!AA238="","",'ASIGNACIÓN ASIGNATURAS'!AA238)</f>
        <v/>
      </c>
      <c r="S238" s="244" t="str">
        <f>IF('ASIGNACIÓN ASIGNATURAS'!AB238="","",'ASIGNACIÓN ASIGNATURAS'!AB238)</f>
        <v/>
      </c>
    </row>
    <row r="239" spans="1:19" x14ac:dyDescent="0.3">
      <c r="A239" s="290" t="str">
        <f>IF('ASIGNACIÓN ASIGNATURAS'!J239="","",'ASIGNACIÓN ASIGNATURAS'!J239)</f>
        <v/>
      </c>
      <c r="B239" s="290" t="str">
        <f>IF('ASIGNACIÓN ASIGNATURAS'!K239="","",'ASIGNACIÓN ASIGNATURAS'!K239)</f>
        <v/>
      </c>
      <c r="C239" s="290" t="str">
        <f>IF('ASIGNACIÓN ASIGNATURAS'!L239="","",'ASIGNACIÓN ASIGNATURAS'!L239)</f>
        <v/>
      </c>
      <c r="D239" s="290" t="str">
        <f>IF('ASIGNACIÓN ASIGNATURAS'!M239="","",'ASIGNACIÓN ASIGNATURAS'!M239)</f>
        <v/>
      </c>
      <c r="E239" s="290" t="str">
        <f>IF('ASIGNACIÓN ASIGNATURAS'!N239="","",'ASIGNACIÓN ASIGNATURAS'!N239)</f>
        <v/>
      </c>
      <c r="F239" s="290" t="str">
        <f>IF('ASIGNACIÓN ASIGNATURAS'!O239="","",'ASIGNACIÓN ASIGNATURAS'!O239)</f>
        <v/>
      </c>
      <c r="G239" s="290" t="str">
        <f>IF('ASIGNACIÓN ASIGNATURAS'!P239="","",'ASIGNACIÓN ASIGNATURAS'!P239)</f>
        <v/>
      </c>
      <c r="H239" s="290" t="str">
        <f>IF('ASIGNACIÓN ASIGNATURAS'!T239="","",'ASIGNACIÓN ASIGNATURAS'!T239)</f>
        <v/>
      </c>
      <c r="I239" s="290" t="str">
        <f>IF('ASIGNACIÓN ASIGNATURAS'!U239="","",'ASIGNACIÓN ASIGNATURAS'!U239)</f>
        <v/>
      </c>
      <c r="J239" s="290" t="str">
        <f>IF('ASIGNACIÓN ASIGNATURAS'!V239="","",'ASIGNACIÓN ASIGNATURAS'!V239)</f>
        <v/>
      </c>
      <c r="K239" s="301" t="str">
        <f>IF('ASIGNACIÓN ASIGNATURAS'!S239="","",'ASIGNACIÓN ASIGNATURAS'!S239)</f>
        <v/>
      </c>
      <c r="L239" s="244" t="str">
        <f>IF('ASIGNACIÓN ASIGNATURAS'!Q239="","",'ASIGNACIÓN ASIGNATURAS'!Q239)</f>
        <v/>
      </c>
      <c r="M239" s="244" t="str">
        <f>IF('ASIGNACIÓN ASIGNATURAS'!R239="","",'ASIGNACIÓN ASIGNATURAS'!R239)</f>
        <v/>
      </c>
      <c r="N239" s="244" t="str">
        <f>IF('ASIGNACIÓN ASIGNATURAS'!W239="","",'ASIGNACIÓN ASIGNATURAS'!W239)</f>
        <v/>
      </c>
      <c r="O239" s="244" t="str">
        <f>IF('ASIGNACIÓN ASIGNATURAS'!X239="","",'ASIGNACIÓN ASIGNATURAS'!X239)</f>
        <v/>
      </c>
      <c r="P239" s="244" t="str">
        <f>IF('ASIGNACIÓN ASIGNATURAS'!Y239="","",'ASIGNACIÓN ASIGNATURAS'!Y239)</f>
        <v/>
      </c>
      <c r="Q239" s="244" t="str">
        <f>IF('ASIGNACIÓN ASIGNATURAS'!Z239="","",'ASIGNACIÓN ASIGNATURAS'!Z239)</f>
        <v/>
      </c>
      <c r="R239" s="244" t="str">
        <f>IF('ASIGNACIÓN ASIGNATURAS'!AA239="","",'ASIGNACIÓN ASIGNATURAS'!AA239)</f>
        <v/>
      </c>
      <c r="S239" s="244" t="str">
        <f>IF('ASIGNACIÓN ASIGNATURAS'!AB239="","",'ASIGNACIÓN ASIGNATURAS'!AB239)</f>
        <v/>
      </c>
    </row>
    <row r="240" spans="1:19" x14ac:dyDescent="0.3">
      <c r="A240" s="290" t="str">
        <f>IF('ASIGNACIÓN ASIGNATURAS'!J240="","",'ASIGNACIÓN ASIGNATURAS'!J240)</f>
        <v/>
      </c>
      <c r="B240" s="290" t="str">
        <f>IF('ASIGNACIÓN ASIGNATURAS'!K240="","",'ASIGNACIÓN ASIGNATURAS'!K240)</f>
        <v/>
      </c>
      <c r="C240" s="290" t="str">
        <f>IF('ASIGNACIÓN ASIGNATURAS'!L240="","",'ASIGNACIÓN ASIGNATURAS'!L240)</f>
        <v/>
      </c>
      <c r="D240" s="290" t="str">
        <f>IF('ASIGNACIÓN ASIGNATURAS'!M240="","",'ASIGNACIÓN ASIGNATURAS'!M240)</f>
        <v/>
      </c>
      <c r="E240" s="290" t="str">
        <f>IF('ASIGNACIÓN ASIGNATURAS'!N240="","",'ASIGNACIÓN ASIGNATURAS'!N240)</f>
        <v/>
      </c>
      <c r="F240" s="290" t="str">
        <f>IF('ASIGNACIÓN ASIGNATURAS'!O240="","",'ASIGNACIÓN ASIGNATURAS'!O240)</f>
        <v/>
      </c>
      <c r="G240" s="290" t="str">
        <f>IF('ASIGNACIÓN ASIGNATURAS'!P240="","",'ASIGNACIÓN ASIGNATURAS'!P240)</f>
        <v/>
      </c>
      <c r="H240" s="290" t="str">
        <f>IF('ASIGNACIÓN ASIGNATURAS'!T240="","",'ASIGNACIÓN ASIGNATURAS'!T240)</f>
        <v/>
      </c>
      <c r="I240" s="290" t="str">
        <f>IF('ASIGNACIÓN ASIGNATURAS'!U240="","",'ASIGNACIÓN ASIGNATURAS'!U240)</f>
        <v/>
      </c>
      <c r="J240" s="290" t="str">
        <f>IF('ASIGNACIÓN ASIGNATURAS'!V240="","",'ASIGNACIÓN ASIGNATURAS'!V240)</f>
        <v/>
      </c>
      <c r="K240" s="301" t="str">
        <f>IF('ASIGNACIÓN ASIGNATURAS'!S240="","",'ASIGNACIÓN ASIGNATURAS'!S240)</f>
        <v/>
      </c>
      <c r="L240" s="244" t="str">
        <f>IF('ASIGNACIÓN ASIGNATURAS'!Q240="","",'ASIGNACIÓN ASIGNATURAS'!Q240)</f>
        <v/>
      </c>
      <c r="M240" s="244" t="str">
        <f>IF('ASIGNACIÓN ASIGNATURAS'!R240="","",'ASIGNACIÓN ASIGNATURAS'!R240)</f>
        <v/>
      </c>
      <c r="N240" s="244" t="str">
        <f>IF('ASIGNACIÓN ASIGNATURAS'!W240="","",'ASIGNACIÓN ASIGNATURAS'!W240)</f>
        <v/>
      </c>
      <c r="O240" s="244" t="str">
        <f>IF('ASIGNACIÓN ASIGNATURAS'!X240="","",'ASIGNACIÓN ASIGNATURAS'!X240)</f>
        <v/>
      </c>
      <c r="P240" s="244" t="str">
        <f>IF('ASIGNACIÓN ASIGNATURAS'!Y240="","",'ASIGNACIÓN ASIGNATURAS'!Y240)</f>
        <v/>
      </c>
      <c r="Q240" s="244" t="str">
        <f>IF('ASIGNACIÓN ASIGNATURAS'!Z240="","",'ASIGNACIÓN ASIGNATURAS'!Z240)</f>
        <v/>
      </c>
      <c r="R240" s="244" t="str">
        <f>IF('ASIGNACIÓN ASIGNATURAS'!AA240="","",'ASIGNACIÓN ASIGNATURAS'!AA240)</f>
        <v/>
      </c>
      <c r="S240" s="244" t="str">
        <f>IF('ASIGNACIÓN ASIGNATURAS'!AB240="","",'ASIGNACIÓN ASIGNATURAS'!AB240)</f>
        <v/>
      </c>
    </row>
    <row r="241" spans="1:19" x14ac:dyDescent="0.3">
      <c r="A241" s="290" t="str">
        <f>IF('ASIGNACIÓN ASIGNATURAS'!J241="","",'ASIGNACIÓN ASIGNATURAS'!J241)</f>
        <v/>
      </c>
      <c r="B241" s="290" t="str">
        <f>IF('ASIGNACIÓN ASIGNATURAS'!K241="","",'ASIGNACIÓN ASIGNATURAS'!K241)</f>
        <v/>
      </c>
      <c r="C241" s="290" t="str">
        <f>IF('ASIGNACIÓN ASIGNATURAS'!L241="","",'ASIGNACIÓN ASIGNATURAS'!L241)</f>
        <v/>
      </c>
      <c r="D241" s="290" t="str">
        <f>IF('ASIGNACIÓN ASIGNATURAS'!M241="","",'ASIGNACIÓN ASIGNATURAS'!M241)</f>
        <v/>
      </c>
      <c r="E241" s="290" t="str">
        <f>IF('ASIGNACIÓN ASIGNATURAS'!N241="","",'ASIGNACIÓN ASIGNATURAS'!N241)</f>
        <v/>
      </c>
      <c r="F241" s="290" t="str">
        <f>IF('ASIGNACIÓN ASIGNATURAS'!O241="","",'ASIGNACIÓN ASIGNATURAS'!O241)</f>
        <v/>
      </c>
      <c r="G241" s="290" t="str">
        <f>IF('ASIGNACIÓN ASIGNATURAS'!P241="","",'ASIGNACIÓN ASIGNATURAS'!P241)</f>
        <v/>
      </c>
      <c r="H241" s="290" t="str">
        <f>IF('ASIGNACIÓN ASIGNATURAS'!T241="","",'ASIGNACIÓN ASIGNATURAS'!T241)</f>
        <v/>
      </c>
      <c r="I241" s="290" t="str">
        <f>IF('ASIGNACIÓN ASIGNATURAS'!U241="","",'ASIGNACIÓN ASIGNATURAS'!U241)</f>
        <v/>
      </c>
      <c r="J241" s="290" t="str">
        <f>IF('ASIGNACIÓN ASIGNATURAS'!V241="","",'ASIGNACIÓN ASIGNATURAS'!V241)</f>
        <v/>
      </c>
      <c r="K241" s="301" t="str">
        <f>IF('ASIGNACIÓN ASIGNATURAS'!S241="","",'ASIGNACIÓN ASIGNATURAS'!S241)</f>
        <v/>
      </c>
      <c r="L241" s="244" t="str">
        <f>IF('ASIGNACIÓN ASIGNATURAS'!Q241="","",'ASIGNACIÓN ASIGNATURAS'!Q241)</f>
        <v/>
      </c>
      <c r="M241" s="244" t="str">
        <f>IF('ASIGNACIÓN ASIGNATURAS'!R241="","",'ASIGNACIÓN ASIGNATURAS'!R241)</f>
        <v/>
      </c>
      <c r="N241" s="244" t="str">
        <f>IF('ASIGNACIÓN ASIGNATURAS'!W241="","",'ASIGNACIÓN ASIGNATURAS'!W241)</f>
        <v/>
      </c>
      <c r="O241" s="244" t="str">
        <f>IF('ASIGNACIÓN ASIGNATURAS'!X241="","",'ASIGNACIÓN ASIGNATURAS'!X241)</f>
        <v/>
      </c>
      <c r="P241" s="244" t="str">
        <f>IF('ASIGNACIÓN ASIGNATURAS'!Y241="","",'ASIGNACIÓN ASIGNATURAS'!Y241)</f>
        <v/>
      </c>
      <c r="Q241" s="244" t="str">
        <f>IF('ASIGNACIÓN ASIGNATURAS'!Z241="","",'ASIGNACIÓN ASIGNATURAS'!Z241)</f>
        <v/>
      </c>
      <c r="R241" s="244" t="str">
        <f>IF('ASIGNACIÓN ASIGNATURAS'!AA241="","",'ASIGNACIÓN ASIGNATURAS'!AA241)</f>
        <v/>
      </c>
      <c r="S241" s="244" t="str">
        <f>IF('ASIGNACIÓN ASIGNATURAS'!AB241="","",'ASIGNACIÓN ASIGNATURAS'!AB241)</f>
        <v/>
      </c>
    </row>
    <row r="242" spans="1:19" x14ac:dyDescent="0.3">
      <c r="A242" s="290" t="str">
        <f>IF('ASIGNACIÓN ASIGNATURAS'!J242="","",'ASIGNACIÓN ASIGNATURAS'!J242)</f>
        <v/>
      </c>
      <c r="B242" s="290" t="str">
        <f>IF('ASIGNACIÓN ASIGNATURAS'!K242="","",'ASIGNACIÓN ASIGNATURAS'!K242)</f>
        <v/>
      </c>
      <c r="C242" s="290" t="str">
        <f>IF('ASIGNACIÓN ASIGNATURAS'!L242="","",'ASIGNACIÓN ASIGNATURAS'!L242)</f>
        <v/>
      </c>
      <c r="D242" s="290" t="str">
        <f>IF('ASIGNACIÓN ASIGNATURAS'!M242="","",'ASIGNACIÓN ASIGNATURAS'!M242)</f>
        <v/>
      </c>
      <c r="E242" s="290" t="str">
        <f>IF('ASIGNACIÓN ASIGNATURAS'!N242="","",'ASIGNACIÓN ASIGNATURAS'!N242)</f>
        <v/>
      </c>
      <c r="F242" s="290" t="str">
        <f>IF('ASIGNACIÓN ASIGNATURAS'!O242="","",'ASIGNACIÓN ASIGNATURAS'!O242)</f>
        <v/>
      </c>
      <c r="G242" s="290" t="str">
        <f>IF('ASIGNACIÓN ASIGNATURAS'!P242="","",'ASIGNACIÓN ASIGNATURAS'!P242)</f>
        <v/>
      </c>
      <c r="H242" s="290" t="str">
        <f>IF('ASIGNACIÓN ASIGNATURAS'!T242="","",'ASIGNACIÓN ASIGNATURAS'!T242)</f>
        <v/>
      </c>
      <c r="I242" s="290" t="str">
        <f>IF('ASIGNACIÓN ASIGNATURAS'!U242="","",'ASIGNACIÓN ASIGNATURAS'!U242)</f>
        <v/>
      </c>
      <c r="J242" s="290" t="str">
        <f>IF('ASIGNACIÓN ASIGNATURAS'!V242="","",'ASIGNACIÓN ASIGNATURAS'!V242)</f>
        <v/>
      </c>
      <c r="K242" s="301" t="str">
        <f>IF('ASIGNACIÓN ASIGNATURAS'!S242="","",'ASIGNACIÓN ASIGNATURAS'!S242)</f>
        <v/>
      </c>
      <c r="L242" s="244" t="str">
        <f>IF('ASIGNACIÓN ASIGNATURAS'!Q242="","",'ASIGNACIÓN ASIGNATURAS'!Q242)</f>
        <v/>
      </c>
      <c r="M242" s="244" t="str">
        <f>IF('ASIGNACIÓN ASIGNATURAS'!R242="","",'ASIGNACIÓN ASIGNATURAS'!R242)</f>
        <v/>
      </c>
      <c r="N242" s="244" t="str">
        <f>IF('ASIGNACIÓN ASIGNATURAS'!W242="","",'ASIGNACIÓN ASIGNATURAS'!W242)</f>
        <v/>
      </c>
      <c r="O242" s="244" t="str">
        <f>IF('ASIGNACIÓN ASIGNATURAS'!X242="","",'ASIGNACIÓN ASIGNATURAS'!X242)</f>
        <v/>
      </c>
      <c r="P242" s="244" t="str">
        <f>IF('ASIGNACIÓN ASIGNATURAS'!Y242="","",'ASIGNACIÓN ASIGNATURAS'!Y242)</f>
        <v/>
      </c>
      <c r="Q242" s="244" t="str">
        <f>IF('ASIGNACIÓN ASIGNATURAS'!Z242="","",'ASIGNACIÓN ASIGNATURAS'!Z242)</f>
        <v/>
      </c>
      <c r="R242" s="244" t="str">
        <f>IF('ASIGNACIÓN ASIGNATURAS'!AA242="","",'ASIGNACIÓN ASIGNATURAS'!AA242)</f>
        <v/>
      </c>
      <c r="S242" s="244" t="str">
        <f>IF('ASIGNACIÓN ASIGNATURAS'!AB242="","",'ASIGNACIÓN ASIGNATURAS'!AB242)</f>
        <v/>
      </c>
    </row>
    <row r="243" spans="1:19" x14ac:dyDescent="0.3">
      <c r="A243" s="290" t="str">
        <f>IF('ASIGNACIÓN ASIGNATURAS'!J243="","",'ASIGNACIÓN ASIGNATURAS'!J243)</f>
        <v/>
      </c>
      <c r="B243" s="290" t="str">
        <f>IF('ASIGNACIÓN ASIGNATURAS'!K243="","",'ASIGNACIÓN ASIGNATURAS'!K243)</f>
        <v/>
      </c>
      <c r="C243" s="290" t="str">
        <f>IF('ASIGNACIÓN ASIGNATURAS'!L243="","",'ASIGNACIÓN ASIGNATURAS'!L243)</f>
        <v/>
      </c>
      <c r="D243" s="290" t="str">
        <f>IF('ASIGNACIÓN ASIGNATURAS'!M243="","",'ASIGNACIÓN ASIGNATURAS'!M243)</f>
        <v/>
      </c>
      <c r="E243" s="290" t="str">
        <f>IF('ASIGNACIÓN ASIGNATURAS'!N243="","",'ASIGNACIÓN ASIGNATURAS'!N243)</f>
        <v/>
      </c>
      <c r="F243" s="290" t="str">
        <f>IF('ASIGNACIÓN ASIGNATURAS'!O243="","",'ASIGNACIÓN ASIGNATURAS'!O243)</f>
        <v/>
      </c>
      <c r="G243" s="290" t="str">
        <f>IF('ASIGNACIÓN ASIGNATURAS'!P243="","",'ASIGNACIÓN ASIGNATURAS'!P243)</f>
        <v/>
      </c>
      <c r="H243" s="290" t="str">
        <f>IF('ASIGNACIÓN ASIGNATURAS'!T243="","",'ASIGNACIÓN ASIGNATURAS'!T243)</f>
        <v/>
      </c>
      <c r="I243" s="290" t="str">
        <f>IF('ASIGNACIÓN ASIGNATURAS'!U243="","",'ASIGNACIÓN ASIGNATURAS'!U243)</f>
        <v/>
      </c>
      <c r="J243" s="290" t="str">
        <f>IF('ASIGNACIÓN ASIGNATURAS'!V243="","",'ASIGNACIÓN ASIGNATURAS'!V243)</f>
        <v/>
      </c>
      <c r="K243" s="301" t="str">
        <f>IF('ASIGNACIÓN ASIGNATURAS'!S243="","",'ASIGNACIÓN ASIGNATURAS'!S243)</f>
        <v/>
      </c>
      <c r="L243" s="244" t="str">
        <f>IF('ASIGNACIÓN ASIGNATURAS'!Q243="","",'ASIGNACIÓN ASIGNATURAS'!Q243)</f>
        <v/>
      </c>
      <c r="M243" s="244" t="str">
        <f>IF('ASIGNACIÓN ASIGNATURAS'!R243="","",'ASIGNACIÓN ASIGNATURAS'!R243)</f>
        <v/>
      </c>
      <c r="N243" s="244" t="str">
        <f>IF('ASIGNACIÓN ASIGNATURAS'!W243="","",'ASIGNACIÓN ASIGNATURAS'!W243)</f>
        <v/>
      </c>
      <c r="O243" s="244" t="str">
        <f>IF('ASIGNACIÓN ASIGNATURAS'!X243="","",'ASIGNACIÓN ASIGNATURAS'!X243)</f>
        <v/>
      </c>
      <c r="P243" s="244" t="str">
        <f>IF('ASIGNACIÓN ASIGNATURAS'!Y243="","",'ASIGNACIÓN ASIGNATURAS'!Y243)</f>
        <v/>
      </c>
      <c r="Q243" s="244" t="str">
        <f>IF('ASIGNACIÓN ASIGNATURAS'!Z243="","",'ASIGNACIÓN ASIGNATURAS'!Z243)</f>
        <v/>
      </c>
      <c r="R243" s="244" t="str">
        <f>IF('ASIGNACIÓN ASIGNATURAS'!AA243="","",'ASIGNACIÓN ASIGNATURAS'!AA243)</f>
        <v/>
      </c>
      <c r="S243" s="244" t="str">
        <f>IF('ASIGNACIÓN ASIGNATURAS'!AB243="","",'ASIGNACIÓN ASIGNATURAS'!AB243)</f>
        <v/>
      </c>
    </row>
    <row r="244" spans="1:19" x14ac:dyDescent="0.3">
      <c r="A244" s="290" t="str">
        <f>IF('ASIGNACIÓN ASIGNATURAS'!J244="","",'ASIGNACIÓN ASIGNATURAS'!J244)</f>
        <v/>
      </c>
      <c r="B244" s="290" t="str">
        <f>IF('ASIGNACIÓN ASIGNATURAS'!K244="","",'ASIGNACIÓN ASIGNATURAS'!K244)</f>
        <v/>
      </c>
      <c r="C244" s="290" t="str">
        <f>IF('ASIGNACIÓN ASIGNATURAS'!L244="","",'ASIGNACIÓN ASIGNATURAS'!L244)</f>
        <v/>
      </c>
      <c r="D244" s="290" t="str">
        <f>IF('ASIGNACIÓN ASIGNATURAS'!M244="","",'ASIGNACIÓN ASIGNATURAS'!M244)</f>
        <v/>
      </c>
      <c r="E244" s="290" t="str">
        <f>IF('ASIGNACIÓN ASIGNATURAS'!N244="","",'ASIGNACIÓN ASIGNATURAS'!N244)</f>
        <v/>
      </c>
      <c r="F244" s="290" t="str">
        <f>IF('ASIGNACIÓN ASIGNATURAS'!O244="","",'ASIGNACIÓN ASIGNATURAS'!O244)</f>
        <v/>
      </c>
      <c r="G244" s="290" t="str">
        <f>IF('ASIGNACIÓN ASIGNATURAS'!P244="","",'ASIGNACIÓN ASIGNATURAS'!P244)</f>
        <v/>
      </c>
      <c r="H244" s="290" t="str">
        <f>IF('ASIGNACIÓN ASIGNATURAS'!T244="","",'ASIGNACIÓN ASIGNATURAS'!T244)</f>
        <v/>
      </c>
      <c r="I244" s="290" t="str">
        <f>IF('ASIGNACIÓN ASIGNATURAS'!U244="","",'ASIGNACIÓN ASIGNATURAS'!U244)</f>
        <v/>
      </c>
      <c r="J244" s="290" t="str">
        <f>IF('ASIGNACIÓN ASIGNATURAS'!V244="","",'ASIGNACIÓN ASIGNATURAS'!V244)</f>
        <v/>
      </c>
      <c r="K244" s="301" t="str">
        <f>IF('ASIGNACIÓN ASIGNATURAS'!S244="","",'ASIGNACIÓN ASIGNATURAS'!S244)</f>
        <v/>
      </c>
      <c r="L244" s="244" t="str">
        <f>IF('ASIGNACIÓN ASIGNATURAS'!Q244="","",'ASIGNACIÓN ASIGNATURAS'!Q244)</f>
        <v/>
      </c>
      <c r="M244" s="244" t="str">
        <f>IF('ASIGNACIÓN ASIGNATURAS'!R244="","",'ASIGNACIÓN ASIGNATURAS'!R244)</f>
        <v/>
      </c>
      <c r="N244" s="244" t="str">
        <f>IF('ASIGNACIÓN ASIGNATURAS'!W244="","",'ASIGNACIÓN ASIGNATURAS'!W244)</f>
        <v/>
      </c>
      <c r="O244" s="244" t="str">
        <f>IF('ASIGNACIÓN ASIGNATURAS'!X244="","",'ASIGNACIÓN ASIGNATURAS'!X244)</f>
        <v/>
      </c>
      <c r="P244" s="244" t="str">
        <f>IF('ASIGNACIÓN ASIGNATURAS'!Y244="","",'ASIGNACIÓN ASIGNATURAS'!Y244)</f>
        <v/>
      </c>
      <c r="Q244" s="244" t="str">
        <f>IF('ASIGNACIÓN ASIGNATURAS'!Z244="","",'ASIGNACIÓN ASIGNATURAS'!Z244)</f>
        <v/>
      </c>
      <c r="R244" s="244" t="str">
        <f>IF('ASIGNACIÓN ASIGNATURAS'!AA244="","",'ASIGNACIÓN ASIGNATURAS'!AA244)</f>
        <v/>
      </c>
      <c r="S244" s="244" t="str">
        <f>IF('ASIGNACIÓN ASIGNATURAS'!AB244="","",'ASIGNACIÓN ASIGNATURAS'!AB244)</f>
        <v/>
      </c>
    </row>
    <row r="245" spans="1:19" x14ac:dyDescent="0.3">
      <c r="A245" s="290" t="str">
        <f>IF('ASIGNACIÓN ASIGNATURAS'!J245="","",'ASIGNACIÓN ASIGNATURAS'!J245)</f>
        <v/>
      </c>
      <c r="B245" s="290" t="str">
        <f>IF('ASIGNACIÓN ASIGNATURAS'!K245="","",'ASIGNACIÓN ASIGNATURAS'!K245)</f>
        <v/>
      </c>
      <c r="C245" s="290" t="str">
        <f>IF('ASIGNACIÓN ASIGNATURAS'!L245="","",'ASIGNACIÓN ASIGNATURAS'!L245)</f>
        <v/>
      </c>
      <c r="D245" s="290" t="str">
        <f>IF('ASIGNACIÓN ASIGNATURAS'!M245="","",'ASIGNACIÓN ASIGNATURAS'!M245)</f>
        <v/>
      </c>
      <c r="E245" s="290" t="str">
        <f>IF('ASIGNACIÓN ASIGNATURAS'!N245="","",'ASIGNACIÓN ASIGNATURAS'!N245)</f>
        <v/>
      </c>
      <c r="F245" s="290" t="str">
        <f>IF('ASIGNACIÓN ASIGNATURAS'!O245="","",'ASIGNACIÓN ASIGNATURAS'!O245)</f>
        <v/>
      </c>
      <c r="G245" s="290" t="str">
        <f>IF('ASIGNACIÓN ASIGNATURAS'!P245="","",'ASIGNACIÓN ASIGNATURAS'!P245)</f>
        <v/>
      </c>
      <c r="H245" s="290" t="str">
        <f>IF('ASIGNACIÓN ASIGNATURAS'!T245="","",'ASIGNACIÓN ASIGNATURAS'!T245)</f>
        <v/>
      </c>
      <c r="I245" s="290" t="str">
        <f>IF('ASIGNACIÓN ASIGNATURAS'!U245="","",'ASIGNACIÓN ASIGNATURAS'!U245)</f>
        <v/>
      </c>
      <c r="J245" s="290" t="str">
        <f>IF('ASIGNACIÓN ASIGNATURAS'!V245="","",'ASIGNACIÓN ASIGNATURAS'!V245)</f>
        <v/>
      </c>
      <c r="K245" s="301" t="str">
        <f>IF('ASIGNACIÓN ASIGNATURAS'!S245="","",'ASIGNACIÓN ASIGNATURAS'!S245)</f>
        <v/>
      </c>
      <c r="L245" s="244" t="str">
        <f>IF('ASIGNACIÓN ASIGNATURAS'!Q245="","",'ASIGNACIÓN ASIGNATURAS'!Q245)</f>
        <v/>
      </c>
      <c r="M245" s="244" t="str">
        <f>IF('ASIGNACIÓN ASIGNATURAS'!R245="","",'ASIGNACIÓN ASIGNATURAS'!R245)</f>
        <v/>
      </c>
      <c r="N245" s="244" t="str">
        <f>IF('ASIGNACIÓN ASIGNATURAS'!W245="","",'ASIGNACIÓN ASIGNATURAS'!W245)</f>
        <v/>
      </c>
      <c r="O245" s="244" t="str">
        <f>IF('ASIGNACIÓN ASIGNATURAS'!X245="","",'ASIGNACIÓN ASIGNATURAS'!X245)</f>
        <v/>
      </c>
      <c r="P245" s="244" t="str">
        <f>IF('ASIGNACIÓN ASIGNATURAS'!Y245="","",'ASIGNACIÓN ASIGNATURAS'!Y245)</f>
        <v/>
      </c>
      <c r="Q245" s="244" t="str">
        <f>IF('ASIGNACIÓN ASIGNATURAS'!Z245="","",'ASIGNACIÓN ASIGNATURAS'!Z245)</f>
        <v/>
      </c>
      <c r="R245" s="244" t="str">
        <f>IF('ASIGNACIÓN ASIGNATURAS'!AA245="","",'ASIGNACIÓN ASIGNATURAS'!AA245)</f>
        <v/>
      </c>
      <c r="S245" s="244" t="str">
        <f>IF('ASIGNACIÓN ASIGNATURAS'!AB245="","",'ASIGNACIÓN ASIGNATURAS'!AB245)</f>
        <v/>
      </c>
    </row>
    <row r="246" spans="1:19" x14ac:dyDescent="0.3">
      <c r="A246" s="290" t="str">
        <f>IF('ASIGNACIÓN ASIGNATURAS'!J246="","",'ASIGNACIÓN ASIGNATURAS'!J246)</f>
        <v/>
      </c>
      <c r="B246" s="290" t="str">
        <f>IF('ASIGNACIÓN ASIGNATURAS'!K246="","",'ASIGNACIÓN ASIGNATURAS'!K246)</f>
        <v/>
      </c>
      <c r="C246" s="290" t="str">
        <f>IF('ASIGNACIÓN ASIGNATURAS'!L246="","",'ASIGNACIÓN ASIGNATURAS'!L246)</f>
        <v/>
      </c>
      <c r="D246" s="290" t="str">
        <f>IF('ASIGNACIÓN ASIGNATURAS'!M246="","",'ASIGNACIÓN ASIGNATURAS'!M246)</f>
        <v/>
      </c>
      <c r="E246" s="290" t="str">
        <f>IF('ASIGNACIÓN ASIGNATURAS'!N246="","",'ASIGNACIÓN ASIGNATURAS'!N246)</f>
        <v/>
      </c>
      <c r="F246" s="290" t="str">
        <f>IF('ASIGNACIÓN ASIGNATURAS'!O246="","",'ASIGNACIÓN ASIGNATURAS'!O246)</f>
        <v/>
      </c>
      <c r="G246" s="290" t="str">
        <f>IF('ASIGNACIÓN ASIGNATURAS'!P246="","",'ASIGNACIÓN ASIGNATURAS'!P246)</f>
        <v/>
      </c>
      <c r="H246" s="290" t="str">
        <f>IF('ASIGNACIÓN ASIGNATURAS'!T246="","",'ASIGNACIÓN ASIGNATURAS'!T246)</f>
        <v/>
      </c>
      <c r="I246" s="290" t="str">
        <f>IF('ASIGNACIÓN ASIGNATURAS'!U246="","",'ASIGNACIÓN ASIGNATURAS'!U246)</f>
        <v/>
      </c>
      <c r="J246" s="290" t="str">
        <f>IF('ASIGNACIÓN ASIGNATURAS'!V246="","",'ASIGNACIÓN ASIGNATURAS'!V246)</f>
        <v/>
      </c>
      <c r="K246" s="301" t="str">
        <f>IF('ASIGNACIÓN ASIGNATURAS'!S246="","",'ASIGNACIÓN ASIGNATURAS'!S246)</f>
        <v/>
      </c>
      <c r="L246" s="244" t="str">
        <f>IF('ASIGNACIÓN ASIGNATURAS'!Q246="","",'ASIGNACIÓN ASIGNATURAS'!Q246)</f>
        <v/>
      </c>
      <c r="M246" s="244" t="str">
        <f>IF('ASIGNACIÓN ASIGNATURAS'!R246="","",'ASIGNACIÓN ASIGNATURAS'!R246)</f>
        <v/>
      </c>
      <c r="N246" s="244" t="str">
        <f>IF('ASIGNACIÓN ASIGNATURAS'!W246="","",'ASIGNACIÓN ASIGNATURAS'!W246)</f>
        <v/>
      </c>
      <c r="O246" s="244" t="str">
        <f>IF('ASIGNACIÓN ASIGNATURAS'!X246="","",'ASIGNACIÓN ASIGNATURAS'!X246)</f>
        <v/>
      </c>
      <c r="P246" s="244" t="str">
        <f>IF('ASIGNACIÓN ASIGNATURAS'!Y246="","",'ASIGNACIÓN ASIGNATURAS'!Y246)</f>
        <v/>
      </c>
      <c r="Q246" s="244" t="str">
        <f>IF('ASIGNACIÓN ASIGNATURAS'!Z246="","",'ASIGNACIÓN ASIGNATURAS'!Z246)</f>
        <v/>
      </c>
      <c r="R246" s="244" t="str">
        <f>IF('ASIGNACIÓN ASIGNATURAS'!AA246="","",'ASIGNACIÓN ASIGNATURAS'!AA246)</f>
        <v/>
      </c>
      <c r="S246" s="244" t="str">
        <f>IF('ASIGNACIÓN ASIGNATURAS'!AB246="","",'ASIGNACIÓN ASIGNATURAS'!AB246)</f>
        <v/>
      </c>
    </row>
    <row r="247" spans="1:19" x14ac:dyDescent="0.3">
      <c r="A247" s="290" t="str">
        <f>IF('ASIGNACIÓN ASIGNATURAS'!J247="","",'ASIGNACIÓN ASIGNATURAS'!J247)</f>
        <v/>
      </c>
      <c r="B247" s="290" t="str">
        <f>IF('ASIGNACIÓN ASIGNATURAS'!K247="","",'ASIGNACIÓN ASIGNATURAS'!K247)</f>
        <v/>
      </c>
      <c r="C247" s="290" t="str">
        <f>IF('ASIGNACIÓN ASIGNATURAS'!L247="","",'ASIGNACIÓN ASIGNATURAS'!L247)</f>
        <v/>
      </c>
      <c r="D247" s="290" t="str">
        <f>IF('ASIGNACIÓN ASIGNATURAS'!M247="","",'ASIGNACIÓN ASIGNATURAS'!M247)</f>
        <v/>
      </c>
      <c r="E247" s="290" t="str">
        <f>IF('ASIGNACIÓN ASIGNATURAS'!N247="","",'ASIGNACIÓN ASIGNATURAS'!N247)</f>
        <v/>
      </c>
      <c r="F247" s="290" t="str">
        <f>IF('ASIGNACIÓN ASIGNATURAS'!O247="","",'ASIGNACIÓN ASIGNATURAS'!O247)</f>
        <v/>
      </c>
      <c r="G247" s="290" t="str">
        <f>IF('ASIGNACIÓN ASIGNATURAS'!P247="","",'ASIGNACIÓN ASIGNATURAS'!P247)</f>
        <v/>
      </c>
      <c r="H247" s="290" t="str">
        <f>IF('ASIGNACIÓN ASIGNATURAS'!T247="","",'ASIGNACIÓN ASIGNATURAS'!T247)</f>
        <v/>
      </c>
      <c r="I247" s="290" t="str">
        <f>IF('ASIGNACIÓN ASIGNATURAS'!U247="","",'ASIGNACIÓN ASIGNATURAS'!U247)</f>
        <v/>
      </c>
      <c r="J247" s="290" t="str">
        <f>IF('ASIGNACIÓN ASIGNATURAS'!V247="","",'ASIGNACIÓN ASIGNATURAS'!V247)</f>
        <v/>
      </c>
      <c r="K247" s="301" t="str">
        <f>IF('ASIGNACIÓN ASIGNATURAS'!S247="","",'ASIGNACIÓN ASIGNATURAS'!S247)</f>
        <v/>
      </c>
      <c r="L247" s="244" t="str">
        <f>IF('ASIGNACIÓN ASIGNATURAS'!Q247="","",'ASIGNACIÓN ASIGNATURAS'!Q247)</f>
        <v/>
      </c>
      <c r="M247" s="244" t="str">
        <f>IF('ASIGNACIÓN ASIGNATURAS'!R247="","",'ASIGNACIÓN ASIGNATURAS'!R247)</f>
        <v/>
      </c>
      <c r="N247" s="244" t="str">
        <f>IF('ASIGNACIÓN ASIGNATURAS'!W247="","",'ASIGNACIÓN ASIGNATURAS'!W247)</f>
        <v/>
      </c>
      <c r="O247" s="244" t="str">
        <f>IF('ASIGNACIÓN ASIGNATURAS'!X247="","",'ASIGNACIÓN ASIGNATURAS'!X247)</f>
        <v/>
      </c>
      <c r="P247" s="244" t="str">
        <f>IF('ASIGNACIÓN ASIGNATURAS'!Y247="","",'ASIGNACIÓN ASIGNATURAS'!Y247)</f>
        <v/>
      </c>
      <c r="Q247" s="244" t="str">
        <f>IF('ASIGNACIÓN ASIGNATURAS'!Z247="","",'ASIGNACIÓN ASIGNATURAS'!Z247)</f>
        <v/>
      </c>
      <c r="R247" s="244" t="str">
        <f>IF('ASIGNACIÓN ASIGNATURAS'!AA247="","",'ASIGNACIÓN ASIGNATURAS'!AA247)</f>
        <v/>
      </c>
      <c r="S247" s="244" t="str">
        <f>IF('ASIGNACIÓN ASIGNATURAS'!AB247="","",'ASIGNACIÓN ASIGNATURAS'!AB247)</f>
        <v/>
      </c>
    </row>
    <row r="248" spans="1:19" x14ac:dyDescent="0.3">
      <c r="A248" s="290" t="str">
        <f>IF('ASIGNACIÓN ASIGNATURAS'!J248="","",'ASIGNACIÓN ASIGNATURAS'!J248)</f>
        <v/>
      </c>
      <c r="B248" s="290" t="str">
        <f>IF('ASIGNACIÓN ASIGNATURAS'!K248="","",'ASIGNACIÓN ASIGNATURAS'!K248)</f>
        <v/>
      </c>
      <c r="C248" s="290" t="str">
        <f>IF('ASIGNACIÓN ASIGNATURAS'!L248="","",'ASIGNACIÓN ASIGNATURAS'!L248)</f>
        <v/>
      </c>
      <c r="D248" s="290" t="str">
        <f>IF('ASIGNACIÓN ASIGNATURAS'!M248="","",'ASIGNACIÓN ASIGNATURAS'!M248)</f>
        <v/>
      </c>
      <c r="E248" s="290" t="str">
        <f>IF('ASIGNACIÓN ASIGNATURAS'!N248="","",'ASIGNACIÓN ASIGNATURAS'!N248)</f>
        <v/>
      </c>
      <c r="F248" s="290" t="str">
        <f>IF('ASIGNACIÓN ASIGNATURAS'!O248="","",'ASIGNACIÓN ASIGNATURAS'!O248)</f>
        <v/>
      </c>
      <c r="G248" s="290" t="str">
        <f>IF('ASIGNACIÓN ASIGNATURAS'!P248="","",'ASIGNACIÓN ASIGNATURAS'!P248)</f>
        <v/>
      </c>
      <c r="H248" s="290" t="str">
        <f>IF('ASIGNACIÓN ASIGNATURAS'!T248="","",'ASIGNACIÓN ASIGNATURAS'!T248)</f>
        <v/>
      </c>
      <c r="I248" s="290" t="str">
        <f>IF('ASIGNACIÓN ASIGNATURAS'!U248="","",'ASIGNACIÓN ASIGNATURAS'!U248)</f>
        <v/>
      </c>
      <c r="J248" s="290" t="str">
        <f>IF('ASIGNACIÓN ASIGNATURAS'!V248="","",'ASIGNACIÓN ASIGNATURAS'!V248)</f>
        <v/>
      </c>
      <c r="K248" s="301" t="str">
        <f>IF('ASIGNACIÓN ASIGNATURAS'!S248="","",'ASIGNACIÓN ASIGNATURAS'!S248)</f>
        <v/>
      </c>
      <c r="L248" s="244" t="str">
        <f>IF('ASIGNACIÓN ASIGNATURAS'!Q248="","",'ASIGNACIÓN ASIGNATURAS'!Q248)</f>
        <v/>
      </c>
      <c r="M248" s="244" t="str">
        <f>IF('ASIGNACIÓN ASIGNATURAS'!R248="","",'ASIGNACIÓN ASIGNATURAS'!R248)</f>
        <v/>
      </c>
      <c r="N248" s="244" t="str">
        <f>IF('ASIGNACIÓN ASIGNATURAS'!W248="","",'ASIGNACIÓN ASIGNATURAS'!W248)</f>
        <v/>
      </c>
      <c r="O248" s="244" t="str">
        <f>IF('ASIGNACIÓN ASIGNATURAS'!X248="","",'ASIGNACIÓN ASIGNATURAS'!X248)</f>
        <v/>
      </c>
      <c r="P248" s="244" t="str">
        <f>IF('ASIGNACIÓN ASIGNATURAS'!Y248="","",'ASIGNACIÓN ASIGNATURAS'!Y248)</f>
        <v/>
      </c>
      <c r="Q248" s="244" t="str">
        <f>IF('ASIGNACIÓN ASIGNATURAS'!Z248="","",'ASIGNACIÓN ASIGNATURAS'!Z248)</f>
        <v/>
      </c>
      <c r="R248" s="244" t="str">
        <f>IF('ASIGNACIÓN ASIGNATURAS'!AA248="","",'ASIGNACIÓN ASIGNATURAS'!AA248)</f>
        <v/>
      </c>
      <c r="S248" s="244" t="str">
        <f>IF('ASIGNACIÓN ASIGNATURAS'!AB248="","",'ASIGNACIÓN ASIGNATURAS'!AB248)</f>
        <v/>
      </c>
    </row>
    <row r="249" spans="1:19" x14ac:dyDescent="0.3">
      <c r="A249" s="290" t="str">
        <f>IF('ASIGNACIÓN ASIGNATURAS'!J249="","",'ASIGNACIÓN ASIGNATURAS'!J249)</f>
        <v/>
      </c>
      <c r="B249" s="290" t="str">
        <f>IF('ASIGNACIÓN ASIGNATURAS'!K249="","",'ASIGNACIÓN ASIGNATURAS'!K249)</f>
        <v/>
      </c>
      <c r="C249" s="290" t="str">
        <f>IF('ASIGNACIÓN ASIGNATURAS'!L249="","",'ASIGNACIÓN ASIGNATURAS'!L249)</f>
        <v/>
      </c>
      <c r="D249" s="290" t="str">
        <f>IF('ASIGNACIÓN ASIGNATURAS'!M249="","",'ASIGNACIÓN ASIGNATURAS'!M249)</f>
        <v/>
      </c>
      <c r="E249" s="290" t="str">
        <f>IF('ASIGNACIÓN ASIGNATURAS'!N249="","",'ASIGNACIÓN ASIGNATURAS'!N249)</f>
        <v/>
      </c>
      <c r="F249" s="290" t="str">
        <f>IF('ASIGNACIÓN ASIGNATURAS'!O249="","",'ASIGNACIÓN ASIGNATURAS'!O249)</f>
        <v/>
      </c>
      <c r="G249" s="290" t="str">
        <f>IF('ASIGNACIÓN ASIGNATURAS'!P249="","",'ASIGNACIÓN ASIGNATURAS'!P249)</f>
        <v/>
      </c>
      <c r="H249" s="290" t="str">
        <f>IF('ASIGNACIÓN ASIGNATURAS'!T249="","",'ASIGNACIÓN ASIGNATURAS'!T249)</f>
        <v/>
      </c>
      <c r="I249" s="290" t="str">
        <f>IF('ASIGNACIÓN ASIGNATURAS'!U249="","",'ASIGNACIÓN ASIGNATURAS'!U249)</f>
        <v/>
      </c>
      <c r="J249" s="290" t="str">
        <f>IF('ASIGNACIÓN ASIGNATURAS'!V249="","",'ASIGNACIÓN ASIGNATURAS'!V249)</f>
        <v/>
      </c>
      <c r="K249" s="301" t="str">
        <f>IF('ASIGNACIÓN ASIGNATURAS'!S249="","",'ASIGNACIÓN ASIGNATURAS'!S249)</f>
        <v/>
      </c>
      <c r="L249" s="244" t="str">
        <f>IF('ASIGNACIÓN ASIGNATURAS'!Q249="","",'ASIGNACIÓN ASIGNATURAS'!Q249)</f>
        <v/>
      </c>
      <c r="M249" s="244" t="str">
        <f>IF('ASIGNACIÓN ASIGNATURAS'!R249="","",'ASIGNACIÓN ASIGNATURAS'!R249)</f>
        <v/>
      </c>
      <c r="N249" s="244" t="str">
        <f>IF('ASIGNACIÓN ASIGNATURAS'!W249="","",'ASIGNACIÓN ASIGNATURAS'!W249)</f>
        <v/>
      </c>
      <c r="O249" s="244" t="str">
        <f>IF('ASIGNACIÓN ASIGNATURAS'!X249="","",'ASIGNACIÓN ASIGNATURAS'!X249)</f>
        <v/>
      </c>
      <c r="P249" s="244" t="str">
        <f>IF('ASIGNACIÓN ASIGNATURAS'!Y249="","",'ASIGNACIÓN ASIGNATURAS'!Y249)</f>
        <v/>
      </c>
      <c r="Q249" s="244" t="str">
        <f>IF('ASIGNACIÓN ASIGNATURAS'!Z249="","",'ASIGNACIÓN ASIGNATURAS'!Z249)</f>
        <v/>
      </c>
      <c r="R249" s="244" t="str">
        <f>IF('ASIGNACIÓN ASIGNATURAS'!AA249="","",'ASIGNACIÓN ASIGNATURAS'!AA249)</f>
        <v/>
      </c>
      <c r="S249" s="244" t="str">
        <f>IF('ASIGNACIÓN ASIGNATURAS'!AB249="","",'ASIGNACIÓN ASIGNATURAS'!AB249)</f>
        <v/>
      </c>
    </row>
    <row r="250" spans="1:19" x14ac:dyDescent="0.3">
      <c r="A250" s="290" t="str">
        <f>IF('ASIGNACIÓN ASIGNATURAS'!J250="","",'ASIGNACIÓN ASIGNATURAS'!J250)</f>
        <v/>
      </c>
      <c r="B250" s="290" t="str">
        <f>IF('ASIGNACIÓN ASIGNATURAS'!K250="","",'ASIGNACIÓN ASIGNATURAS'!K250)</f>
        <v/>
      </c>
      <c r="C250" s="290" t="str">
        <f>IF('ASIGNACIÓN ASIGNATURAS'!L250="","",'ASIGNACIÓN ASIGNATURAS'!L250)</f>
        <v/>
      </c>
      <c r="D250" s="290" t="str">
        <f>IF('ASIGNACIÓN ASIGNATURAS'!M250="","",'ASIGNACIÓN ASIGNATURAS'!M250)</f>
        <v/>
      </c>
      <c r="E250" s="290" t="str">
        <f>IF('ASIGNACIÓN ASIGNATURAS'!N250="","",'ASIGNACIÓN ASIGNATURAS'!N250)</f>
        <v/>
      </c>
      <c r="F250" s="290" t="str">
        <f>IF('ASIGNACIÓN ASIGNATURAS'!O250="","",'ASIGNACIÓN ASIGNATURAS'!O250)</f>
        <v/>
      </c>
      <c r="G250" s="290" t="str">
        <f>IF('ASIGNACIÓN ASIGNATURAS'!P250="","",'ASIGNACIÓN ASIGNATURAS'!P250)</f>
        <v/>
      </c>
      <c r="H250" s="290" t="str">
        <f>IF('ASIGNACIÓN ASIGNATURAS'!T250="","",'ASIGNACIÓN ASIGNATURAS'!T250)</f>
        <v/>
      </c>
      <c r="I250" s="290" t="str">
        <f>IF('ASIGNACIÓN ASIGNATURAS'!U250="","",'ASIGNACIÓN ASIGNATURAS'!U250)</f>
        <v/>
      </c>
      <c r="J250" s="290" t="str">
        <f>IF('ASIGNACIÓN ASIGNATURAS'!V250="","",'ASIGNACIÓN ASIGNATURAS'!V250)</f>
        <v/>
      </c>
      <c r="K250" s="301" t="str">
        <f>IF('ASIGNACIÓN ASIGNATURAS'!S250="","",'ASIGNACIÓN ASIGNATURAS'!S250)</f>
        <v/>
      </c>
      <c r="L250" s="244" t="str">
        <f>IF('ASIGNACIÓN ASIGNATURAS'!Q250="","",'ASIGNACIÓN ASIGNATURAS'!Q250)</f>
        <v/>
      </c>
      <c r="M250" s="244" t="str">
        <f>IF('ASIGNACIÓN ASIGNATURAS'!R250="","",'ASIGNACIÓN ASIGNATURAS'!R250)</f>
        <v/>
      </c>
      <c r="N250" s="244" t="str">
        <f>IF('ASIGNACIÓN ASIGNATURAS'!W250="","",'ASIGNACIÓN ASIGNATURAS'!W250)</f>
        <v/>
      </c>
      <c r="O250" s="244" t="str">
        <f>IF('ASIGNACIÓN ASIGNATURAS'!X250="","",'ASIGNACIÓN ASIGNATURAS'!X250)</f>
        <v/>
      </c>
      <c r="P250" s="244" t="str">
        <f>IF('ASIGNACIÓN ASIGNATURAS'!Y250="","",'ASIGNACIÓN ASIGNATURAS'!Y250)</f>
        <v/>
      </c>
      <c r="Q250" s="244" t="str">
        <f>IF('ASIGNACIÓN ASIGNATURAS'!Z250="","",'ASIGNACIÓN ASIGNATURAS'!Z250)</f>
        <v/>
      </c>
      <c r="R250" s="244" t="str">
        <f>IF('ASIGNACIÓN ASIGNATURAS'!AA250="","",'ASIGNACIÓN ASIGNATURAS'!AA250)</f>
        <v/>
      </c>
      <c r="S250" s="244" t="str">
        <f>IF('ASIGNACIÓN ASIGNATURAS'!AB250="","",'ASIGNACIÓN ASIGNATURAS'!AB250)</f>
        <v/>
      </c>
    </row>
    <row r="251" spans="1:19" x14ac:dyDescent="0.3">
      <c r="A251" s="290" t="str">
        <f>IF('ASIGNACIÓN ASIGNATURAS'!J251="","",'ASIGNACIÓN ASIGNATURAS'!J251)</f>
        <v/>
      </c>
      <c r="B251" s="290" t="str">
        <f>IF('ASIGNACIÓN ASIGNATURAS'!K251="","",'ASIGNACIÓN ASIGNATURAS'!K251)</f>
        <v/>
      </c>
      <c r="C251" s="290" t="str">
        <f>IF('ASIGNACIÓN ASIGNATURAS'!L251="","",'ASIGNACIÓN ASIGNATURAS'!L251)</f>
        <v/>
      </c>
      <c r="D251" s="290" t="str">
        <f>IF('ASIGNACIÓN ASIGNATURAS'!M251="","",'ASIGNACIÓN ASIGNATURAS'!M251)</f>
        <v/>
      </c>
      <c r="E251" s="290" t="str">
        <f>IF('ASIGNACIÓN ASIGNATURAS'!N251="","",'ASIGNACIÓN ASIGNATURAS'!N251)</f>
        <v/>
      </c>
      <c r="F251" s="290" t="str">
        <f>IF('ASIGNACIÓN ASIGNATURAS'!O251="","",'ASIGNACIÓN ASIGNATURAS'!O251)</f>
        <v/>
      </c>
      <c r="G251" s="290" t="str">
        <f>IF('ASIGNACIÓN ASIGNATURAS'!P251="","",'ASIGNACIÓN ASIGNATURAS'!P251)</f>
        <v/>
      </c>
      <c r="H251" s="290" t="str">
        <f>IF('ASIGNACIÓN ASIGNATURAS'!T251="","",'ASIGNACIÓN ASIGNATURAS'!T251)</f>
        <v/>
      </c>
      <c r="I251" s="290" t="str">
        <f>IF('ASIGNACIÓN ASIGNATURAS'!U251="","",'ASIGNACIÓN ASIGNATURAS'!U251)</f>
        <v/>
      </c>
      <c r="J251" s="290" t="str">
        <f>IF('ASIGNACIÓN ASIGNATURAS'!V251="","",'ASIGNACIÓN ASIGNATURAS'!V251)</f>
        <v/>
      </c>
      <c r="K251" s="301" t="str">
        <f>IF('ASIGNACIÓN ASIGNATURAS'!S251="","",'ASIGNACIÓN ASIGNATURAS'!S251)</f>
        <v/>
      </c>
      <c r="L251" s="244" t="str">
        <f>IF('ASIGNACIÓN ASIGNATURAS'!Q251="","",'ASIGNACIÓN ASIGNATURAS'!Q251)</f>
        <v/>
      </c>
      <c r="M251" s="244" t="str">
        <f>IF('ASIGNACIÓN ASIGNATURAS'!R251="","",'ASIGNACIÓN ASIGNATURAS'!R251)</f>
        <v/>
      </c>
      <c r="N251" s="244" t="str">
        <f>IF('ASIGNACIÓN ASIGNATURAS'!W251="","",'ASIGNACIÓN ASIGNATURAS'!W251)</f>
        <v/>
      </c>
      <c r="O251" s="244" t="str">
        <f>IF('ASIGNACIÓN ASIGNATURAS'!X251="","",'ASIGNACIÓN ASIGNATURAS'!X251)</f>
        <v/>
      </c>
      <c r="P251" s="244" t="str">
        <f>IF('ASIGNACIÓN ASIGNATURAS'!Y251="","",'ASIGNACIÓN ASIGNATURAS'!Y251)</f>
        <v/>
      </c>
      <c r="Q251" s="244" t="str">
        <f>IF('ASIGNACIÓN ASIGNATURAS'!Z251="","",'ASIGNACIÓN ASIGNATURAS'!Z251)</f>
        <v/>
      </c>
      <c r="R251" s="244" t="str">
        <f>IF('ASIGNACIÓN ASIGNATURAS'!AA251="","",'ASIGNACIÓN ASIGNATURAS'!AA251)</f>
        <v/>
      </c>
      <c r="S251" s="244" t="str">
        <f>IF('ASIGNACIÓN ASIGNATURAS'!AB251="","",'ASIGNACIÓN ASIGNATURAS'!AB251)</f>
        <v/>
      </c>
    </row>
    <row r="252" spans="1:19" x14ac:dyDescent="0.3">
      <c r="A252" s="290" t="str">
        <f>IF('ASIGNACIÓN ASIGNATURAS'!J252="","",'ASIGNACIÓN ASIGNATURAS'!J252)</f>
        <v/>
      </c>
      <c r="B252" s="290" t="str">
        <f>IF('ASIGNACIÓN ASIGNATURAS'!K252="","",'ASIGNACIÓN ASIGNATURAS'!K252)</f>
        <v/>
      </c>
      <c r="C252" s="290" t="str">
        <f>IF('ASIGNACIÓN ASIGNATURAS'!L252="","",'ASIGNACIÓN ASIGNATURAS'!L252)</f>
        <v/>
      </c>
      <c r="D252" s="290" t="str">
        <f>IF('ASIGNACIÓN ASIGNATURAS'!M252="","",'ASIGNACIÓN ASIGNATURAS'!M252)</f>
        <v/>
      </c>
      <c r="E252" s="290" t="str">
        <f>IF('ASIGNACIÓN ASIGNATURAS'!N252="","",'ASIGNACIÓN ASIGNATURAS'!N252)</f>
        <v/>
      </c>
      <c r="F252" s="290" t="str">
        <f>IF('ASIGNACIÓN ASIGNATURAS'!O252="","",'ASIGNACIÓN ASIGNATURAS'!O252)</f>
        <v/>
      </c>
      <c r="G252" s="290" t="str">
        <f>IF('ASIGNACIÓN ASIGNATURAS'!P252="","",'ASIGNACIÓN ASIGNATURAS'!P252)</f>
        <v/>
      </c>
      <c r="H252" s="290" t="str">
        <f>IF('ASIGNACIÓN ASIGNATURAS'!T252="","",'ASIGNACIÓN ASIGNATURAS'!T252)</f>
        <v/>
      </c>
      <c r="I252" s="290" t="str">
        <f>IF('ASIGNACIÓN ASIGNATURAS'!U252="","",'ASIGNACIÓN ASIGNATURAS'!U252)</f>
        <v/>
      </c>
      <c r="J252" s="290" t="str">
        <f>IF('ASIGNACIÓN ASIGNATURAS'!V252="","",'ASIGNACIÓN ASIGNATURAS'!V252)</f>
        <v/>
      </c>
      <c r="K252" s="301" t="str">
        <f>IF('ASIGNACIÓN ASIGNATURAS'!S252="","",'ASIGNACIÓN ASIGNATURAS'!S252)</f>
        <v/>
      </c>
      <c r="L252" s="244" t="str">
        <f>IF('ASIGNACIÓN ASIGNATURAS'!Q252="","",'ASIGNACIÓN ASIGNATURAS'!Q252)</f>
        <v/>
      </c>
      <c r="M252" s="244" t="str">
        <f>IF('ASIGNACIÓN ASIGNATURAS'!R252="","",'ASIGNACIÓN ASIGNATURAS'!R252)</f>
        <v/>
      </c>
      <c r="N252" s="244" t="str">
        <f>IF('ASIGNACIÓN ASIGNATURAS'!W252="","",'ASIGNACIÓN ASIGNATURAS'!W252)</f>
        <v/>
      </c>
      <c r="O252" s="244" t="str">
        <f>IF('ASIGNACIÓN ASIGNATURAS'!X252="","",'ASIGNACIÓN ASIGNATURAS'!X252)</f>
        <v/>
      </c>
      <c r="P252" s="244" t="str">
        <f>IF('ASIGNACIÓN ASIGNATURAS'!Y252="","",'ASIGNACIÓN ASIGNATURAS'!Y252)</f>
        <v/>
      </c>
      <c r="Q252" s="244" t="str">
        <f>IF('ASIGNACIÓN ASIGNATURAS'!Z252="","",'ASIGNACIÓN ASIGNATURAS'!Z252)</f>
        <v/>
      </c>
      <c r="R252" s="244" t="str">
        <f>IF('ASIGNACIÓN ASIGNATURAS'!AA252="","",'ASIGNACIÓN ASIGNATURAS'!AA252)</f>
        <v/>
      </c>
      <c r="S252" s="244" t="str">
        <f>IF('ASIGNACIÓN ASIGNATURAS'!AB252="","",'ASIGNACIÓN ASIGNATURAS'!AB252)</f>
        <v/>
      </c>
    </row>
    <row r="253" spans="1:19" x14ac:dyDescent="0.3">
      <c r="A253" s="290" t="str">
        <f>IF('ASIGNACIÓN ASIGNATURAS'!J253="","",'ASIGNACIÓN ASIGNATURAS'!J253)</f>
        <v/>
      </c>
      <c r="B253" s="290" t="str">
        <f>IF('ASIGNACIÓN ASIGNATURAS'!K253="","",'ASIGNACIÓN ASIGNATURAS'!K253)</f>
        <v/>
      </c>
      <c r="C253" s="290" t="str">
        <f>IF('ASIGNACIÓN ASIGNATURAS'!L253="","",'ASIGNACIÓN ASIGNATURAS'!L253)</f>
        <v/>
      </c>
      <c r="D253" s="290" t="str">
        <f>IF('ASIGNACIÓN ASIGNATURAS'!M253="","",'ASIGNACIÓN ASIGNATURAS'!M253)</f>
        <v/>
      </c>
      <c r="E253" s="290" t="str">
        <f>IF('ASIGNACIÓN ASIGNATURAS'!N253="","",'ASIGNACIÓN ASIGNATURAS'!N253)</f>
        <v/>
      </c>
      <c r="F253" s="290" t="str">
        <f>IF('ASIGNACIÓN ASIGNATURAS'!O253="","",'ASIGNACIÓN ASIGNATURAS'!O253)</f>
        <v/>
      </c>
      <c r="G253" s="290" t="str">
        <f>IF('ASIGNACIÓN ASIGNATURAS'!P253="","",'ASIGNACIÓN ASIGNATURAS'!P253)</f>
        <v/>
      </c>
      <c r="H253" s="290" t="str">
        <f>IF('ASIGNACIÓN ASIGNATURAS'!T253="","",'ASIGNACIÓN ASIGNATURAS'!T253)</f>
        <v/>
      </c>
      <c r="I253" s="290" t="str">
        <f>IF('ASIGNACIÓN ASIGNATURAS'!U253="","",'ASIGNACIÓN ASIGNATURAS'!U253)</f>
        <v/>
      </c>
      <c r="J253" s="290" t="str">
        <f>IF('ASIGNACIÓN ASIGNATURAS'!V253="","",'ASIGNACIÓN ASIGNATURAS'!V253)</f>
        <v/>
      </c>
      <c r="K253" s="301" t="str">
        <f>IF('ASIGNACIÓN ASIGNATURAS'!S253="","",'ASIGNACIÓN ASIGNATURAS'!S253)</f>
        <v/>
      </c>
      <c r="L253" s="244" t="str">
        <f>IF('ASIGNACIÓN ASIGNATURAS'!Q253="","",'ASIGNACIÓN ASIGNATURAS'!Q253)</f>
        <v/>
      </c>
      <c r="M253" s="244" t="str">
        <f>IF('ASIGNACIÓN ASIGNATURAS'!R253="","",'ASIGNACIÓN ASIGNATURAS'!R253)</f>
        <v/>
      </c>
      <c r="N253" s="244" t="str">
        <f>IF('ASIGNACIÓN ASIGNATURAS'!W253="","",'ASIGNACIÓN ASIGNATURAS'!W253)</f>
        <v/>
      </c>
      <c r="O253" s="244" t="str">
        <f>IF('ASIGNACIÓN ASIGNATURAS'!X253="","",'ASIGNACIÓN ASIGNATURAS'!X253)</f>
        <v/>
      </c>
      <c r="P253" s="244" t="str">
        <f>IF('ASIGNACIÓN ASIGNATURAS'!Y253="","",'ASIGNACIÓN ASIGNATURAS'!Y253)</f>
        <v/>
      </c>
      <c r="Q253" s="244" t="str">
        <f>IF('ASIGNACIÓN ASIGNATURAS'!Z253="","",'ASIGNACIÓN ASIGNATURAS'!Z253)</f>
        <v/>
      </c>
      <c r="R253" s="244" t="str">
        <f>IF('ASIGNACIÓN ASIGNATURAS'!AA253="","",'ASIGNACIÓN ASIGNATURAS'!AA253)</f>
        <v/>
      </c>
      <c r="S253" s="244" t="str">
        <f>IF('ASIGNACIÓN ASIGNATURAS'!AB253="","",'ASIGNACIÓN ASIGNATURAS'!AB253)</f>
        <v/>
      </c>
    </row>
    <row r="254" spans="1:19" x14ac:dyDescent="0.3">
      <c r="A254" s="290" t="str">
        <f>IF('ASIGNACIÓN ASIGNATURAS'!J254="","",'ASIGNACIÓN ASIGNATURAS'!J254)</f>
        <v/>
      </c>
      <c r="B254" s="290" t="str">
        <f>IF('ASIGNACIÓN ASIGNATURAS'!K254="","",'ASIGNACIÓN ASIGNATURAS'!K254)</f>
        <v/>
      </c>
      <c r="C254" s="290" t="str">
        <f>IF('ASIGNACIÓN ASIGNATURAS'!L254="","",'ASIGNACIÓN ASIGNATURAS'!L254)</f>
        <v/>
      </c>
      <c r="D254" s="290" t="str">
        <f>IF('ASIGNACIÓN ASIGNATURAS'!M254="","",'ASIGNACIÓN ASIGNATURAS'!M254)</f>
        <v/>
      </c>
      <c r="E254" s="290" t="str">
        <f>IF('ASIGNACIÓN ASIGNATURAS'!N254="","",'ASIGNACIÓN ASIGNATURAS'!N254)</f>
        <v/>
      </c>
      <c r="F254" s="290" t="str">
        <f>IF('ASIGNACIÓN ASIGNATURAS'!O254="","",'ASIGNACIÓN ASIGNATURAS'!O254)</f>
        <v/>
      </c>
      <c r="G254" s="290" t="str">
        <f>IF('ASIGNACIÓN ASIGNATURAS'!P254="","",'ASIGNACIÓN ASIGNATURAS'!P254)</f>
        <v/>
      </c>
      <c r="H254" s="290" t="str">
        <f>IF('ASIGNACIÓN ASIGNATURAS'!T254="","",'ASIGNACIÓN ASIGNATURAS'!T254)</f>
        <v/>
      </c>
      <c r="I254" s="290" t="str">
        <f>IF('ASIGNACIÓN ASIGNATURAS'!U254="","",'ASIGNACIÓN ASIGNATURAS'!U254)</f>
        <v/>
      </c>
      <c r="J254" s="290" t="str">
        <f>IF('ASIGNACIÓN ASIGNATURAS'!V254="","",'ASIGNACIÓN ASIGNATURAS'!V254)</f>
        <v/>
      </c>
      <c r="K254" s="301" t="str">
        <f>IF('ASIGNACIÓN ASIGNATURAS'!S254="","",'ASIGNACIÓN ASIGNATURAS'!S254)</f>
        <v/>
      </c>
      <c r="L254" s="244" t="str">
        <f>IF('ASIGNACIÓN ASIGNATURAS'!Q254="","",'ASIGNACIÓN ASIGNATURAS'!Q254)</f>
        <v/>
      </c>
      <c r="M254" s="244" t="str">
        <f>IF('ASIGNACIÓN ASIGNATURAS'!R254="","",'ASIGNACIÓN ASIGNATURAS'!R254)</f>
        <v/>
      </c>
      <c r="N254" s="244" t="str">
        <f>IF('ASIGNACIÓN ASIGNATURAS'!W254="","",'ASIGNACIÓN ASIGNATURAS'!W254)</f>
        <v/>
      </c>
      <c r="O254" s="244" t="str">
        <f>IF('ASIGNACIÓN ASIGNATURAS'!X254="","",'ASIGNACIÓN ASIGNATURAS'!X254)</f>
        <v/>
      </c>
      <c r="P254" s="244" t="str">
        <f>IF('ASIGNACIÓN ASIGNATURAS'!Y254="","",'ASIGNACIÓN ASIGNATURAS'!Y254)</f>
        <v/>
      </c>
      <c r="Q254" s="244" t="str">
        <f>IF('ASIGNACIÓN ASIGNATURAS'!Z254="","",'ASIGNACIÓN ASIGNATURAS'!Z254)</f>
        <v/>
      </c>
      <c r="R254" s="244" t="str">
        <f>IF('ASIGNACIÓN ASIGNATURAS'!AA254="","",'ASIGNACIÓN ASIGNATURAS'!AA254)</f>
        <v/>
      </c>
      <c r="S254" s="244" t="str">
        <f>IF('ASIGNACIÓN ASIGNATURAS'!AB254="","",'ASIGNACIÓN ASIGNATURAS'!AB254)</f>
        <v/>
      </c>
    </row>
    <row r="255" spans="1:19" x14ac:dyDescent="0.3">
      <c r="A255" s="290" t="str">
        <f>IF('ASIGNACIÓN ASIGNATURAS'!J255="","",'ASIGNACIÓN ASIGNATURAS'!J255)</f>
        <v/>
      </c>
      <c r="B255" s="290" t="str">
        <f>IF('ASIGNACIÓN ASIGNATURAS'!K255="","",'ASIGNACIÓN ASIGNATURAS'!K255)</f>
        <v/>
      </c>
      <c r="C255" s="290" t="str">
        <f>IF('ASIGNACIÓN ASIGNATURAS'!L255="","",'ASIGNACIÓN ASIGNATURAS'!L255)</f>
        <v/>
      </c>
      <c r="D255" s="290" t="str">
        <f>IF('ASIGNACIÓN ASIGNATURAS'!M255="","",'ASIGNACIÓN ASIGNATURAS'!M255)</f>
        <v/>
      </c>
      <c r="E255" s="290" t="str">
        <f>IF('ASIGNACIÓN ASIGNATURAS'!N255="","",'ASIGNACIÓN ASIGNATURAS'!N255)</f>
        <v/>
      </c>
      <c r="F255" s="290" t="str">
        <f>IF('ASIGNACIÓN ASIGNATURAS'!O255="","",'ASIGNACIÓN ASIGNATURAS'!O255)</f>
        <v/>
      </c>
      <c r="G255" s="290" t="str">
        <f>IF('ASIGNACIÓN ASIGNATURAS'!P255="","",'ASIGNACIÓN ASIGNATURAS'!P255)</f>
        <v/>
      </c>
      <c r="H255" s="290" t="str">
        <f>IF('ASIGNACIÓN ASIGNATURAS'!T255="","",'ASIGNACIÓN ASIGNATURAS'!T255)</f>
        <v/>
      </c>
      <c r="I255" s="290" t="str">
        <f>IF('ASIGNACIÓN ASIGNATURAS'!U255="","",'ASIGNACIÓN ASIGNATURAS'!U255)</f>
        <v/>
      </c>
      <c r="J255" s="290" t="str">
        <f>IF('ASIGNACIÓN ASIGNATURAS'!V255="","",'ASIGNACIÓN ASIGNATURAS'!V255)</f>
        <v/>
      </c>
      <c r="K255" s="301" t="str">
        <f>IF('ASIGNACIÓN ASIGNATURAS'!S255="","",'ASIGNACIÓN ASIGNATURAS'!S255)</f>
        <v/>
      </c>
      <c r="L255" s="244" t="str">
        <f>IF('ASIGNACIÓN ASIGNATURAS'!Q255="","",'ASIGNACIÓN ASIGNATURAS'!Q255)</f>
        <v/>
      </c>
      <c r="M255" s="244" t="str">
        <f>IF('ASIGNACIÓN ASIGNATURAS'!R255="","",'ASIGNACIÓN ASIGNATURAS'!R255)</f>
        <v/>
      </c>
      <c r="N255" s="244" t="str">
        <f>IF('ASIGNACIÓN ASIGNATURAS'!W255="","",'ASIGNACIÓN ASIGNATURAS'!W255)</f>
        <v/>
      </c>
      <c r="O255" s="244" t="str">
        <f>IF('ASIGNACIÓN ASIGNATURAS'!X255="","",'ASIGNACIÓN ASIGNATURAS'!X255)</f>
        <v/>
      </c>
      <c r="P255" s="244" t="str">
        <f>IF('ASIGNACIÓN ASIGNATURAS'!Y255="","",'ASIGNACIÓN ASIGNATURAS'!Y255)</f>
        <v/>
      </c>
      <c r="Q255" s="244" t="str">
        <f>IF('ASIGNACIÓN ASIGNATURAS'!Z255="","",'ASIGNACIÓN ASIGNATURAS'!Z255)</f>
        <v/>
      </c>
      <c r="R255" s="244" t="str">
        <f>IF('ASIGNACIÓN ASIGNATURAS'!AA255="","",'ASIGNACIÓN ASIGNATURAS'!AA255)</f>
        <v/>
      </c>
      <c r="S255" s="244" t="str">
        <f>IF('ASIGNACIÓN ASIGNATURAS'!AB255="","",'ASIGNACIÓN ASIGNATURAS'!AB255)</f>
        <v/>
      </c>
    </row>
    <row r="256" spans="1:19" x14ac:dyDescent="0.3">
      <c r="A256" s="290" t="str">
        <f>IF('ASIGNACIÓN ASIGNATURAS'!J256="","",'ASIGNACIÓN ASIGNATURAS'!J256)</f>
        <v/>
      </c>
      <c r="B256" s="290" t="str">
        <f>IF('ASIGNACIÓN ASIGNATURAS'!K256="","",'ASIGNACIÓN ASIGNATURAS'!K256)</f>
        <v/>
      </c>
      <c r="C256" s="290" t="str">
        <f>IF('ASIGNACIÓN ASIGNATURAS'!L256="","",'ASIGNACIÓN ASIGNATURAS'!L256)</f>
        <v/>
      </c>
      <c r="D256" s="290" t="str">
        <f>IF('ASIGNACIÓN ASIGNATURAS'!M256="","",'ASIGNACIÓN ASIGNATURAS'!M256)</f>
        <v/>
      </c>
      <c r="E256" s="290" t="str">
        <f>IF('ASIGNACIÓN ASIGNATURAS'!N256="","",'ASIGNACIÓN ASIGNATURAS'!N256)</f>
        <v/>
      </c>
      <c r="F256" s="290" t="str">
        <f>IF('ASIGNACIÓN ASIGNATURAS'!O256="","",'ASIGNACIÓN ASIGNATURAS'!O256)</f>
        <v/>
      </c>
      <c r="G256" s="290" t="str">
        <f>IF('ASIGNACIÓN ASIGNATURAS'!P256="","",'ASIGNACIÓN ASIGNATURAS'!P256)</f>
        <v/>
      </c>
      <c r="H256" s="290" t="str">
        <f>IF('ASIGNACIÓN ASIGNATURAS'!T256="","",'ASIGNACIÓN ASIGNATURAS'!T256)</f>
        <v/>
      </c>
      <c r="I256" s="290" t="str">
        <f>IF('ASIGNACIÓN ASIGNATURAS'!U256="","",'ASIGNACIÓN ASIGNATURAS'!U256)</f>
        <v/>
      </c>
      <c r="J256" s="290" t="str">
        <f>IF('ASIGNACIÓN ASIGNATURAS'!V256="","",'ASIGNACIÓN ASIGNATURAS'!V256)</f>
        <v/>
      </c>
      <c r="K256" s="301" t="str">
        <f>IF('ASIGNACIÓN ASIGNATURAS'!S256="","",'ASIGNACIÓN ASIGNATURAS'!S256)</f>
        <v/>
      </c>
      <c r="L256" s="244" t="str">
        <f>IF('ASIGNACIÓN ASIGNATURAS'!Q256="","",'ASIGNACIÓN ASIGNATURAS'!Q256)</f>
        <v/>
      </c>
      <c r="M256" s="244" t="str">
        <f>IF('ASIGNACIÓN ASIGNATURAS'!R256="","",'ASIGNACIÓN ASIGNATURAS'!R256)</f>
        <v/>
      </c>
      <c r="N256" s="244" t="str">
        <f>IF('ASIGNACIÓN ASIGNATURAS'!W256="","",'ASIGNACIÓN ASIGNATURAS'!W256)</f>
        <v/>
      </c>
      <c r="O256" s="244" t="str">
        <f>IF('ASIGNACIÓN ASIGNATURAS'!X256="","",'ASIGNACIÓN ASIGNATURAS'!X256)</f>
        <v/>
      </c>
      <c r="P256" s="244" t="str">
        <f>IF('ASIGNACIÓN ASIGNATURAS'!Y256="","",'ASIGNACIÓN ASIGNATURAS'!Y256)</f>
        <v/>
      </c>
      <c r="Q256" s="244" t="str">
        <f>IF('ASIGNACIÓN ASIGNATURAS'!Z256="","",'ASIGNACIÓN ASIGNATURAS'!Z256)</f>
        <v/>
      </c>
      <c r="R256" s="244" t="str">
        <f>IF('ASIGNACIÓN ASIGNATURAS'!AA256="","",'ASIGNACIÓN ASIGNATURAS'!AA256)</f>
        <v/>
      </c>
      <c r="S256" s="244" t="str">
        <f>IF('ASIGNACIÓN ASIGNATURAS'!AB256="","",'ASIGNACIÓN ASIGNATURAS'!AB256)</f>
        <v/>
      </c>
    </row>
    <row r="257" spans="1:19" x14ac:dyDescent="0.3">
      <c r="A257" s="290" t="str">
        <f>IF('ASIGNACIÓN ASIGNATURAS'!J257="","",'ASIGNACIÓN ASIGNATURAS'!J257)</f>
        <v/>
      </c>
      <c r="B257" s="290" t="str">
        <f>IF('ASIGNACIÓN ASIGNATURAS'!K257="","",'ASIGNACIÓN ASIGNATURAS'!K257)</f>
        <v/>
      </c>
      <c r="C257" s="290" t="str">
        <f>IF('ASIGNACIÓN ASIGNATURAS'!L257="","",'ASIGNACIÓN ASIGNATURAS'!L257)</f>
        <v/>
      </c>
      <c r="D257" s="290" t="str">
        <f>IF('ASIGNACIÓN ASIGNATURAS'!M257="","",'ASIGNACIÓN ASIGNATURAS'!M257)</f>
        <v/>
      </c>
      <c r="E257" s="290" t="str">
        <f>IF('ASIGNACIÓN ASIGNATURAS'!N257="","",'ASIGNACIÓN ASIGNATURAS'!N257)</f>
        <v/>
      </c>
      <c r="F257" s="290" t="str">
        <f>IF('ASIGNACIÓN ASIGNATURAS'!O257="","",'ASIGNACIÓN ASIGNATURAS'!O257)</f>
        <v/>
      </c>
      <c r="G257" s="290" t="str">
        <f>IF('ASIGNACIÓN ASIGNATURAS'!P257="","",'ASIGNACIÓN ASIGNATURAS'!P257)</f>
        <v/>
      </c>
      <c r="H257" s="290" t="str">
        <f>IF('ASIGNACIÓN ASIGNATURAS'!T257="","",'ASIGNACIÓN ASIGNATURAS'!T257)</f>
        <v/>
      </c>
      <c r="I257" s="290" t="str">
        <f>IF('ASIGNACIÓN ASIGNATURAS'!U257="","",'ASIGNACIÓN ASIGNATURAS'!U257)</f>
        <v/>
      </c>
      <c r="J257" s="290" t="str">
        <f>IF('ASIGNACIÓN ASIGNATURAS'!V257="","",'ASIGNACIÓN ASIGNATURAS'!V257)</f>
        <v/>
      </c>
      <c r="K257" s="301" t="str">
        <f>IF('ASIGNACIÓN ASIGNATURAS'!S257="","",'ASIGNACIÓN ASIGNATURAS'!S257)</f>
        <v/>
      </c>
      <c r="L257" s="244" t="str">
        <f>IF('ASIGNACIÓN ASIGNATURAS'!Q257="","",'ASIGNACIÓN ASIGNATURAS'!Q257)</f>
        <v/>
      </c>
      <c r="M257" s="244" t="str">
        <f>IF('ASIGNACIÓN ASIGNATURAS'!R257="","",'ASIGNACIÓN ASIGNATURAS'!R257)</f>
        <v/>
      </c>
      <c r="N257" s="244" t="str">
        <f>IF('ASIGNACIÓN ASIGNATURAS'!W257="","",'ASIGNACIÓN ASIGNATURAS'!W257)</f>
        <v/>
      </c>
      <c r="O257" s="244" t="str">
        <f>IF('ASIGNACIÓN ASIGNATURAS'!X257="","",'ASIGNACIÓN ASIGNATURAS'!X257)</f>
        <v/>
      </c>
      <c r="P257" s="244" t="str">
        <f>IF('ASIGNACIÓN ASIGNATURAS'!Y257="","",'ASIGNACIÓN ASIGNATURAS'!Y257)</f>
        <v/>
      </c>
      <c r="Q257" s="244" t="str">
        <f>IF('ASIGNACIÓN ASIGNATURAS'!Z257="","",'ASIGNACIÓN ASIGNATURAS'!Z257)</f>
        <v/>
      </c>
      <c r="R257" s="244" t="str">
        <f>IF('ASIGNACIÓN ASIGNATURAS'!AA257="","",'ASIGNACIÓN ASIGNATURAS'!AA257)</f>
        <v/>
      </c>
      <c r="S257" s="244" t="str">
        <f>IF('ASIGNACIÓN ASIGNATURAS'!AB257="","",'ASIGNACIÓN ASIGNATURAS'!AB257)</f>
        <v/>
      </c>
    </row>
    <row r="258" spans="1:19" x14ac:dyDescent="0.3">
      <c r="A258" s="290" t="str">
        <f>IF('ASIGNACIÓN ASIGNATURAS'!J258="","",'ASIGNACIÓN ASIGNATURAS'!J258)</f>
        <v/>
      </c>
      <c r="B258" s="290" t="str">
        <f>IF('ASIGNACIÓN ASIGNATURAS'!K258="","",'ASIGNACIÓN ASIGNATURAS'!K258)</f>
        <v/>
      </c>
      <c r="C258" s="290" t="str">
        <f>IF('ASIGNACIÓN ASIGNATURAS'!L258="","",'ASIGNACIÓN ASIGNATURAS'!L258)</f>
        <v/>
      </c>
      <c r="D258" s="290" t="str">
        <f>IF('ASIGNACIÓN ASIGNATURAS'!M258="","",'ASIGNACIÓN ASIGNATURAS'!M258)</f>
        <v/>
      </c>
      <c r="E258" s="290" t="str">
        <f>IF('ASIGNACIÓN ASIGNATURAS'!N258="","",'ASIGNACIÓN ASIGNATURAS'!N258)</f>
        <v/>
      </c>
      <c r="F258" s="290" t="str">
        <f>IF('ASIGNACIÓN ASIGNATURAS'!O258="","",'ASIGNACIÓN ASIGNATURAS'!O258)</f>
        <v/>
      </c>
      <c r="G258" s="290" t="str">
        <f>IF('ASIGNACIÓN ASIGNATURAS'!P258="","",'ASIGNACIÓN ASIGNATURAS'!P258)</f>
        <v/>
      </c>
      <c r="H258" s="290" t="str">
        <f>IF('ASIGNACIÓN ASIGNATURAS'!T258="","",'ASIGNACIÓN ASIGNATURAS'!T258)</f>
        <v/>
      </c>
      <c r="I258" s="290" t="str">
        <f>IF('ASIGNACIÓN ASIGNATURAS'!U258="","",'ASIGNACIÓN ASIGNATURAS'!U258)</f>
        <v/>
      </c>
      <c r="J258" s="290" t="str">
        <f>IF('ASIGNACIÓN ASIGNATURAS'!V258="","",'ASIGNACIÓN ASIGNATURAS'!V258)</f>
        <v/>
      </c>
      <c r="K258" s="301" t="str">
        <f>IF('ASIGNACIÓN ASIGNATURAS'!S258="","",'ASIGNACIÓN ASIGNATURAS'!S258)</f>
        <v/>
      </c>
      <c r="L258" s="244" t="str">
        <f>IF('ASIGNACIÓN ASIGNATURAS'!Q258="","",'ASIGNACIÓN ASIGNATURAS'!Q258)</f>
        <v/>
      </c>
      <c r="M258" s="244" t="str">
        <f>IF('ASIGNACIÓN ASIGNATURAS'!R258="","",'ASIGNACIÓN ASIGNATURAS'!R258)</f>
        <v/>
      </c>
      <c r="N258" s="244" t="str">
        <f>IF('ASIGNACIÓN ASIGNATURAS'!W258="","",'ASIGNACIÓN ASIGNATURAS'!W258)</f>
        <v/>
      </c>
      <c r="O258" s="244" t="str">
        <f>IF('ASIGNACIÓN ASIGNATURAS'!X258="","",'ASIGNACIÓN ASIGNATURAS'!X258)</f>
        <v/>
      </c>
      <c r="P258" s="244" t="str">
        <f>IF('ASIGNACIÓN ASIGNATURAS'!Y258="","",'ASIGNACIÓN ASIGNATURAS'!Y258)</f>
        <v/>
      </c>
      <c r="Q258" s="244" t="str">
        <f>IF('ASIGNACIÓN ASIGNATURAS'!Z258="","",'ASIGNACIÓN ASIGNATURAS'!Z258)</f>
        <v/>
      </c>
      <c r="R258" s="244" t="str">
        <f>IF('ASIGNACIÓN ASIGNATURAS'!AA258="","",'ASIGNACIÓN ASIGNATURAS'!AA258)</f>
        <v/>
      </c>
      <c r="S258" s="244" t="str">
        <f>IF('ASIGNACIÓN ASIGNATURAS'!AB258="","",'ASIGNACIÓN ASIGNATURAS'!AB258)</f>
        <v/>
      </c>
    </row>
    <row r="259" spans="1:19" x14ac:dyDescent="0.3">
      <c r="A259" s="290" t="str">
        <f>IF('ASIGNACIÓN ASIGNATURAS'!J259="","",'ASIGNACIÓN ASIGNATURAS'!J259)</f>
        <v/>
      </c>
      <c r="B259" s="290" t="str">
        <f>IF('ASIGNACIÓN ASIGNATURAS'!K259="","",'ASIGNACIÓN ASIGNATURAS'!K259)</f>
        <v/>
      </c>
      <c r="C259" s="290" t="str">
        <f>IF('ASIGNACIÓN ASIGNATURAS'!L259="","",'ASIGNACIÓN ASIGNATURAS'!L259)</f>
        <v/>
      </c>
      <c r="D259" s="290" t="str">
        <f>IF('ASIGNACIÓN ASIGNATURAS'!M259="","",'ASIGNACIÓN ASIGNATURAS'!M259)</f>
        <v/>
      </c>
      <c r="E259" s="290" t="str">
        <f>IF('ASIGNACIÓN ASIGNATURAS'!N259="","",'ASIGNACIÓN ASIGNATURAS'!N259)</f>
        <v/>
      </c>
      <c r="F259" s="290" t="str">
        <f>IF('ASIGNACIÓN ASIGNATURAS'!O259="","",'ASIGNACIÓN ASIGNATURAS'!O259)</f>
        <v/>
      </c>
      <c r="G259" s="290" t="str">
        <f>IF('ASIGNACIÓN ASIGNATURAS'!P259="","",'ASIGNACIÓN ASIGNATURAS'!P259)</f>
        <v/>
      </c>
      <c r="H259" s="290" t="str">
        <f>IF('ASIGNACIÓN ASIGNATURAS'!T259="","",'ASIGNACIÓN ASIGNATURAS'!T259)</f>
        <v/>
      </c>
      <c r="I259" s="290" t="str">
        <f>IF('ASIGNACIÓN ASIGNATURAS'!U259="","",'ASIGNACIÓN ASIGNATURAS'!U259)</f>
        <v/>
      </c>
      <c r="J259" s="290" t="str">
        <f>IF('ASIGNACIÓN ASIGNATURAS'!V259="","",'ASIGNACIÓN ASIGNATURAS'!V259)</f>
        <v/>
      </c>
      <c r="K259" s="301" t="str">
        <f>IF('ASIGNACIÓN ASIGNATURAS'!S259="","",'ASIGNACIÓN ASIGNATURAS'!S259)</f>
        <v/>
      </c>
      <c r="L259" s="244" t="str">
        <f>IF('ASIGNACIÓN ASIGNATURAS'!Q259="","",'ASIGNACIÓN ASIGNATURAS'!Q259)</f>
        <v/>
      </c>
      <c r="M259" s="244" t="str">
        <f>IF('ASIGNACIÓN ASIGNATURAS'!R259="","",'ASIGNACIÓN ASIGNATURAS'!R259)</f>
        <v/>
      </c>
      <c r="N259" s="244" t="str">
        <f>IF('ASIGNACIÓN ASIGNATURAS'!W259="","",'ASIGNACIÓN ASIGNATURAS'!W259)</f>
        <v/>
      </c>
      <c r="O259" s="244" t="str">
        <f>IF('ASIGNACIÓN ASIGNATURAS'!X259="","",'ASIGNACIÓN ASIGNATURAS'!X259)</f>
        <v/>
      </c>
      <c r="P259" s="244" t="str">
        <f>IF('ASIGNACIÓN ASIGNATURAS'!Y259="","",'ASIGNACIÓN ASIGNATURAS'!Y259)</f>
        <v/>
      </c>
      <c r="Q259" s="244" t="str">
        <f>IF('ASIGNACIÓN ASIGNATURAS'!Z259="","",'ASIGNACIÓN ASIGNATURAS'!Z259)</f>
        <v/>
      </c>
      <c r="R259" s="244" t="str">
        <f>IF('ASIGNACIÓN ASIGNATURAS'!AA259="","",'ASIGNACIÓN ASIGNATURAS'!AA259)</f>
        <v/>
      </c>
      <c r="S259" s="244" t="str">
        <f>IF('ASIGNACIÓN ASIGNATURAS'!AB259="","",'ASIGNACIÓN ASIGNATURAS'!AB259)</f>
        <v/>
      </c>
    </row>
    <row r="260" spans="1:19" x14ac:dyDescent="0.3">
      <c r="A260" s="290" t="str">
        <f>IF('ASIGNACIÓN ASIGNATURAS'!J260="","",'ASIGNACIÓN ASIGNATURAS'!J260)</f>
        <v/>
      </c>
      <c r="B260" s="290" t="str">
        <f>IF('ASIGNACIÓN ASIGNATURAS'!K260="","",'ASIGNACIÓN ASIGNATURAS'!K260)</f>
        <v/>
      </c>
      <c r="C260" s="290" t="str">
        <f>IF('ASIGNACIÓN ASIGNATURAS'!L260="","",'ASIGNACIÓN ASIGNATURAS'!L260)</f>
        <v/>
      </c>
      <c r="D260" s="290" t="str">
        <f>IF('ASIGNACIÓN ASIGNATURAS'!M260="","",'ASIGNACIÓN ASIGNATURAS'!M260)</f>
        <v/>
      </c>
      <c r="E260" s="290" t="str">
        <f>IF('ASIGNACIÓN ASIGNATURAS'!N260="","",'ASIGNACIÓN ASIGNATURAS'!N260)</f>
        <v/>
      </c>
      <c r="F260" s="290" t="str">
        <f>IF('ASIGNACIÓN ASIGNATURAS'!O260="","",'ASIGNACIÓN ASIGNATURAS'!O260)</f>
        <v/>
      </c>
      <c r="G260" s="290" t="str">
        <f>IF('ASIGNACIÓN ASIGNATURAS'!P260="","",'ASIGNACIÓN ASIGNATURAS'!P260)</f>
        <v/>
      </c>
      <c r="H260" s="290" t="str">
        <f>IF('ASIGNACIÓN ASIGNATURAS'!T260="","",'ASIGNACIÓN ASIGNATURAS'!T260)</f>
        <v/>
      </c>
      <c r="I260" s="290" t="str">
        <f>IF('ASIGNACIÓN ASIGNATURAS'!U260="","",'ASIGNACIÓN ASIGNATURAS'!U260)</f>
        <v/>
      </c>
      <c r="J260" s="290" t="str">
        <f>IF('ASIGNACIÓN ASIGNATURAS'!V260="","",'ASIGNACIÓN ASIGNATURAS'!V260)</f>
        <v/>
      </c>
      <c r="K260" s="301" t="str">
        <f>IF('ASIGNACIÓN ASIGNATURAS'!S260="","",'ASIGNACIÓN ASIGNATURAS'!S260)</f>
        <v/>
      </c>
      <c r="L260" s="244" t="str">
        <f>IF('ASIGNACIÓN ASIGNATURAS'!Q260="","",'ASIGNACIÓN ASIGNATURAS'!Q260)</f>
        <v/>
      </c>
      <c r="M260" s="244" t="str">
        <f>IF('ASIGNACIÓN ASIGNATURAS'!R260="","",'ASIGNACIÓN ASIGNATURAS'!R260)</f>
        <v/>
      </c>
      <c r="N260" s="244" t="str">
        <f>IF('ASIGNACIÓN ASIGNATURAS'!W260="","",'ASIGNACIÓN ASIGNATURAS'!W260)</f>
        <v/>
      </c>
      <c r="O260" s="244" t="str">
        <f>IF('ASIGNACIÓN ASIGNATURAS'!X260="","",'ASIGNACIÓN ASIGNATURAS'!X260)</f>
        <v/>
      </c>
      <c r="P260" s="244" t="str">
        <f>IF('ASIGNACIÓN ASIGNATURAS'!Y260="","",'ASIGNACIÓN ASIGNATURAS'!Y260)</f>
        <v/>
      </c>
      <c r="Q260" s="244" t="str">
        <f>IF('ASIGNACIÓN ASIGNATURAS'!Z260="","",'ASIGNACIÓN ASIGNATURAS'!Z260)</f>
        <v/>
      </c>
      <c r="R260" s="244" t="str">
        <f>IF('ASIGNACIÓN ASIGNATURAS'!AA260="","",'ASIGNACIÓN ASIGNATURAS'!AA260)</f>
        <v/>
      </c>
      <c r="S260" s="244" t="str">
        <f>IF('ASIGNACIÓN ASIGNATURAS'!AB260="","",'ASIGNACIÓN ASIGNATURAS'!AB260)</f>
        <v/>
      </c>
    </row>
    <row r="261" spans="1:19" x14ac:dyDescent="0.3">
      <c r="A261" s="290" t="str">
        <f>IF('ASIGNACIÓN ASIGNATURAS'!J261="","",'ASIGNACIÓN ASIGNATURAS'!J261)</f>
        <v/>
      </c>
      <c r="B261" s="290" t="str">
        <f>IF('ASIGNACIÓN ASIGNATURAS'!K261="","",'ASIGNACIÓN ASIGNATURAS'!K261)</f>
        <v/>
      </c>
      <c r="C261" s="290" t="str">
        <f>IF('ASIGNACIÓN ASIGNATURAS'!L261="","",'ASIGNACIÓN ASIGNATURAS'!L261)</f>
        <v/>
      </c>
      <c r="D261" s="290" t="str">
        <f>IF('ASIGNACIÓN ASIGNATURAS'!M261="","",'ASIGNACIÓN ASIGNATURAS'!M261)</f>
        <v/>
      </c>
      <c r="E261" s="290" t="str">
        <f>IF('ASIGNACIÓN ASIGNATURAS'!N261="","",'ASIGNACIÓN ASIGNATURAS'!N261)</f>
        <v/>
      </c>
      <c r="F261" s="290" t="str">
        <f>IF('ASIGNACIÓN ASIGNATURAS'!O261="","",'ASIGNACIÓN ASIGNATURAS'!O261)</f>
        <v/>
      </c>
      <c r="G261" s="290" t="str">
        <f>IF('ASIGNACIÓN ASIGNATURAS'!P261="","",'ASIGNACIÓN ASIGNATURAS'!P261)</f>
        <v/>
      </c>
      <c r="H261" s="290" t="str">
        <f>IF('ASIGNACIÓN ASIGNATURAS'!T261="","",'ASIGNACIÓN ASIGNATURAS'!T261)</f>
        <v/>
      </c>
      <c r="I261" s="290" t="str">
        <f>IF('ASIGNACIÓN ASIGNATURAS'!U261="","",'ASIGNACIÓN ASIGNATURAS'!U261)</f>
        <v/>
      </c>
      <c r="J261" s="290" t="str">
        <f>IF('ASIGNACIÓN ASIGNATURAS'!V261="","",'ASIGNACIÓN ASIGNATURAS'!V261)</f>
        <v/>
      </c>
      <c r="K261" s="301" t="str">
        <f>IF('ASIGNACIÓN ASIGNATURAS'!S261="","",'ASIGNACIÓN ASIGNATURAS'!S261)</f>
        <v/>
      </c>
      <c r="L261" s="244" t="str">
        <f>IF('ASIGNACIÓN ASIGNATURAS'!Q261="","",'ASIGNACIÓN ASIGNATURAS'!Q261)</f>
        <v/>
      </c>
      <c r="M261" s="244" t="str">
        <f>IF('ASIGNACIÓN ASIGNATURAS'!R261="","",'ASIGNACIÓN ASIGNATURAS'!R261)</f>
        <v/>
      </c>
      <c r="N261" s="244" t="str">
        <f>IF('ASIGNACIÓN ASIGNATURAS'!W261="","",'ASIGNACIÓN ASIGNATURAS'!W261)</f>
        <v/>
      </c>
      <c r="O261" s="244" t="str">
        <f>IF('ASIGNACIÓN ASIGNATURAS'!X261="","",'ASIGNACIÓN ASIGNATURAS'!X261)</f>
        <v/>
      </c>
      <c r="P261" s="244" t="str">
        <f>IF('ASIGNACIÓN ASIGNATURAS'!Y261="","",'ASIGNACIÓN ASIGNATURAS'!Y261)</f>
        <v/>
      </c>
      <c r="Q261" s="244" t="str">
        <f>IF('ASIGNACIÓN ASIGNATURAS'!Z261="","",'ASIGNACIÓN ASIGNATURAS'!Z261)</f>
        <v/>
      </c>
      <c r="R261" s="244" t="str">
        <f>IF('ASIGNACIÓN ASIGNATURAS'!AA261="","",'ASIGNACIÓN ASIGNATURAS'!AA261)</f>
        <v/>
      </c>
      <c r="S261" s="244" t="str">
        <f>IF('ASIGNACIÓN ASIGNATURAS'!AB261="","",'ASIGNACIÓN ASIGNATURAS'!AB261)</f>
        <v/>
      </c>
    </row>
    <row r="262" spans="1:19" x14ac:dyDescent="0.3">
      <c r="A262" s="290" t="str">
        <f>IF('ASIGNACIÓN ASIGNATURAS'!J262="","",'ASIGNACIÓN ASIGNATURAS'!J262)</f>
        <v/>
      </c>
      <c r="B262" s="290" t="str">
        <f>IF('ASIGNACIÓN ASIGNATURAS'!K262="","",'ASIGNACIÓN ASIGNATURAS'!K262)</f>
        <v/>
      </c>
      <c r="C262" s="290" t="str">
        <f>IF('ASIGNACIÓN ASIGNATURAS'!L262="","",'ASIGNACIÓN ASIGNATURAS'!L262)</f>
        <v/>
      </c>
      <c r="D262" s="290" t="str">
        <f>IF('ASIGNACIÓN ASIGNATURAS'!M262="","",'ASIGNACIÓN ASIGNATURAS'!M262)</f>
        <v/>
      </c>
      <c r="E262" s="290" t="str">
        <f>IF('ASIGNACIÓN ASIGNATURAS'!N262="","",'ASIGNACIÓN ASIGNATURAS'!N262)</f>
        <v/>
      </c>
      <c r="F262" s="290" t="str">
        <f>IF('ASIGNACIÓN ASIGNATURAS'!O262="","",'ASIGNACIÓN ASIGNATURAS'!O262)</f>
        <v/>
      </c>
      <c r="G262" s="290" t="str">
        <f>IF('ASIGNACIÓN ASIGNATURAS'!P262="","",'ASIGNACIÓN ASIGNATURAS'!P262)</f>
        <v/>
      </c>
      <c r="H262" s="290" t="str">
        <f>IF('ASIGNACIÓN ASIGNATURAS'!T262="","",'ASIGNACIÓN ASIGNATURAS'!T262)</f>
        <v/>
      </c>
      <c r="I262" s="290" t="str">
        <f>IF('ASIGNACIÓN ASIGNATURAS'!U262="","",'ASIGNACIÓN ASIGNATURAS'!U262)</f>
        <v/>
      </c>
      <c r="J262" s="290" t="str">
        <f>IF('ASIGNACIÓN ASIGNATURAS'!V262="","",'ASIGNACIÓN ASIGNATURAS'!V262)</f>
        <v/>
      </c>
      <c r="K262" s="301" t="str">
        <f>IF('ASIGNACIÓN ASIGNATURAS'!S262="","",'ASIGNACIÓN ASIGNATURAS'!S262)</f>
        <v/>
      </c>
      <c r="L262" s="244" t="str">
        <f>IF('ASIGNACIÓN ASIGNATURAS'!Q262="","",'ASIGNACIÓN ASIGNATURAS'!Q262)</f>
        <v/>
      </c>
      <c r="M262" s="244" t="str">
        <f>IF('ASIGNACIÓN ASIGNATURAS'!R262="","",'ASIGNACIÓN ASIGNATURAS'!R262)</f>
        <v/>
      </c>
      <c r="N262" s="244" t="str">
        <f>IF('ASIGNACIÓN ASIGNATURAS'!W262="","",'ASIGNACIÓN ASIGNATURAS'!W262)</f>
        <v/>
      </c>
      <c r="O262" s="244" t="str">
        <f>IF('ASIGNACIÓN ASIGNATURAS'!X262="","",'ASIGNACIÓN ASIGNATURAS'!X262)</f>
        <v/>
      </c>
      <c r="P262" s="244" t="str">
        <f>IF('ASIGNACIÓN ASIGNATURAS'!Y262="","",'ASIGNACIÓN ASIGNATURAS'!Y262)</f>
        <v/>
      </c>
      <c r="Q262" s="244" t="str">
        <f>IF('ASIGNACIÓN ASIGNATURAS'!Z262="","",'ASIGNACIÓN ASIGNATURAS'!Z262)</f>
        <v/>
      </c>
      <c r="R262" s="244" t="str">
        <f>IF('ASIGNACIÓN ASIGNATURAS'!AA262="","",'ASIGNACIÓN ASIGNATURAS'!AA262)</f>
        <v/>
      </c>
      <c r="S262" s="244" t="str">
        <f>IF('ASIGNACIÓN ASIGNATURAS'!AB262="","",'ASIGNACIÓN ASIGNATURAS'!AB262)</f>
        <v/>
      </c>
    </row>
    <row r="263" spans="1:19" x14ac:dyDescent="0.3">
      <c r="A263" s="290" t="str">
        <f>IF('ASIGNACIÓN ASIGNATURAS'!J263="","",'ASIGNACIÓN ASIGNATURAS'!J263)</f>
        <v/>
      </c>
      <c r="B263" s="290" t="str">
        <f>IF('ASIGNACIÓN ASIGNATURAS'!K263="","",'ASIGNACIÓN ASIGNATURAS'!K263)</f>
        <v/>
      </c>
      <c r="C263" s="290" t="str">
        <f>IF('ASIGNACIÓN ASIGNATURAS'!L263="","",'ASIGNACIÓN ASIGNATURAS'!L263)</f>
        <v/>
      </c>
      <c r="D263" s="290" t="str">
        <f>IF('ASIGNACIÓN ASIGNATURAS'!M263="","",'ASIGNACIÓN ASIGNATURAS'!M263)</f>
        <v/>
      </c>
      <c r="E263" s="290" t="str">
        <f>IF('ASIGNACIÓN ASIGNATURAS'!N263="","",'ASIGNACIÓN ASIGNATURAS'!N263)</f>
        <v/>
      </c>
      <c r="F263" s="290" t="str">
        <f>IF('ASIGNACIÓN ASIGNATURAS'!O263="","",'ASIGNACIÓN ASIGNATURAS'!O263)</f>
        <v/>
      </c>
      <c r="G263" s="290" t="str">
        <f>IF('ASIGNACIÓN ASIGNATURAS'!P263="","",'ASIGNACIÓN ASIGNATURAS'!P263)</f>
        <v/>
      </c>
      <c r="H263" s="290" t="str">
        <f>IF('ASIGNACIÓN ASIGNATURAS'!T263="","",'ASIGNACIÓN ASIGNATURAS'!T263)</f>
        <v/>
      </c>
      <c r="I263" s="290" t="str">
        <f>IF('ASIGNACIÓN ASIGNATURAS'!U263="","",'ASIGNACIÓN ASIGNATURAS'!U263)</f>
        <v/>
      </c>
      <c r="J263" s="290" t="str">
        <f>IF('ASIGNACIÓN ASIGNATURAS'!V263="","",'ASIGNACIÓN ASIGNATURAS'!V263)</f>
        <v/>
      </c>
      <c r="K263" s="301" t="str">
        <f>IF('ASIGNACIÓN ASIGNATURAS'!S263="","",'ASIGNACIÓN ASIGNATURAS'!S263)</f>
        <v/>
      </c>
      <c r="L263" s="244" t="str">
        <f>IF('ASIGNACIÓN ASIGNATURAS'!Q263="","",'ASIGNACIÓN ASIGNATURAS'!Q263)</f>
        <v/>
      </c>
      <c r="M263" s="244" t="str">
        <f>IF('ASIGNACIÓN ASIGNATURAS'!R263="","",'ASIGNACIÓN ASIGNATURAS'!R263)</f>
        <v/>
      </c>
      <c r="N263" s="244" t="str">
        <f>IF('ASIGNACIÓN ASIGNATURAS'!W263="","",'ASIGNACIÓN ASIGNATURAS'!W263)</f>
        <v/>
      </c>
      <c r="O263" s="244" t="str">
        <f>IF('ASIGNACIÓN ASIGNATURAS'!X263="","",'ASIGNACIÓN ASIGNATURAS'!X263)</f>
        <v/>
      </c>
      <c r="P263" s="244" t="str">
        <f>IF('ASIGNACIÓN ASIGNATURAS'!Y263="","",'ASIGNACIÓN ASIGNATURAS'!Y263)</f>
        <v/>
      </c>
      <c r="Q263" s="244" t="str">
        <f>IF('ASIGNACIÓN ASIGNATURAS'!Z263="","",'ASIGNACIÓN ASIGNATURAS'!Z263)</f>
        <v/>
      </c>
      <c r="R263" s="244" t="str">
        <f>IF('ASIGNACIÓN ASIGNATURAS'!AA263="","",'ASIGNACIÓN ASIGNATURAS'!AA263)</f>
        <v/>
      </c>
      <c r="S263" s="244" t="str">
        <f>IF('ASIGNACIÓN ASIGNATURAS'!AB263="","",'ASIGNACIÓN ASIGNATURAS'!AB263)</f>
        <v/>
      </c>
    </row>
    <row r="264" spans="1:19" x14ac:dyDescent="0.3">
      <c r="A264" s="290" t="str">
        <f>IF('ASIGNACIÓN ASIGNATURAS'!J264="","",'ASIGNACIÓN ASIGNATURAS'!J264)</f>
        <v/>
      </c>
      <c r="B264" s="290" t="str">
        <f>IF('ASIGNACIÓN ASIGNATURAS'!K264="","",'ASIGNACIÓN ASIGNATURAS'!K264)</f>
        <v/>
      </c>
      <c r="C264" s="290" t="str">
        <f>IF('ASIGNACIÓN ASIGNATURAS'!L264="","",'ASIGNACIÓN ASIGNATURAS'!L264)</f>
        <v/>
      </c>
      <c r="D264" s="290" t="str">
        <f>IF('ASIGNACIÓN ASIGNATURAS'!M264="","",'ASIGNACIÓN ASIGNATURAS'!M264)</f>
        <v/>
      </c>
      <c r="E264" s="290" t="str">
        <f>IF('ASIGNACIÓN ASIGNATURAS'!N264="","",'ASIGNACIÓN ASIGNATURAS'!N264)</f>
        <v/>
      </c>
      <c r="F264" s="290" t="str">
        <f>IF('ASIGNACIÓN ASIGNATURAS'!O264="","",'ASIGNACIÓN ASIGNATURAS'!O264)</f>
        <v/>
      </c>
      <c r="G264" s="290" t="str">
        <f>IF('ASIGNACIÓN ASIGNATURAS'!P264="","",'ASIGNACIÓN ASIGNATURAS'!P264)</f>
        <v/>
      </c>
      <c r="H264" s="290" t="str">
        <f>IF('ASIGNACIÓN ASIGNATURAS'!T264="","",'ASIGNACIÓN ASIGNATURAS'!T264)</f>
        <v/>
      </c>
      <c r="I264" s="290" t="str">
        <f>IF('ASIGNACIÓN ASIGNATURAS'!U264="","",'ASIGNACIÓN ASIGNATURAS'!U264)</f>
        <v/>
      </c>
      <c r="J264" s="290" t="str">
        <f>IF('ASIGNACIÓN ASIGNATURAS'!V264="","",'ASIGNACIÓN ASIGNATURAS'!V264)</f>
        <v/>
      </c>
      <c r="K264" s="301" t="str">
        <f>IF('ASIGNACIÓN ASIGNATURAS'!S264="","",'ASIGNACIÓN ASIGNATURAS'!S264)</f>
        <v/>
      </c>
      <c r="L264" s="244" t="str">
        <f>IF('ASIGNACIÓN ASIGNATURAS'!Q264="","",'ASIGNACIÓN ASIGNATURAS'!Q264)</f>
        <v/>
      </c>
      <c r="M264" s="244" t="str">
        <f>IF('ASIGNACIÓN ASIGNATURAS'!R264="","",'ASIGNACIÓN ASIGNATURAS'!R264)</f>
        <v/>
      </c>
      <c r="N264" s="244" t="str">
        <f>IF('ASIGNACIÓN ASIGNATURAS'!W264="","",'ASIGNACIÓN ASIGNATURAS'!W264)</f>
        <v/>
      </c>
      <c r="O264" s="244" t="str">
        <f>IF('ASIGNACIÓN ASIGNATURAS'!X264="","",'ASIGNACIÓN ASIGNATURAS'!X264)</f>
        <v/>
      </c>
      <c r="P264" s="244" t="str">
        <f>IF('ASIGNACIÓN ASIGNATURAS'!Y264="","",'ASIGNACIÓN ASIGNATURAS'!Y264)</f>
        <v/>
      </c>
      <c r="Q264" s="244" t="str">
        <f>IF('ASIGNACIÓN ASIGNATURAS'!Z264="","",'ASIGNACIÓN ASIGNATURAS'!Z264)</f>
        <v/>
      </c>
      <c r="R264" s="244" t="str">
        <f>IF('ASIGNACIÓN ASIGNATURAS'!AA264="","",'ASIGNACIÓN ASIGNATURAS'!AA264)</f>
        <v/>
      </c>
      <c r="S264" s="244" t="str">
        <f>IF('ASIGNACIÓN ASIGNATURAS'!AB264="","",'ASIGNACIÓN ASIGNATURAS'!AB264)</f>
        <v/>
      </c>
    </row>
    <row r="265" spans="1:19" x14ac:dyDescent="0.3">
      <c r="A265" s="290" t="str">
        <f>IF('ASIGNACIÓN ASIGNATURAS'!J265="","",'ASIGNACIÓN ASIGNATURAS'!J265)</f>
        <v/>
      </c>
      <c r="B265" s="290" t="str">
        <f>IF('ASIGNACIÓN ASIGNATURAS'!K265="","",'ASIGNACIÓN ASIGNATURAS'!K265)</f>
        <v/>
      </c>
      <c r="C265" s="290" t="str">
        <f>IF('ASIGNACIÓN ASIGNATURAS'!L265="","",'ASIGNACIÓN ASIGNATURAS'!L265)</f>
        <v/>
      </c>
      <c r="D265" s="290" t="str">
        <f>IF('ASIGNACIÓN ASIGNATURAS'!M265="","",'ASIGNACIÓN ASIGNATURAS'!M265)</f>
        <v/>
      </c>
      <c r="E265" s="290" t="str">
        <f>IF('ASIGNACIÓN ASIGNATURAS'!N265="","",'ASIGNACIÓN ASIGNATURAS'!N265)</f>
        <v/>
      </c>
      <c r="F265" s="290" t="str">
        <f>IF('ASIGNACIÓN ASIGNATURAS'!O265="","",'ASIGNACIÓN ASIGNATURAS'!O265)</f>
        <v/>
      </c>
      <c r="G265" s="290" t="str">
        <f>IF('ASIGNACIÓN ASIGNATURAS'!P265="","",'ASIGNACIÓN ASIGNATURAS'!P265)</f>
        <v/>
      </c>
      <c r="H265" s="290" t="str">
        <f>IF('ASIGNACIÓN ASIGNATURAS'!T265="","",'ASIGNACIÓN ASIGNATURAS'!T265)</f>
        <v/>
      </c>
      <c r="I265" s="290" t="str">
        <f>IF('ASIGNACIÓN ASIGNATURAS'!U265="","",'ASIGNACIÓN ASIGNATURAS'!U265)</f>
        <v/>
      </c>
      <c r="J265" s="290" t="str">
        <f>IF('ASIGNACIÓN ASIGNATURAS'!V265="","",'ASIGNACIÓN ASIGNATURAS'!V265)</f>
        <v/>
      </c>
      <c r="K265" s="301" t="str">
        <f>IF('ASIGNACIÓN ASIGNATURAS'!S265="","",'ASIGNACIÓN ASIGNATURAS'!S265)</f>
        <v/>
      </c>
      <c r="L265" s="244" t="str">
        <f>IF('ASIGNACIÓN ASIGNATURAS'!Q265="","",'ASIGNACIÓN ASIGNATURAS'!Q265)</f>
        <v/>
      </c>
      <c r="M265" s="244" t="str">
        <f>IF('ASIGNACIÓN ASIGNATURAS'!R265="","",'ASIGNACIÓN ASIGNATURAS'!R265)</f>
        <v/>
      </c>
      <c r="N265" s="244" t="str">
        <f>IF('ASIGNACIÓN ASIGNATURAS'!W265="","",'ASIGNACIÓN ASIGNATURAS'!W265)</f>
        <v/>
      </c>
      <c r="O265" s="244" t="str">
        <f>IF('ASIGNACIÓN ASIGNATURAS'!X265="","",'ASIGNACIÓN ASIGNATURAS'!X265)</f>
        <v/>
      </c>
      <c r="P265" s="244" t="str">
        <f>IF('ASIGNACIÓN ASIGNATURAS'!Y265="","",'ASIGNACIÓN ASIGNATURAS'!Y265)</f>
        <v/>
      </c>
      <c r="Q265" s="244" t="str">
        <f>IF('ASIGNACIÓN ASIGNATURAS'!Z265="","",'ASIGNACIÓN ASIGNATURAS'!Z265)</f>
        <v/>
      </c>
      <c r="R265" s="244" t="str">
        <f>IF('ASIGNACIÓN ASIGNATURAS'!AA265="","",'ASIGNACIÓN ASIGNATURAS'!AA265)</f>
        <v/>
      </c>
      <c r="S265" s="244" t="str">
        <f>IF('ASIGNACIÓN ASIGNATURAS'!AB265="","",'ASIGNACIÓN ASIGNATURAS'!AB265)</f>
        <v/>
      </c>
    </row>
    <row r="266" spans="1:19" x14ac:dyDescent="0.3">
      <c r="A266" s="290" t="str">
        <f>IF('ASIGNACIÓN ASIGNATURAS'!J266="","",'ASIGNACIÓN ASIGNATURAS'!J266)</f>
        <v/>
      </c>
      <c r="B266" s="290" t="str">
        <f>IF('ASIGNACIÓN ASIGNATURAS'!K266="","",'ASIGNACIÓN ASIGNATURAS'!K266)</f>
        <v/>
      </c>
      <c r="C266" s="290" t="str">
        <f>IF('ASIGNACIÓN ASIGNATURAS'!L266="","",'ASIGNACIÓN ASIGNATURAS'!L266)</f>
        <v/>
      </c>
      <c r="D266" s="290" t="str">
        <f>IF('ASIGNACIÓN ASIGNATURAS'!M266="","",'ASIGNACIÓN ASIGNATURAS'!M266)</f>
        <v/>
      </c>
      <c r="E266" s="290" t="str">
        <f>IF('ASIGNACIÓN ASIGNATURAS'!N266="","",'ASIGNACIÓN ASIGNATURAS'!N266)</f>
        <v/>
      </c>
      <c r="F266" s="290" t="str">
        <f>IF('ASIGNACIÓN ASIGNATURAS'!O266="","",'ASIGNACIÓN ASIGNATURAS'!O266)</f>
        <v/>
      </c>
      <c r="G266" s="290" t="str">
        <f>IF('ASIGNACIÓN ASIGNATURAS'!P266="","",'ASIGNACIÓN ASIGNATURAS'!P266)</f>
        <v/>
      </c>
      <c r="H266" s="290" t="str">
        <f>IF('ASIGNACIÓN ASIGNATURAS'!T266="","",'ASIGNACIÓN ASIGNATURAS'!T266)</f>
        <v/>
      </c>
      <c r="I266" s="290" t="str">
        <f>IF('ASIGNACIÓN ASIGNATURAS'!U266="","",'ASIGNACIÓN ASIGNATURAS'!U266)</f>
        <v/>
      </c>
      <c r="J266" s="290" t="str">
        <f>IF('ASIGNACIÓN ASIGNATURAS'!V266="","",'ASIGNACIÓN ASIGNATURAS'!V266)</f>
        <v/>
      </c>
      <c r="K266" s="301" t="str">
        <f>IF('ASIGNACIÓN ASIGNATURAS'!S266="","",'ASIGNACIÓN ASIGNATURAS'!S266)</f>
        <v/>
      </c>
      <c r="L266" s="244" t="str">
        <f>IF('ASIGNACIÓN ASIGNATURAS'!Q266="","",'ASIGNACIÓN ASIGNATURAS'!Q266)</f>
        <v/>
      </c>
      <c r="M266" s="244" t="str">
        <f>IF('ASIGNACIÓN ASIGNATURAS'!R266="","",'ASIGNACIÓN ASIGNATURAS'!R266)</f>
        <v/>
      </c>
      <c r="N266" s="244" t="str">
        <f>IF('ASIGNACIÓN ASIGNATURAS'!W266="","",'ASIGNACIÓN ASIGNATURAS'!W266)</f>
        <v/>
      </c>
      <c r="O266" s="244" t="str">
        <f>IF('ASIGNACIÓN ASIGNATURAS'!X266="","",'ASIGNACIÓN ASIGNATURAS'!X266)</f>
        <v/>
      </c>
      <c r="P266" s="244" t="str">
        <f>IF('ASIGNACIÓN ASIGNATURAS'!Y266="","",'ASIGNACIÓN ASIGNATURAS'!Y266)</f>
        <v/>
      </c>
      <c r="Q266" s="244" t="str">
        <f>IF('ASIGNACIÓN ASIGNATURAS'!Z266="","",'ASIGNACIÓN ASIGNATURAS'!Z266)</f>
        <v/>
      </c>
      <c r="R266" s="244" t="str">
        <f>IF('ASIGNACIÓN ASIGNATURAS'!AA266="","",'ASIGNACIÓN ASIGNATURAS'!AA266)</f>
        <v/>
      </c>
      <c r="S266" s="244" t="str">
        <f>IF('ASIGNACIÓN ASIGNATURAS'!AB266="","",'ASIGNACIÓN ASIGNATURAS'!AB266)</f>
        <v/>
      </c>
    </row>
    <row r="267" spans="1:19" x14ac:dyDescent="0.3">
      <c r="A267" s="290" t="str">
        <f>IF('ASIGNACIÓN ASIGNATURAS'!J267="","",'ASIGNACIÓN ASIGNATURAS'!J267)</f>
        <v/>
      </c>
      <c r="B267" s="290" t="str">
        <f>IF('ASIGNACIÓN ASIGNATURAS'!K267="","",'ASIGNACIÓN ASIGNATURAS'!K267)</f>
        <v/>
      </c>
      <c r="C267" s="290" t="str">
        <f>IF('ASIGNACIÓN ASIGNATURAS'!L267="","",'ASIGNACIÓN ASIGNATURAS'!L267)</f>
        <v/>
      </c>
      <c r="D267" s="290" t="str">
        <f>IF('ASIGNACIÓN ASIGNATURAS'!M267="","",'ASIGNACIÓN ASIGNATURAS'!M267)</f>
        <v/>
      </c>
      <c r="E267" s="290" t="str">
        <f>IF('ASIGNACIÓN ASIGNATURAS'!N267="","",'ASIGNACIÓN ASIGNATURAS'!N267)</f>
        <v/>
      </c>
      <c r="F267" s="290" t="str">
        <f>IF('ASIGNACIÓN ASIGNATURAS'!O267="","",'ASIGNACIÓN ASIGNATURAS'!O267)</f>
        <v/>
      </c>
      <c r="G267" s="290" t="str">
        <f>IF('ASIGNACIÓN ASIGNATURAS'!P267="","",'ASIGNACIÓN ASIGNATURAS'!P267)</f>
        <v/>
      </c>
      <c r="H267" s="290" t="str">
        <f>IF('ASIGNACIÓN ASIGNATURAS'!T267="","",'ASIGNACIÓN ASIGNATURAS'!T267)</f>
        <v/>
      </c>
      <c r="I267" s="290" t="str">
        <f>IF('ASIGNACIÓN ASIGNATURAS'!U267="","",'ASIGNACIÓN ASIGNATURAS'!U267)</f>
        <v/>
      </c>
      <c r="J267" s="290" t="str">
        <f>IF('ASIGNACIÓN ASIGNATURAS'!V267="","",'ASIGNACIÓN ASIGNATURAS'!V267)</f>
        <v/>
      </c>
      <c r="K267" s="301" t="str">
        <f>IF('ASIGNACIÓN ASIGNATURAS'!S267="","",'ASIGNACIÓN ASIGNATURAS'!S267)</f>
        <v/>
      </c>
      <c r="L267" s="244" t="str">
        <f>IF('ASIGNACIÓN ASIGNATURAS'!Q267="","",'ASIGNACIÓN ASIGNATURAS'!Q267)</f>
        <v/>
      </c>
      <c r="M267" s="244" t="str">
        <f>IF('ASIGNACIÓN ASIGNATURAS'!R267="","",'ASIGNACIÓN ASIGNATURAS'!R267)</f>
        <v/>
      </c>
      <c r="N267" s="244" t="str">
        <f>IF('ASIGNACIÓN ASIGNATURAS'!W267="","",'ASIGNACIÓN ASIGNATURAS'!W267)</f>
        <v/>
      </c>
      <c r="O267" s="244" t="str">
        <f>IF('ASIGNACIÓN ASIGNATURAS'!X267="","",'ASIGNACIÓN ASIGNATURAS'!X267)</f>
        <v/>
      </c>
      <c r="P267" s="244" t="str">
        <f>IF('ASIGNACIÓN ASIGNATURAS'!Y267="","",'ASIGNACIÓN ASIGNATURAS'!Y267)</f>
        <v/>
      </c>
      <c r="Q267" s="244" t="str">
        <f>IF('ASIGNACIÓN ASIGNATURAS'!Z267="","",'ASIGNACIÓN ASIGNATURAS'!Z267)</f>
        <v/>
      </c>
      <c r="R267" s="244" t="str">
        <f>IF('ASIGNACIÓN ASIGNATURAS'!AA267="","",'ASIGNACIÓN ASIGNATURAS'!AA267)</f>
        <v/>
      </c>
      <c r="S267" s="244" t="str">
        <f>IF('ASIGNACIÓN ASIGNATURAS'!AB267="","",'ASIGNACIÓN ASIGNATURAS'!AB267)</f>
        <v/>
      </c>
    </row>
    <row r="268" spans="1:19" x14ac:dyDescent="0.3">
      <c r="A268" s="290" t="str">
        <f>IF('ASIGNACIÓN ASIGNATURAS'!J268="","",'ASIGNACIÓN ASIGNATURAS'!J268)</f>
        <v/>
      </c>
      <c r="B268" s="290" t="str">
        <f>IF('ASIGNACIÓN ASIGNATURAS'!K268="","",'ASIGNACIÓN ASIGNATURAS'!K268)</f>
        <v/>
      </c>
      <c r="C268" s="290" t="str">
        <f>IF('ASIGNACIÓN ASIGNATURAS'!L268="","",'ASIGNACIÓN ASIGNATURAS'!L268)</f>
        <v/>
      </c>
      <c r="D268" s="290" t="str">
        <f>IF('ASIGNACIÓN ASIGNATURAS'!M268="","",'ASIGNACIÓN ASIGNATURAS'!M268)</f>
        <v/>
      </c>
      <c r="E268" s="290" t="str">
        <f>IF('ASIGNACIÓN ASIGNATURAS'!N268="","",'ASIGNACIÓN ASIGNATURAS'!N268)</f>
        <v/>
      </c>
      <c r="F268" s="290" t="str">
        <f>IF('ASIGNACIÓN ASIGNATURAS'!O268="","",'ASIGNACIÓN ASIGNATURAS'!O268)</f>
        <v/>
      </c>
      <c r="G268" s="290" t="str">
        <f>IF('ASIGNACIÓN ASIGNATURAS'!P268="","",'ASIGNACIÓN ASIGNATURAS'!P268)</f>
        <v/>
      </c>
      <c r="H268" s="290" t="str">
        <f>IF('ASIGNACIÓN ASIGNATURAS'!T268="","",'ASIGNACIÓN ASIGNATURAS'!T268)</f>
        <v/>
      </c>
      <c r="I268" s="290" t="str">
        <f>IF('ASIGNACIÓN ASIGNATURAS'!U268="","",'ASIGNACIÓN ASIGNATURAS'!U268)</f>
        <v/>
      </c>
      <c r="J268" s="290" t="str">
        <f>IF('ASIGNACIÓN ASIGNATURAS'!V268="","",'ASIGNACIÓN ASIGNATURAS'!V268)</f>
        <v/>
      </c>
      <c r="K268" s="301" t="str">
        <f>IF('ASIGNACIÓN ASIGNATURAS'!S268="","",'ASIGNACIÓN ASIGNATURAS'!S268)</f>
        <v/>
      </c>
      <c r="L268" s="244" t="str">
        <f>IF('ASIGNACIÓN ASIGNATURAS'!Q268="","",'ASIGNACIÓN ASIGNATURAS'!Q268)</f>
        <v/>
      </c>
      <c r="M268" s="244" t="str">
        <f>IF('ASIGNACIÓN ASIGNATURAS'!R268="","",'ASIGNACIÓN ASIGNATURAS'!R268)</f>
        <v/>
      </c>
      <c r="N268" s="244" t="str">
        <f>IF('ASIGNACIÓN ASIGNATURAS'!W268="","",'ASIGNACIÓN ASIGNATURAS'!W268)</f>
        <v/>
      </c>
      <c r="O268" s="244" t="str">
        <f>IF('ASIGNACIÓN ASIGNATURAS'!X268="","",'ASIGNACIÓN ASIGNATURAS'!X268)</f>
        <v/>
      </c>
      <c r="P268" s="244" t="str">
        <f>IF('ASIGNACIÓN ASIGNATURAS'!Y268="","",'ASIGNACIÓN ASIGNATURAS'!Y268)</f>
        <v/>
      </c>
      <c r="Q268" s="244" t="str">
        <f>IF('ASIGNACIÓN ASIGNATURAS'!Z268="","",'ASIGNACIÓN ASIGNATURAS'!Z268)</f>
        <v/>
      </c>
      <c r="R268" s="244" t="str">
        <f>IF('ASIGNACIÓN ASIGNATURAS'!AA268="","",'ASIGNACIÓN ASIGNATURAS'!AA268)</f>
        <v/>
      </c>
      <c r="S268" s="244" t="str">
        <f>IF('ASIGNACIÓN ASIGNATURAS'!AB268="","",'ASIGNACIÓN ASIGNATURAS'!AB268)</f>
        <v/>
      </c>
    </row>
    <row r="269" spans="1:19" x14ac:dyDescent="0.3">
      <c r="A269" s="290" t="str">
        <f>IF('ASIGNACIÓN ASIGNATURAS'!J269="","",'ASIGNACIÓN ASIGNATURAS'!J269)</f>
        <v/>
      </c>
      <c r="B269" s="290" t="str">
        <f>IF('ASIGNACIÓN ASIGNATURAS'!K269="","",'ASIGNACIÓN ASIGNATURAS'!K269)</f>
        <v/>
      </c>
      <c r="C269" s="290" t="str">
        <f>IF('ASIGNACIÓN ASIGNATURAS'!L269="","",'ASIGNACIÓN ASIGNATURAS'!L269)</f>
        <v/>
      </c>
      <c r="D269" s="290" t="str">
        <f>IF('ASIGNACIÓN ASIGNATURAS'!M269="","",'ASIGNACIÓN ASIGNATURAS'!M269)</f>
        <v/>
      </c>
      <c r="E269" s="290" t="str">
        <f>IF('ASIGNACIÓN ASIGNATURAS'!N269="","",'ASIGNACIÓN ASIGNATURAS'!N269)</f>
        <v/>
      </c>
      <c r="F269" s="290" t="str">
        <f>IF('ASIGNACIÓN ASIGNATURAS'!O269="","",'ASIGNACIÓN ASIGNATURAS'!O269)</f>
        <v/>
      </c>
      <c r="G269" s="290" t="str">
        <f>IF('ASIGNACIÓN ASIGNATURAS'!P269="","",'ASIGNACIÓN ASIGNATURAS'!P269)</f>
        <v/>
      </c>
      <c r="H269" s="290" t="str">
        <f>IF('ASIGNACIÓN ASIGNATURAS'!T269="","",'ASIGNACIÓN ASIGNATURAS'!T269)</f>
        <v/>
      </c>
      <c r="I269" s="290" t="str">
        <f>IF('ASIGNACIÓN ASIGNATURAS'!U269="","",'ASIGNACIÓN ASIGNATURAS'!U269)</f>
        <v/>
      </c>
      <c r="J269" s="290" t="str">
        <f>IF('ASIGNACIÓN ASIGNATURAS'!V269="","",'ASIGNACIÓN ASIGNATURAS'!V269)</f>
        <v/>
      </c>
      <c r="K269" s="301" t="str">
        <f>IF('ASIGNACIÓN ASIGNATURAS'!S269="","",'ASIGNACIÓN ASIGNATURAS'!S269)</f>
        <v/>
      </c>
      <c r="L269" s="244" t="str">
        <f>IF('ASIGNACIÓN ASIGNATURAS'!Q269="","",'ASIGNACIÓN ASIGNATURAS'!Q269)</f>
        <v/>
      </c>
      <c r="M269" s="244" t="str">
        <f>IF('ASIGNACIÓN ASIGNATURAS'!R269="","",'ASIGNACIÓN ASIGNATURAS'!R269)</f>
        <v/>
      </c>
      <c r="N269" s="244" t="str">
        <f>IF('ASIGNACIÓN ASIGNATURAS'!W269="","",'ASIGNACIÓN ASIGNATURAS'!W269)</f>
        <v/>
      </c>
      <c r="O269" s="244" t="str">
        <f>IF('ASIGNACIÓN ASIGNATURAS'!X269="","",'ASIGNACIÓN ASIGNATURAS'!X269)</f>
        <v/>
      </c>
      <c r="P269" s="244" t="str">
        <f>IF('ASIGNACIÓN ASIGNATURAS'!Y269="","",'ASIGNACIÓN ASIGNATURAS'!Y269)</f>
        <v/>
      </c>
      <c r="Q269" s="244" t="str">
        <f>IF('ASIGNACIÓN ASIGNATURAS'!Z269="","",'ASIGNACIÓN ASIGNATURAS'!Z269)</f>
        <v/>
      </c>
      <c r="R269" s="244" t="str">
        <f>IF('ASIGNACIÓN ASIGNATURAS'!AA269="","",'ASIGNACIÓN ASIGNATURAS'!AA269)</f>
        <v/>
      </c>
      <c r="S269" s="244" t="str">
        <f>IF('ASIGNACIÓN ASIGNATURAS'!AB269="","",'ASIGNACIÓN ASIGNATURAS'!AB269)</f>
        <v/>
      </c>
    </row>
    <row r="270" spans="1:19" x14ac:dyDescent="0.3">
      <c r="A270" s="290" t="str">
        <f>IF('ASIGNACIÓN ASIGNATURAS'!J270="","",'ASIGNACIÓN ASIGNATURAS'!J270)</f>
        <v/>
      </c>
      <c r="B270" s="290" t="str">
        <f>IF('ASIGNACIÓN ASIGNATURAS'!K270="","",'ASIGNACIÓN ASIGNATURAS'!K270)</f>
        <v/>
      </c>
      <c r="C270" s="290" t="str">
        <f>IF('ASIGNACIÓN ASIGNATURAS'!L270="","",'ASIGNACIÓN ASIGNATURAS'!L270)</f>
        <v/>
      </c>
      <c r="D270" s="290" t="str">
        <f>IF('ASIGNACIÓN ASIGNATURAS'!M270="","",'ASIGNACIÓN ASIGNATURAS'!M270)</f>
        <v/>
      </c>
      <c r="E270" s="290" t="str">
        <f>IF('ASIGNACIÓN ASIGNATURAS'!N270="","",'ASIGNACIÓN ASIGNATURAS'!N270)</f>
        <v/>
      </c>
      <c r="F270" s="290" t="str">
        <f>IF('ASIGNACIÓN ASIGNATURAS'!O270="","",'ASIGNACIÓN ASIGNATURAS'!O270)</f>
        <v/>
      </c>
      <c r="G270" s="290" t="str">
        <f>IF('ASIGNACIÓN ASIGNATURAS'!P270="","",'ASIGNACIÓN ASIGNATURAS'!P270)</f>
        <v/>
      </c>
      <c r="H270" s="290" t="str">
        <f>IF('ASIGNACIÓN ASIGNATURAS'!T270="","",'ASIGNACIÓN ASIGNATURAS'!T270)</f>
        <v/>
      </c>
      <c r="I270" s="290" t="str">
        <f>IF('ASIGNACIÓN ASIGNATURAS'!U270="","",'ASIGNACIÓN ASIGNATURAS'!U270)</f>
        <v/>
      </c>
      <c r="J270" s="290" t="str">
        <f>IF('ASIGNACIÓN ASIGNATURAS'!V270="","",'ASIGNACIÓN ASIGNATURAS'!V270)</f>
        <v/>
      </c>
      <c r="K270" s="301" t="str">
        <f>IF('ASIGNACIÓN ASIGNATURAS'!S270="","",'ASIGNACIÓN ASIGNATURAS'!S270)</f>
        <v/>
      </c>
      <c r="L270" s="244" t="str">
        <f>IF('ASIGNACIÓN ASIGNATURAS'!Q270="","",'ASIGNACIÓN ASIGNATURAS'!Q270)</f>
        <v/>
      </c>
      <c r="M270" s="244" t="str">
        <f>IF('ASIGNACIÓN ASIGNATURAS'!R270="","",'ASIGNACIÓN ASIGNATURAS'!R270)</f>
        <v/>
      </c>
      <c r="N270" s="244" t="str">
        <f>IF('ASIGNACIÓN ASIGNATURAS'!W270="","",'ASIGNACIÓN ASIGNATURAS'!W270)</f>
        <v/>
      </c>
      <c r="O270" s="244" t="str">
        <f>IF('ASIGNACIÓN ASIGNATURAS'!X270="","",'ASIGNACIÓN ASIGNATURAS'!X270)</f>
        <v/>
      </c>
      <c r="P270" s="244" t="str">
        <f>IF('ASIGNACIÓN ASIGNATURAS'!Y270="","",'ASIGNACIÓN ASIGNATURAS'!Y270)</f>
        <v/>
      </c>
      <c r="Q270" s="244" t="str">
        <f>IF('ASIGNACIÓN ASIGNATURAS'!Z270="","",'ASIGNACIÓN ASIGNATURAS'!Z270)</f>
        <v/>
      </c>
      <c r="R270" s="244" t="str">
        <f>IF('ASIGNACIÓN ASIGNATURAS'!AA270="","",'ASIGNACIÓN ASIGNATURAS'!AA270)</f>
        <v/>
      </c>
      <c r="S270" s="244" t="str">
        <f>IF('ASIGNACIÓN ASIGNATURAS'!AB270="","",'ASIGNACIÓN ASIGNATURAS'!AB270)</f>
        <v/>
      </c>
    </row>
    <row r="271" spans="1:19" x14ac:dyDescent="0.3">
      <c r="A271" s="290" t="str">
        <f>IF('ASIGNACIÓN ASIGNATURAS'!J271="","",'ASIGNACIÓN ASIGNATURAS'!J271)</f>
        <v/>
      </c>
      <c r="B271" s="290" t="str">
        <f>IF('ASIGNACIÓN ASIGNATURAS'!K271="","",'ASIGNACIÓN ASIGNATURAS'!K271)</f>
        <v/>
      </c>
      <c r="C271" s="290" t="str">
        <f>IF('ASIGNACIÓN ASIGNATURAS'!L271="","",'ASIGNACIÓN ASIGNATURAS'!L271)</f>
        <v/>
      </c>
      <c r="D271" s="290" t="str">
        <f>IF('ASIGNACIÓN ASIGNATURAS'!M271="","",'ASIGNACIÓN ASIGNATURAS'!M271)</f>
        <v/>
      </c>
      <c r="E271" s="290" t="str">
        <f>IF('ASIGNACIÓN ASIGNATURAS'!N271="","",'ASIGNACIÓN ASIGNATURAS'!N271)</f>
        <v/>
      </c>
      <c r="F271" s="290" t="str">
        <f>IF('ASIGNACIÓN ASIGNATURAS'!O271="","",'ASIGNACIÓN ASIGNATURAS'!O271)</f>
        <v/>
      </c>
      <c r="G271" s="290" t="str">
        <f>IF('ASIGNACIÓN ASIGNATURAS'!P271="","",'ASIGNACIÓN ASIGNATURAS'!P271)</f>
        <v/>
      </c>
      <c r="H271" s="290" t="str">
        <f>IF('ASIGNACIÓN ASIGNATURAS'!T271="","",'ASIGNACIÓN ASIGNATURAS'!T271)</f>
        <v/>
      </c>
      <c r="I271" s="290" t="str">
        <f>IF('ASIGNACIÓN ASIGNATURAS'!U271="","",'ASIGNACIÓN ASIGNATURAS'!U271)</f>
        <v/>
      </c>
      <c r="J271" s="290" t="str">
        <f>IF('ASIGNACIÓN ASIGNATURAS'!V271="","",'ASIGNACIÓN ASIGNATURAS'!V271)</f>
        <v/>
      </c>
      <c r="K271" s="301" t="str">
        <f>IF('ASIGNACIÓN ASIGNATURAS'!S271="","",'ASIGNACIÓN ASIGNATURAS'!S271)</f>
        <v/>
      </c>
      <c r="L271" s="244" t="str">
        <f>IF('ASIGNACIÓN ASIGNATURAS'!Q271="","",'ASIGNACIÓN ASIGNATURAS'!Q271)</f>
        <v/>
      </c>
      <c r="M271" s="244" t="str">
        <f>IF('ASIGNACIÓN ASIGNATURAS'!R271="","",'ASIGNACIÓN ASIGNATURAS'!R271)</f>
        <v/>
      </c>
      <c r="N271" s="244" t="str">
        <f>IF('ASIGNACIÓN ASIGNATURAS'!W271="","",'ASIGNACIÓN ASIGNATURAS'!W271)</f>
        <v/>
      </c>
      <c r="O271" s="244" t="str">
        <f>IF('ASIGNACIÓN ASIGNATURAS'!X271="","",'ASIGNACIÓN ASIGNATURAS'!X271)</f>
        <v/>
      </c>
      <c r="P271" s="244" t="str">
        <f>IF('ASIGNACIÓN ASIGNATURAS'!Y271="","",'ASIGNACIÓN ASIGNATURAS'!Y271)</f>
        <v/>
      </c>
      <c r="Q271" s="244" t="str">
        <f>IF('ASIGNACIÓN ASIGNATURAS'!Z271="","",'ASIGNACIÓN ASIGNATURAS'!Z271)</f>
        <v/>
      </c>
      <c r="R271" s="244" t="str">
        <f>IF('ASIGNACIÓN ASIGNATURAS'!AA271="","",'ASIGNACIÓN ASIGNATURAS'!AA271)</f>
        <v/>
      </c>
      <c r="S271" s="244" t="str">
        <f>IF('ASIGNACIÓN ASIGNATURAS'!AB271="","",'ASIGNACIÓN ASIGNATURAS'!AB271)</f>
        <v/>
      </c>
    </row>
    <row r="272" spans="1:19" x14ac:dyDescent="0.3">
      <c r="A272" s="290" t="str">
        <f>IF('ASIGNACIÓN ASIGNATURAS'!J272="","",'ASIGNACIÓN ASIGNATURAS'!J272)</f>
        <v/>
      </c>
      <c r="B272" s="290" t="str">
        <f>IF('ASIGNACIÓN ASIGNATURAS'!K272="","",'ASIGNACIÓN ASIGNATURAS'!K272)</f>
        <v/>
      </c>
      <c r="C272" s="290" t="str">
        <f>IF('ASIGNACIÓN ASIGNATURAS'!L272="","",'ASIGNACIÓN ASIGNATURAS'!L272)</f>
        <v/>
      </c>
      <c r="D272" s="290" t="str">
        <f>IF('ASIGNACIÓN ASIGNATURAS'!M272="","",'ASIGNACIÓN ASIGNATURAS'!M272)</f>
        <v/>
      </c>
      <c r="E272" s="290" t="str">
        <f>IF('ASIGNACIÓN ASIGNATURAS'!N272="","",'ASIGNACIÓN ASIGNATURAS'!N272)</f>
        <v/>
      </c>
      <c r="F272" s="290" t="str">
        <f>IF('ASIGNACIÓN ASIGNATURAS'!O272="","",'ASIGNACIÓN ASIGNATURAS'!O272)</f>
        <v/>
      </c>
      <c r="G272" s="290" t="str">
        <f>IF('ASIGNACIÓN ASIGNATURAS'!P272="","",'ASIGNACIÓN ASIGNATURAS'!P272)</f>
        <v/>
      </c>
      <c r="H272" s="290" t="str">
        <f>IF('ASIGNACIÓN ASIGNATURAS'!T272="","",'ASIGNACIÓN ASIGNATURAS'!T272)</f>
        <v/>
      </c>
      <c r="I272" s="290" t="str">
        <f>IF('ASIGNACIÓN ASIGNATURAS'!U272="","",'ASIGNACIÓN ASIGNATURAS'!U272)</f>
        <v/>
      </c>
      <c r="J272" s="290" t="str">
        <f>IF('ASIGNACIÓN ASIGNATURAS'!V272="","",'ASIGNACIÓN ASIGNATURAS'!V272)</f>
        <v/>
      </c>
      <c r="K272" s="301" t="str">
        <f>IF('ASIGNACIÓN ASIGNATURAS'!S272="","",'ASIGNACIÓN ASIGNATURAS'!S272)</f>
        <v/>
      </c>
      <c r="L272" s="244" t="str">
        <f>IF('ASIGNACIÓN ASIGNATURAS'!Q272="","",'ASIGNACIÓN ASIGNATURAS'!Q272)</f>
        <v/>
      </c>
      <c r="M272" s="244" t="str">
        <f>IF('ASIGNACIÓN ASIGNATURAS'!R272="","",'ASIGNACIÓN ASIGNATURAS'!R272)</f>
        <v/>
      </c>
      <c r="N272" s="244" t="str">
        <f>IF('ASIGNACIÓN ASIGNATURAS'!W272="","",'ASIGNACIÓN ASIGNATURAS'!W272)</f>
        <v/>
      </c>
      <c r="O272" s="244" t="str">
        <f>IF('ASIGNACIÓN ASIGNATURAS'!X272="","",'ASIGNACIÓN ASIGNATURAS'!X272)</f>
        <v/>
      </c>
      <c r="P272" s="244" t="str">
        <f>IF('ASIGNACIÓN ASIGNATURAS'!Y272="","",'ASIGNACIÓN ASIGNATURAS'!Y272)</f>
        <v/>
      </c>
      <c r="Q272" s="244" t="str">
        <f>IF('ASIGNACIÓN ASIGNATURAS'!Z272="","",'ASIGNACIÓN ASIGNATURAS'!Z272)</f>
        <v/>
      </c>
      <c r="R272" s="244" t="str">
        <f>IF('ASIGNACIÓN ASIGNATURAS'!AA272="","",'ASIGNACIÓN ASIGNATURAS'!AA272)</f>
        <v/>
      </c>
      <c r="S272" s="244" t="str">
        <f>IF('ASIGNACIÓN ASIGNATURAS'!AB272="","",'ASIGNACIÓN ASIGNATURAS'!AB272)</f>
        <v/>
      </c>
    </row>
    <row r="273" spans="1:19" x14ac:dyDescent="0.3">
      <c r="A273" s="290" t="str">
        <f>IF('ASIGNACIÓN ASIGNATURAS'!J273="","",'ASIGNACIÓN ASIGNATURAS'!J273)</f>
        <v/>
      </c>
      <c r="B273" s="290" t="str">
        <f>IF('ASIGNACIÓN ASIGNATURAS'!K273="","",'ASIGNACIÓN ASIGNATURAS'!K273)</f>
        <v/>
      </c>
      <c r="C273" s="290" t="str">
        <f>IF('ASIGNACIÓN ASIGNATURAS'!L273="","",'ASIGNACIÓN ASIGNATURAS'!L273)</f>
        <v/>
      </c>
      <c r="D273" s="290" t="str">
        <f>IF('ASIGNACIÓN ASIGNATURAS'!M273="","",'ASIGNACIÓN ASIGNATURAS'!M273)</f>
        <v/>
      </c>
      <c r="E273" s="290" t="str">
        <f>IF('ASIGNACIÓN ASIGNATURAS'!N273="","",'ASIGNACIÓN ASIGNATURAS'!N273)</f>
        <v/>
      </c>
      <c r="F273" s="290" t="str">
        <f>IF('ASIGNACIÓN ASIGNATURAS'!O273="","",'ASIGNACIÓN ASIGNATURAS'!O273)</f>
        <v/>
      </c>
      <c r="G273" s="290" t="str">
        <f>IF('ASIGNACIÓN ASIGNATURAS'!P273="","",'ASIGNACIÓN ASIGNATURAS'!P273)</f>
        <v/>
      </c>
      <c r="H273" s="290" t="str">
        <f>IF('ASIGNACIÓN ASIGNATURAS'!T273="","",'ASIGNACIÓN ASIGNATURAS'!T273)</f>
        <v/>
      </c>
      <c r="I273" s="290" t="str">
        <f>IF('ASIGNACIÓN ASIGNATURAS'!U273="","",'ASIGNACIÓN ASIGNATURAS'!U273)</f>
        <v/>
      </c>
      <c r="J273" s="290" t="str">
        <f>IF('ASIGNACIÓN ASIGNATURAS'!V273="","",'ASIGNACIÓN ASIGNATURAS'!V273)</f>
        <v/>
      </c>
      <c r="K273" s="301" t="str">
        <f>IF('ASIGNACIÓN ASIGNATURAS'!S273="","",'ASIGNACIÓN ASIGNATURAS'!S273)</f>
        <v/>
      </c>
      <c r="L273" s="244" t="str">
        <f>IF('ASIGNACIÓN ASIGNATURAS'!Q273="","",'ASIGNACIÓN ASIGNATURAS'!Q273)</f>
        <v/>
      </c>
      <c r="M273" s="244" t="str">
        <f>IF('ASIGNACIÓN ASIGNATURAS'!R273="","",'ASIGNACIÓN ASIGNATURAS'!R273)</f>
        <v/>
      </c>
      <c r="N273" s="244" t="str">
        <f>IF('ASIGNACIÓN ASIGNATURAS'!W273="","",'ASIGNACIÓN ASIGNATURAS'!W273)</f>
        <v/>
      </c>
      <c r="O273" s="244" t="str">
        <f>IF('ASIGNACIÓN ASIGNATURAS'!X273="","",'ASIGNACIÓN ASIGNATURAS'!X273)</f>
        <v/>
      </c>
      <c r="P273" s="244" t="str">
        <f>IF('ASIGNACIÓN ASIGNATURAS'!Y273="","",'ASIGNACIÓN ASIGNATURAS'!Y273)</f>
        <v/>
      </c>
      <c r="Q273" s="244" t="str">
        <f>IF('ASIGNACIÓN ASIGNATURAS'!Z273="","",'ASIGNACIÓN ASIGNATURAS'!Z273)</f>
        <v/>
      </c>
      <c r="R273" s="244" t="str">
        <f>IF('ASIGNACIÓN ASIGNATURAS'!AA273="","",'ASIGNACIÓN ASIGNATURAS'!AA273)</f>
        <v/>
      </c>
      <c r="S273" s="244" t="str">
        <f>IF('ASIGNACIÓN ASIGNATURAS'!AB273="","",'ASIGNACIÓN ASIGNATURAS'!AB273)</f>
        <v/>
      </c>
    </row>
    <row r="274" spans="1:19" x14ac:dyDescent="0.3">
      <c r="A274" s="290" t="str">
        <f>IF('ASIGNACIÓN ASIGNATURAS'!J274="","",'ASIGNACIÓN ASIGNATURAS'!J274)</f>
        <v/>
      </c>
      <c r="B274" s="290" t="str">
        <f>IF('ASIGNACIÓN ASIGNATURAS'!K274="","",'ASIGNACIÓN ASIGNATURAS'!K274)</f>
        <v/>
      </c>
      <c r="C274" s="290" t="str">
        <f>IF('ASIGNACIÓN ASIGNATURAS'!L274="","",'ASIGNACIÓN ASIGNATURAS'!L274)</f>
        <v/>
      </c>
      <c r="D274" s="290" t="str">
        <f>IF('ASIGNACIÓN ASIGNATURAS'!M274="","",'ASIGNACIÓN ASIGNATURAS'!M274)</f>
        <v/>
      </c>
      <c r="E274" s="290" t="str">
        <f>IF('ASIGNACIÓN ASIGNATURAS'!N274="","",'ASIGNACIÓN ASIGNATURAS'!N274)</f>
        <v/>
      </c>
      <c r="F274" s="290" t="str">
        <f>IF('ASIGNACIÓN ASIGNATURAS'!O274="","",'ASIGNACIÓN ASIGNATURAS'!O274)</f>
        <v/>
      </c>
      <c r="G274" s="290" t="str">
        <f>IF('ASIGNACIÓN ASIGNATURAS'!P274="","",'ASIGNACIÓN ASIGNATURAS'!P274)</f>
        <v/>
      </c>
      <c r="H274" s="290" t="str">
        <f>IF('ASIGNACIÓN ASIGNATURAS'!T274="","",'ASIGNACIÓN ASIGNATURAS'!T274)</f>
        <v/>
      </c>
      <c r="I274" s="290" t="str">
        <f>IF('ASIGNACIÓN ASIGNATURAS'!U274="","",'ASIGNACIÓN ASIGNATURAS'!U274)</f>
        <v/>
      </c>
      <c r="J274" s="290" t="str">
        <f>IF('ASIGNACIÓN ASIGNATURAS'!V274="","",'ASIGNACIÓN ASIGNATURAS'!V274)</f>
        <v/>
      </c>
      <c r="K274" s="301" t="str">
        <f>IF('ASIGNACIÓN ASIGNATURAS'!S274="","",'ASIGNACIÓN ASIGNATURAS'!S274)</f>
        <v/>
      </c>
      <c r="L274" s="244" t="str">
        <f>IF('ASIGNACIÓN ASIGNATURAS'!Q274="","",'ASIGNACIÓN ASIGNATURAS'!Q274)</f>
        <v/>
      </c>
      <c r="M274" s="244" t="str">
        <f>IF('ASIGNACIÓN ASIGNATURAS'!R274="","",'ASIGNACIÓN ASIGNATURAS'!R274)</f>
        <v/>
      </c>
      <c r="N274" s="244" t="str">
        <f>IF('ASIGNACIÓN ASIGNATURAS'!W274="","",'ASIGNACIÓN ASIGNATURAS'!W274)</f>
        <v/>
      </c>
      <c r="O274" s="244" t="str">
        <f>IF('ASIGNACIÓN ASIGNATURAS'!X274="","",'ASIGNACIÓN ASIGNATURAS'!X274)</f>
        <v/>
      </c>
      <c r="P274" s="244" t="str">
        <f>IF('ASIGNACIÓN ASIGNATURAS'!Y274="","",'ASIGNACIÓN ASIGNATURAS'!Y274)</f>
        <v/>
      </c>
      <c r="Q274" s="244" t="str">
        <f>IF('ASIGNACIÓN ASIGNATURAS'!Z274="","",'ASIGNACIÓN ASIGNATURAS'!Z274)</f>
        <v/>
      </c>
      <c r="R274" s="244" t="str">
        <f>IF('ASIGNACIÓN ASIGNATURAS'!AA274="","",'ASIGNACIÓN ASIGNATURAS'!AA274)</f>
        <v/>
      </c>
      <c r="S274" s="244" t="str">
        <f>IF('ASIGNACIÓN ASIGNATURAS'!AB274="","",'ASIGNACIÓN ASIGNATURAS'!AB274)</f>
        <v/>
      </c>
    </row>
    <row r="275" spans="1:19" x14ac:dyDescent="0.3">
      <c r="A275" s="290" t="str">
        <f>IF('ASIGNACIÓN ASIGNATURAS'!J275="","",'ASIGNACIÓN ASIGNATURAS'!J275)</f>
        <v/>
      </c>
      <c r="B275" s="290" t="str">
        <f>IF('ASIGNACIÓN ASIGNATURAS'!K275="","",'ASIGNACIÓN ASIGNATURAS'!K275)</f>
        <v/>
      </c>
      <c r="C275" s="290" t="str">
        <f>IF('ASIGNACIÓN ASIGNATURAS'!L275="","",'ASIGNACIÓN ASIGNATURAS'!L275)</f>
        <v/>
      </c>
      <c r="D275" s="290" t="str">
        <f>IF('ASIGNACIÓN ASIGNATURAS'!M275="","",'ASIGNACIÓN ASIGNATURAS'!M275)</f>
        <v/>
      </c>
      <c r="E275" s="290" t="str">
        <f>IF('ASIGNACIÓN ASIGNATURAS'!N275="","",'ASIGNACIÓN ASIGNATURAS'!N275)</f>
        <v/>
      </c>
      <c r="F275" s="290" t="str">
        <f>IF('ASIGNACIÓN ASIGNATURAS'!O275="","",'ASIGNACIÓN ASIGNATURAS'!O275)</f>
        <v/>
      </c>
      <c r="G275" s="290" t="str">
        <f>IF('ASIGNACIÓN ASIGNATURAS'!P275="","",'ASIGNACIÓN ASIGNATURAS'!P275)</f>
        <v/>
      </c>
      <c r="H275" s="290" t="str">
        <f>IF('ASIGNACIÓN ASIGNATURAS'!T275="","",'ASIGNACIÓN ASIGNATURAS'!T275)</f>
        <v/>
      </c>
      <c r="I275" s="290" t="str">
        <f>IF('ASIGNACIÓN ASIGNATURAS'!U275="","",'ASIGNACIÓN ASIGNATURAS'!U275)</f>
        <v/>
      </c>
      <c r="J275" s="290" t="str">
        <f>IF('ASIGNACIÓN ASIGNATURAS'!V275="","",'ASIGNACIÓN ASIGNATURAS'!V275)</f>
        <v/>
      </c>
      <c r="K275" s="301" t="str">
        <f>IF('ASIGNACIÓN ASIGNATURAS'!S275="","",'ASIGNACIÓN ASIGNATURAS'!S275)</f>
        <v/>
      </c>
      <c r="L275" s="244" t="str">
        <f>IF('ASIGNACIÓN ASIGNATURAS'!Q275="","",'ASIGNACIÓN ASIGNATURAS'!Q275)</f>
        <v/>
      </c>
      <c r="M275" s="244" t="str">
        <f>IF('ASIGNACIÓN ASIGNATURAS'!R275="","",'ASIGNACIÓN ASIGNATURAS'!R275)</f>
        <v/>
      </c>
      <c r="N275" s="244" t="str">
        <f>IF('ASIGNACIÓN ASIGNATURAS'!W275="","",'ASIGNACIÓN ASIGNATURAS'!W275)</f>
        <v/>
      </c>
      <c r="O275" s="244" t="str">
        <f>IF('ASIGNACIÓN ASIGNATURAS'!X275="","",'ASIGNACIÓN ASIGNATURAS'!X275)</f>
        <v/>
      </c>
      <c r="P275" s="244" t="str">
        <f>IF('ASIGNACIÓN ASIGNATURAS'!Y275="","",'ASIGNACIÓN ASIGNATURAS'!Y275)</f>
        <v/>
      </c>
      <c r="Q275" s="244" t="str">
        <f>IF('ASIGNACIÓN ASIGNATURAS'!Z275="","",'ASIGNACIÓN ASIGNATURAS'!Z275)</f>
        <v/>
      </c>
      <c r="R275" s="244" t="str">
        <f>IF('ASIGNACIÓN ASIGNATURAS'!AA275="","",'ASIGNACIÓN ASIGNATURAS'!AA275)</f>
        <v/>
      </c>
      <c r="S275" s="244" t="str">
        <f>IF('ASIGNACIÓN ASIGNATURAS'!AB275="","",'ASIGNACIÓN ASIGNATURAS'!AB275)</f>
        <v/>
      </c>
    </row>
    <row r="276" spans="1:19" x14ac:dyDescent="0.3">
      <c r="A276" s="290" t="str">
        <f>IF('ASIGNACIÓN ASIGNATURAS'!J276="","",'ASIGNACIÓN ASIGNATURAS'!J276)</f>
        <v/>
      </c>
      <c r="B276" s="290" t="str">
        <f>IF('ASIGNACIÓN ASIGNATURAS'!K276="","",'ASIGNACIÓN ASIGNATURAS'!K276)</f>
        <v/>
      </c>
      <c r="C276" s="290" t="str">
        <f>IF('ASIGNACIÓN ASIGNATURAS'!L276="","",'ASIGNACIÓN ASIGNATURAS'!L276)</f>
        <v/>
      </c>
      <c r="D276" s="290" t="str">
        <f>IF('ASIGNACIÓN ASIGNATURAS'!M276="","",'ASIGNACIÓN ASIGNATURAS'!M276)</f>
        <v/>
      </c>
      <c r="E276" s="290" t="str">
        <f>IF('ASIGNACIÓN ASIGNATURAS'!N276="","",'ASIGNACIÓN ASIGNATURAS'!N276)</f>
        <v/>
      </c>
      <c r="F276" s="290" t="str">
        <f>IF('ASIGNACIÓN ASIGNATURAS'!O276="","",'ASIGNACIÓN ASIGNATURAS'!O276)</f>
        <v/>
      </c>
      <c r="G276" s="290" t="str">
        <f>IF('ASIGNACIÓN ASIGNATURAS'!P276="","",'ASIGNACIÓN ASIGNATURAS'!P276)</f>
        <v/>
      </c>
      <c r="H276" s="290" t="str">
        <f>IF('ASIGNACIÓN ASIGNATURAS'!T276="","",'ASIGNACIÓN ASIGNATURAS'!T276)</f>
        <v/>
      </c>
      <c r="I276" s="290" t="str">
        <f>IF('ASIGNACIÓN ASIGNATURAS'!U276="","",'ASIGNACIÓN ASIGNATURAS'!U276)</f>
        <v/>
      </c>
      <c r="J276" s="290" t="str">
        <f>IF('ASIGNACIÓN ASIGNATURAS'!V276="","",'ASIGNACIÓN ASIGNATURAS'!V276)</f>
        <v/>
      </c>
      <c r="K276" s="301" t="str">
        <f>IF('ASIGNACIÓN ASIGNATURAS'!S276="","",'ASIGNACIÓN ASIGNATURAS'!S276)</f>
        <v/>
      </c>
      <c r="L276" s="244" t="str">
        <f>IF('ASIGNACIÓN ASIGNATURAS'!Q276="","",'ASIGNACIÓN ASIGNATURAS'!Q276)</f>
        <v/>
      </c>
      <c r="M276" s="244" t="str">
        <f>IF('ASIGNACIÓN ASIGNATURAS'!R276="","",'ASIGNACIÓN ASIGNATURAS'!R276)</f>
        <v/>
      </c>
      <c r="N276" s="244" t="str">
        <f>IF('ASIGNACIÓN ASIGNATURAS'!W276="","",'ASIGNACIÓN ASIGNATURAS'!W276)</f>
        <v/>
      </c>
      <c r="O276" s="244" t="str">
        <f>IF('ASIGNACIÓN ASIGNATURAS'!X276="","",'ASIGNACIÓN ASIGNATURAS'!X276)</f>
        <v/>
      </c>
      <c r="P276" s="244" t="str">
        <f>IF('ASIGNACIÓN ASIGNATURAS'!Y276="","",'ASIGNACIÓN ASIGNATURAS'!Y276)</f>
        <v/>
      </c>
      <c r="Q276" s="244" t="str">
        <f>IF('ASIGNACIÓN ASIGNATURAS'!Z276="","",'ASIGNACIÓN ASIGNATURAS'!Z276)</f>
        <v/>
      </c>
      <c r="R276" s="244" t="str">
        <f>IF('ASIGNACIÓN ASIGNATURAS'!AA276="","",'ASIGNACIÓN ASIGNATURAS'!AA276)</f>
        <v/>
      </c>
      <c r="S276" s="244" t="str">
        <f>IF('ASIGNACIÓN ASIGNATURAS'!AB276="","",'ASIGNACIÓN ASIGNATURAS'!AB276)</f>
        <v/>
      </c>
    </row>
    <row r="277" spans="1:19" x14ac:dyDescent="0.3">
      <c r="A277" s="290" t="str">
        <f>IF('ASIGNACIÓN ASIGNATURAS'!J277="","",'ASIGNACIÓN ASIGNATURAS'!J277)</f>
        <v/>
      </c>
      <c r="B277" s="290" t="str">
        <f>IF('ASIGNACIÓN ASIGNATURAS'!K277="","",'ASIGNACIÓN ASIGNATURAS'!K277)</f>
        <v/>
      </c>
      <c r="C277" s="290" t="str">
        <f>IF('ASIGNACIÓN ASIGNATURAS'!L277="","",'ASIGNACIÓN ASIGNATURAS'!L277)</f>
        <v/>
      </c>
      <c r="D277" s="290" t="str">
        <f>IF('ASIGNACIÓN ASIGNATURAS'!M277="","",'ASIGNACIÓN ASIGNATURAS'!M277)</f>
        <v/>
      </c>
      <c r="E277" s="290" t="str">
        <f>IF('ASIGNACIÓN ASIGNATURAS'!N277="","",'ASIGNACIÓN ASIGNATURAS'!N277)</f>
        <v/>
      </c>
      <c r="F277" s="290" t="str">
        <f>IF('ASIGNACIÓN ASIGNATURAS'!O277="","",'ASIGNACIÓN ASIGNATURAS'!O277)</f>
        <v/>
      </c>
      <c r="G277" s="290" t="str">
        <f>IF('ASIGNACIÓN ASIGNATURAS'!P277="","",'ASIGNACIÓN ASIGNATURAS'!P277)</f>
        <v/>
      </c>
      <c r="H277" s="290" t="str">
        <f>IF('ASIGNACIÓN ASIGNATURAS'!T277="","",'ASIGNACIÓN ASIGNATURAS'!T277)</f>
        <v/>
      </c>
      <c r="I277" s="290" t="str">
        <f>IF('ASIGNACIÓN ASIGNATURAS'!U277="","",'ASIGNACIÓN ASIGNATURAS'!U277)</f>
        <v/>
      </c>
      <c r="J277" s="290" t="str">
        <f>IF('ASIGNACIÓN ASIGNATURAS'!V277="","",'ASIGNACIÓN ASIGNATURAS'!V277)</f>
        <v/>
      </c>
      <c r="K277" s="301" t="str">
        <f>IF('ASIGNACIÓN ASIGNATURAS'!S277="","",'ASIGNACIÓN ASIGNATURAS'!S277)</f>
        <v/>
      </c>
      <c r="L277" s="244" t="str">
        <f>IF('ASIGNACIÓN ASIGNATURAS'!Q277="","",'ASIGNACIÓN ASIGNATURAS'!Q277)</f>
        <v/>
      </c>
      <c r="M277" s="244" t="str">
        <f>IF('ASIGNACIÓN ASIGNATURAS'!R277="","",'ASIGNACIÓN ASIGNATURAS'!R277)</f>
        <v/>
      </c>
      <c r="N277" s="244" t="str">
        <f>IF('ASIGNACIÓN ASIGNATURAS'!W277="","",'ASIGNACIÓN ASIGNATURAS'!W277)</f>
        <v/>
      </c>
      <c r="O277" s="244" t="str">
        <f>IF('ASIGNACIÓN ASIGNATURAS'!X277="","",'ASIGNACIÓN ASIGNATURAS'!X277)</f>
        <v/>
      </c>
      <c r="P277" s="244" t="str">
        <f>IF('ASIGNACIÓN ASIGNATURAS'!Y277="","",'ASIGNACIÓN ASIGNATURAS'!Y277)</f>
        <v/>
      </c>
      <c r="Q277" s="244" t="str">
        <f>IF('ASIGNACIÓN ASIGNATURAS'!Z277="","",'ASIGNACIÓN ASIGNATURAS'!Z277)</f>
        <v/>
      </c>
      <c r="R277" s="244" t="str">
        <f>IF('ASIGNACIÓN ASIGNATURAS'!AA277="","",'ASIGNACIÓN ASIGNATURAS'!AA277)</f>
        <v/>
      </c>
      <c r="S277" s="244" t="str">
        <f>IF('ASIGNACIÓN ASIGNATURAS'!AB277="","",'ASIGNACIÓN ASIGNATURAS'!AB277)</f>
        <v/>
      </c>
    </row>
    <row r="278" spans="1:19" x14ac:dyDescent="0.3">
      <c r="A278" s="290" t="str">
        <f>IF('ASIGNACIÓN ASIGNATURAS'!J278="","",'ASIGNACIÓN ASIGNATURAS'!J278)</f>
        <v/>
      </c>
      <c r="B278" s="290" t="str">
        <f>IF('ASIGNACIÓN ASIGNATURAS'!K278="","",'ASIGNACIÓN ASIGNATURAS'!K278)</f>
        <v/>
      </c>
      <c r="C278" s="290" t="str">
        <f>IF('ASIGNACIÓN ASIGNATURAS'!L278="","",'ASIGNACIÓN ASIGNATURAS'!L278)</f>
        <v/>
      </c>
      <c r="D278" s="290" t="str">
        <f>IF('ASIGNACIÓN ASIGNATURAS'!M278="","",'ASIGNACIÓN ASIGNATURAS'!M278)</f>
        <v/>
      </c>
      <c r="E278" s="290" t="str">
        <f>IF('ASIGNACIÓN ASIGNATURAS'!N278="","",'ASIGNACIÓN ASIGNATURAS'!N278)</f>
        <v/>
      </c>
      <c r="F278" s="290" t="str">
        <f>IF('ASIGNACIÓN ASIGNATURAS'!O278="","",'ASIGNACIÓN ASIGNATURAS'!O278)</f>
        <v/>
      </c>
      <c r="G278" s="290" t="str">
        <f>IF('ASIGNACIÓN ASIGNATURAS'!P278="","",'ASIGNACIÓN ASIGNATURAS'!P278)</f>
        <v/>
      </c>
      <c r="H278" s="290" t="str">
        <f>IF('ASIGNACIÓN ASIGNATURAS'!T278="","",'ASIGNACIÓN ASIGNATURAS'!T278)</f>
        <v/>
      </c>
      <c r="I278" s="290" t="str">
        <f>IF('ASIGNACIÓN ASIGNATURAS'!U278="","",'ASIGNACIÓN ASIGNATURAS'!U278)</f>
        <v/>
      </c>
      <c r="J278" s="290" t="str">
        <f>IF('ASIGNACIÓN ASIGNATURAS'!V278="","",'ASIGNACIÓN ASIGNATURAS'!V278)</f>
        <v/>
      </c>
      <c r="K278" s="301" t="str">
        <f>IF('ASIGNACIÓN ASIGNATURAS'!S278="","",'ASIGNACIÓN ASIGNATURAS'!S278)</f>
        <v/>
      </c>
      <c r="L278" s="244" t="str">
        <f>IF('ASIGNACIÓN ASIGNATURAS'!Q278="","",'ASIGNACIÓN ASIGNATURAS'!Q278)</f>
        <v/>
      </c>
      <c r="M278" s="244" t="str">
        <f>IF('ASIGNACIÓN ASIGNATURAS'!R278="","",'ASIGNACIÓN ASIGNATURAS'!R278)</f>
        <v/>
      </c>
      <c r="N278" s="244" t="str">
        <f>IF('ASIGNACIÓN ASIGNATURAS'!W278="","",'ASIGNACIÓN ASIGNATURAS'!W278)</f>
        <v/>
      </c>
      <c r="O278" s="244" t="str">
        <f>IF('ASIGNACIÓN ASIGNATURAS'!X278="","",'ASIGNACIÓN ASIGNATURAS'!X278)</f>
        <v/>
      </c>
      <c r="P278" s="244" t="str">
        <f>IF('ASIGNACIÓN ASIGNATURAS'!Y278="","",'ASIGNACIÓN ASIGNATURAS'!Y278)</f>
        <v/>
      </c>
      <c r="Q278" s="244" t="str">
        <f>IF('ASIGNACIÓN ASIGNATURAS'!Z278="","",'ASIGNACIÓN ASIGNATURAS'!Z278)</f>
        <v/>
      </c>
      <c r="R278" s="244" t="str">
        <f>IF('ASIGNACIÓN ASIGNATURAS'!AA278="","",'ASIGNACIÓN ASIGNATURAS'!AA278)</f>
        <v/>
      </c>
      <c r="S278" s="244" t="str">
        <f>IF('ASIGNACIÓN ASIGNATURAS'!AB278="","",'ASIGNACIÓN ASIGNATURAS'!AB278)</f>
        <v/>
      </c>
    </row>
    <row r="279" spans="1:19" x14ac:dyDescent="0.3">
      <c r="A279" s="290" t="str">
        <f>IF('ASIGNACIÓN ASIGNATURAS'!J279="","",'ASIGNACIÓN ASIGNATURAS'!J279)</f>
        <v/>
      </c>
      <c r="B279" s="290" t="str">
        <f>IF('ASIGNACIÓN ASIGNATURAS'!K279="","",'ASIGNACIÓN ASIGNATURAS'!K279)</f>
        <v/>
      </c>
      <c r="C279" s="290" t="str">
        <f>IF('ASIGNACIÓN ASIGNATURAS'!L279="","",'ASIGNACIÓN ASIGNATURAS'!L279)</f>
        <v/>
      </c>
      <c r="D279" s="290" t="str">
        <f>IF('ASIGNACIÓN ASIGNATURAS'!M279="","",'ASIGNACIÓN ASIGNATURAS'!M279)</f>
        <v/>
      </c>
      <c r="E279" s="290" t="str">
        <f>IF('ASIGNACIÓN ASIGNATURAS'!N279="","",'ASIGNACIÓN ASIGNATURAS'!N279)</f>
        <v/>
      </c>
      <c r="F279" s="290" t="str">
        <f>IF('ASIGNACIÓN ASIGNATURAS'!O279="","",'ASIGNACIÓN ASIGNATURAS'!O279)</f>
        <v/>
      </c>
      <c r="G279" s="290" t="str">
        <f>IF('ASIGNACIÓN ASIGNATURAS'!P279="","",'ASIGNACIÓN ASIGNATURAS'!P279)</f>
        <v/>
      </c>
      <c r="H279" s="290" t="str">
        <f>IF('ASIGNACIÓN ASIGNATURAS'!T279="","",'ASIGNACIÓN ASIGNATURAS'!T279)</f>
        <v/>
      </c>
      <c r="I279" s="290" t="str">
        <f>IF('ASIGNACIÓN ASIGNATURAS'!U279="","",'ASIGNACIÓN ASIGNATURAS'!U279)</f>
        <v/>
      </c>
      <c r="J279" s="290" t="str">
        <f>IF('ASIGNACIÓN ASIGNATURAS'!V279="","",'ASIGNACIÓN ASIGNATURAS'!V279)</f>
        <v/>
      </c>
      <c r="K279" s="301" t="str">
        <f>IF('ASIGNACIÓN ASIGNATURAS'!S279="","",'ASIGNACIÓN ASIGNATURAS'!S279)</f>
        <v/>
      </c>
      <c r="L279" s="244" t="str">
        <f>IF('ASIGNACIÓN ASIGNATURAS'!Q279="","",'ASIGNACIÓN ASIGNATURAS'!Q279)</f>
        <v/>
      </c>
      <c r="M279" s="244" t="str">
        <f>IF('ASIGNACIÓN ASIGNATURAS'!R279="","",'ASIGNACIÓN ASIGNATURAS'!R279)</f>
        <v/>
      </c>
      <c r="N279" s="244" t="str">
        <f>IF('ASIGNACIÓN ASIGNATURAS'!W279="","",'ASIGNACIÓN ASIGNATURAS'!W279)</f>
        <v/>
      </c>
      <c r="O279" s="244" t="str">
        <f>IF('ASIGNACIÓN ASIGNATURAS'!X279="","",'ASIGNACIÓN ASIGNATURAS'!X279)</f>
        <v/>
      </c>
      <c r="P279" s="244" t="str">
        <f>IF('ASIGNACIÓN ASIGNATURAS'!Y279="","",'ASIGNACIÓN ASIGNATURAS'!Y279)</f>
        <v/>
      </c>
      <c r="Q279" s="244" t="str">
        <f>IF('ASIGNACIÓN ASIGNATURAS'!Z279="","",'ASIGNACIÓN ASIGNATURAS'!Z279)</f>
        <v/>
      </c>
      <c r="R279" s="244" t="str">
        <f>IF('ASIGNACIÓN ASIGNATURAS'!AA279="","",'ASIGNACIÓN ASIGNATURAS'!AA279)</f>
        <v/>
      </c>
      <c r="S279" s="244" t="str">
        <f>IF('ASIGNACIÓN ASIGNATURAS'!AB279="","",'ASIGNACIÓN ASIGNATURAS'!AB279)</f>
        <v/>
      </c>
    </row>
    <row r="280" spans="1:19" x14ac:dyDescent="0.3">
      <c r="A280" s="290" t="str">
        <f>IF('ASIGNACIÓN ASIGNATURAS'!J280="","",'ASIGNACIÓN ASIGNATURAS'!J280)</f>
        <v/>
      </c>
      <c r="B280" s="290" t="str">
        <f>IF('ASIGNACIÓN ASIGNATURAS'!K280="","",'ASIGNACIÓN ASIGNATURAS'!K280)</f>
        <v/>
      </c>
      <c r="C280" s="290" t="str">
        <f>IF('ASIGNACIÓN ASIGNATURAS'!L280="","",'ASIGNACIÓN ASIGNATURAS'!L280)</f>
        <v/>
      </c>
      <c r="D280" s="290" t="str">
        <f>IF('ASIGNACIÓN ASIGNATURAS'!M280="","",'ASIGNACIÓN ASIGNATURAS'!M280)</f>
        <v/>
      </c>
      <c r="E280" s="290" t="str">
        <f>IF('ASIGNACIÓN ASIGNATURAS'!N280="","",'ASIGNACIÓN ASIGNATURAS'!N280)</f>
        <v/>
      </c>
      <c r="F280" s="290" t="str">
        <f>IF('ASIGNACIÓN ASIGNATURAS'!O280="","",'ASIGNACIÓN ASIGNATURAS'!O280)</f>
        <v/>
      </c>
      <c r="G280" s="290" t="str">
        <f>IF('ASIGNACIÓN ASIGNATURAS'!P280="","",'ASIGNACIÓN ASIGNATURAS'!P280)</f>
        <v/>
      </c>
      <c r="H280" s="290" t="str">
        <f>IF('ASIGNACIÓN ASIGNATURAS'!T280="","",'ASIGNACIÓN ASIGNATURAS'!T280)</f>
        <v/>
      </c>
      <c r="I280" s="290" t="str">
        <f>IF('ASIGNACIÓN ASIGNATURAS'!U280="","",'ASIGNACIÓN ASIGNATURAS'!U280)</f>
        <v/>
      </c>
      <c r="J280" s="290" t="str">
        <f>IF('ASIGNACIÓN ASIGNATURAS'!V280="","",'ASIGNACIÓN ASIGNATURAS'!V280)</f>
        <v/>
      </c>
      <c r="K280" s="301" t="str">
        <f>IF('ASIGNACIÓN ASIGNATURAS'!S280="","",'ASIGNACIÓN ASIGNATURAS'!S280)</f>
        <v/>
      </c>
      <c r="L280" s="244" t="str">
        <f>IF('ASIGNACIÓN ASIGNATURAS'!Q280="","",'ASIGNACIÓN ASIGNATURAS'!Q280)</f>
        <v/>
      </c>
      <c r="M280" s="244" t="str">
        <f>IF('ASIGNACIÓN ASIGNATURAS'!R280="","",'ASIGNACIÓN ASIGNATURAS'!R280)</f>
        <v/>
      </c>
      <c r="N280" s="244" t="str">
        <f>IF('ASIGNACIÓN ASIGNATURAS'!W280="","",'ASIGNACIÓN ASIGNATURAS'!W280)</f>
        <v/>
      </c>
      <c r="O280" s="244" t="str">
        <f>IF('ASIGNACIÓN ASIGNATURAS'!X280="","",'ASIGNACIÓN ASIGNATURAS'!X280)</f>
        <v/>
      </c>
      <c r="P280" s="244" t="str">
        <f>IF('ASIGNACIÓN ASIGNATURAS'!Y280="","",'ASIGNACIÓN ASIGNATURAS'!Y280)</f>
        <v/>
      </c>
      <c r="Q280" s="244" t="str">
        <f>IF('ASIGNACIÓN ASIGNATURAS'!Z280="","",'ASIGNACIÓN ASIGNATURAS'!Z280)</f>
        <v/>
      </c>
      <c r="R280" s="244" t="str">
        <f>IF('ASIGNACIÓN ASIGNATURAS'!AA280="","",'ASIGNACIÓN ASIGNATURAS'!AA280)</f>
        <v/>
      </c>
      <c r="S280" s="244" t="str">
        <f>IF('ASIGNACIÓN ASIGNATURAS'!AB280="","",'ASIGNACIÓN ASIGNATURAS'!AB280)</f>
        <v/>
      </c>
    </row>
    <row r="281" spans="1:19" x14ac:dyDescent="0.3">
      <c r="A281" s="290" t="str">
        <f>IF('ASIGNACIÓN ASIGNATURAS'!J281="","",'ASIGNACIÓN ASIGNATURAS'!J281)</f>
        <v/>
      </c>
      <c r="B281" s="290" t="str">
        <f>IF('ASIGNACIÓN ASIGNATURAS'!K281="","",'ASIGNACIÓN ASIGNATURAS'!K281)</f>
        <v/>
      </c>
      <c r="C281" s="290" t="str">
        <f>IF('ASIGNACIÓN ASIGNATURAS'!L281="","",'ASIGNACIÓN ASIGNATURAS'!L281)</f>
        <v/>
      </c>
      <c r="D281" s="290" t="str">
        <f>IF('ASIGNACIÓN ASIGNATURAS'!M281="","",'ASIGNACIÓN ASIGNATURAS'!M281)</f>
        <v/>
      </c>
      <c r="E281" s="290" t="str">
        <f>IF('ASIGNACIÓN ASIGNATURAS'!N281="","",'ASIGNACIÓN ASIGNATURAS'!N281)</f>
        <v/>
      </c>
      <c r="F281" s="290" t="str">
        <f>IF('ASIGNACIÓN ASIGNATURAS'!O281="","",'ASIGNACIÓN ASIGNATURAS'!O281)</f>
        <v/>
      </c>
      <c r="G281" s="290" t="str">
        <f>IF('ASIGNACIÓN ASIGNATURAS'!P281="","",'ASIGNACIÓN ASIGNATURAS'!P281)</f>
        <v/>
      </c>
      <c r="H281" s="290" t="str">
        <f>IF('ASIGNACIÓN ASIGNATURAS'!T281="","",'ASIGNACIÓN ASIGNATURAS'!T281)</f>
        <v/>
      </c>
      <c r="I281" s="290" t="str">
        <f>IF('ASIGNACIÓN ASIGNATURAS'!U281="","",'ASIGNACIÓN ASIGNATURAS'!U281)</f>
        <v/>
      </c>
      <c r="J281" s="290" t="str">
        <f>IF('ASIGNACIÓN ASIGNATURAS'!V281="","",'ASIGNACIÓN ASIGNATURAS'!V281)</f>
        <v/>
      </c>
      <c r="K281" s="301" t="str">
        <f>IF('ASIGNACIÓN ASIGNATURAS'!S281="","",'ASIGNACIÓN ASIGNATURAS'!S281)</f>
        <v/>
      </c>
      <c r="L281" s="244" t="str">
        <f>IF('ASIGNACIÓN ASIGNATURAS'!Q281="","",'ASIGNACIÓN ASIGNATURAS'!Q281)</f>
        <v/>
      </c>
      <c r="M281" s="244" t="str">
        <f>IF('ASIGNACIÓN ASIGNATURAS'!R281="","",'ASIGNACIÓN ASIGNATURAS'!R281)</f>
        <v/>
      </c>
      <c r="N281" s="244" t="str">
        <f>IF('ASIGNACIÓN ASIGNATURAS'!W281="","",'ASIGNACIÓN ASIGNATURAS'!W281)</f>
        <v/>
      </c>
      <c r="O281" s="244" t="str">
        <f>IF('ASIGNACIÓN ASIGNATURAS'!X281="","",'ASIGNACIÓN ASIGNATURAS'!X281)</f>
        <v/>
      </c>
      <c r="P281" s="244" t="str">
        <f>IF('ASIGNACIÓN ASIGNATURAS'!Y281="","",'ASIGNACIÓN ASIGNATURAS'!Y281)</f>
        <v/>
      </c>
      <c r="Q281" s="244" t="str">
        <f>IF('ASIGNACIÓN ASIGNATURAS'!Z281="","",'ASIGNACIÓN ASIGNATURAS'!Z281)</f>
        <v/>
      </c>
      <c r="R281" s="244" t="str">
        <f>IF('ASIGNACIÓN ASIGNATURAS'!AA281="","",'ASIGNACIÓN ASIGNATURAS'!AA281)</f>
        <v/>
      </c>
      <c r="S281" s="244" t="str">
        <f>IF('ASIGNACIÓN ASIGNATURAS'!AB281="","",'ASIGNACIÓN ASIGNATURAS'!AB281)</f>
        <v/>
      </c>
    </row>
    <row r="282" spans="1:19" x14ac:dyDescent="0.3">
      <c r="A282" s="290" t="str">
        <f>IF('ASIGNACIÓN ASIGNATURAS'!J282="","",'ASIGNACIÓN ASIGNATURAS'!J282)</f>
        <v/>
      </c>
      <c r="B282" s="290" t="str">
        <f>IF('ASIGNACIÓN ASIGNATURAS'!K282="","",'ASIGNACIÓN ASIGNATURAS'!K282)</f>
        <v/>
      </c>
      <c r="C282" s="290" t="str">
        <f>IF('ASIGNACIÓN ASIGNATURAS'!L282="","",'ASIGNACIÓN ASIGNATURAS'!L282)</f>
        <v/>
      </c>
      <c r="D282" s="290" t="str">
        <f>IF('ASIGNACIÓN ASIGNATURAS'!M282="","",'ASIGNACIÓN ASIGNATURAS'!M282)</f>
        <v/>
      </c>
      <c r="E282" s="290" t="str">
        <f>IF('ASIGNACIÓN ASIGNATURAS'!N282="","",'ASIGNACIÓN ASIGNATURAS'!N282)</f>
        <v/>
      </c>
      <c r="F282" s="290" t="str">
        <f>IF('ASIGNACIÓN ASIGNATURAS'!O282="","",'ASIGNACIÓN ASIGNATURAS'!O282)</f>
        <v/>
      </c>
      <c r="G282" s="290" t="str">
        <f>IF('ASIGNACIÓN ASIGNATURAS'!P282="","",'ASIGNACIÓN ASIGNATURAS'!P282)</f>
        <v/>
      </c>
      <c r="H282" s="290" t="str">
        <f>IF('ASIGNACIÓN ASIGNATURAS'!T282="","",'ASIGNACIÓN ASIGNATURAS'!T282)</f>
        <v/>
      </c>
      <c r="I282" s="290" t="str">
        <f>IF('ASIGNACIÓN ASIGNATURAS'!U282="","",'ASIGNACIÓN ASIGNATURAS'!U282)</f>
        <v/>
      </c>
      <c r="J282" s="290" t="str">
        <f>IF('ASIGNACIÓN ASIGNATURAS'!V282="","",'ASIGNACIÓN ASIGNATURAS'!V282)</f>
        <v/>
      </c>
      <c r="K282" s="301" t="str">
        <f>IF('ASIGNACIÓN ASIGNATURAS'!S282="","",'ASIGNACIÓN ASIGNATURAS'!S282)</f>
        <v/>
      </c>
      <c r="L282" s="244" t="str">
        <f>IF('ASIGNACIÓN ASIGNATURAS'!Q282="","",'ASIGNACIÓN ASIGNATURAS'!Q282)</f>
        <v/>
      </c>
      <c r="M282" s="244" t="str">
        <f>IF('ASIGNACIÓN ASIGNATURAS'!R282="","",'ASIGNACIÓN ASIGNATURAS'!R282)</f>
        <v/>
      </c>
      <c r="N282" s="244" t="str">
        <f>IF('ASIGNACIÓN ASIGNATURAS'!W282="","",'ASIGNACIÓN ASIGNATURAS'!W282)</f>
        <v/>
      </c>
      <c r="O282" s="244" t="str">
        <f>IF('ASIGNACIÓN ASIGNATURAS'!X282="","",'ASIGNACIÓN ASIGNATURAS'!X282)</f>
        <v/>
      </c>
      <c r="P282" s="244" t="str">
        <f>IF('ASIGNACIÓN ASIGNATURAS'!Y282="","",'ASIGNACIÓN ASIGNATURAS'!Y282)</f>
        <v/>
      </c>
      <c r="Q282" s="244" t="str">
        <f>IF('ASIGNACIÓN ASIGNATURAS'!Z282="","",'ASIGNACIÓN ASIGNATURAS'!Z282)</f>
        <v/>
      </c>
      <c r="R282" s="244" t="str">
        <f>IF('ASIGNACIÓN ASIGNATURAS'!AA282="","",'ASIGNACIÓN ASIGNATURAS'!AA282)</f>
        <v/>
      </c>
      <c r="S282" s="244" t="str">
        <f>IF('ASIGNACIÓN ASIGNATURAS'!AB282="","",'ASIGNACIÓN ASIGNATURAS'!AB282)</f>
        <v/>
      </c>
    </row>
    <row r="283" spans="1:19" x14ac:dyDescent="0.3">
      <c r="A283" s="290" t="str">
        <f>IF('ASIGNACIÓN ASIGNATURAS'!J283="","",'ASIGNACIÓN ASIGNATURAS'!J283)</f>
        <v/>
      </c>
      <c r="B283" s="290" t="str">
        <f>IF('ASIGNACIÓN ASIGNATURAS'!K283="","",'ASIGNACIÓN ASIGNATURAS'!K283)</f>
        <v/>
      </c>
      <c r="C283" s="290" t="str">
        <f>IF('ASIGNACIÓN ASIGNATURAS'!L283="","",'ASIGNACIÓN ASIGNATURAS'!L283)</f>
        <v/>
      </c>
      <c r="D283" s="290" t="str">
        <f>IF('ASIGNACIÓN ASIGNATURAS'!M283="","",'ASIGNACIÓN ASIGNATURAS'!M283)</f>
        <v/>
      </c>
      <c r="E283" s="290" t="str">
        <f>IF('ASIGNACIÓN ASIGNATURAS'!N283="","",'ASIGNACIÓN ASIGNATURAS'!N283)</f>
        <v/>
      </c>
      <c r="F283" s="290" t="str">
        <f>IF('ASIGNACIÓN ASIGNATURAS'!O283="","",'ASIGNACIÓN ASIGNATURAS'!O283)</f>
        <v/>
      </c>
      <c r="G283" s="290" t="str">
        <f>IF('ASIGNACIÓN ASIGNATURAS'!P283="","",'ASIGNACIÓN ASIGNATURAS'!P283)</f>
        <v/>
      </c>
      <c r="H283" s="290" t="str">
        <f>IF('ASIGNACIÓN ASIGNATURAS'!T283="","",'ASIGNACIÓN ASIGNATURAS'!T283)</f>
        <v/>
      </c>
      <c r="I283" s="290" t="str">
        <f>IF('ASIGNACIÓN ASIGNATURAS'!U283="","",'ASIGNACIÓN ASIGNATURAS'!U283)</f>
        <v/>
      </c>
      <c r="J283" s="290" t="str">
        <f>IF('ASIGNACIÓN ASIGNATURAS'!V283="","",'ASIGNACIÓN ASIGNATURAS'!V283)</f>
        <v/>
      </c>
      <c r="K283" s="301" t="str">
        <f>IF('ASIGNACIÓN ASIGNATURAS'!S283="","",'ASIGNACIÓN ASIGNATURAS'!S283)</f>
        <v/>
      </c>
      <c r="L283" s="244" t="str">
        <f>IF('ASIGNACIÓN ASIGNATURAS'!Q283="","",'ASIGNACIÓN ASIGNATURAS'!Q283)</f>
        <v/>
      </c>
      <c r="M283" s="244" t="str">
        <f>IF('ASIGNACIÓN ASIGNATURAS'!R283="","",'ASIGNACIÓN ASIGNATURAS'!R283)</f>
        <v/>
      </c>
      <c r="N283" s="244" t="str">
        <f>IF('ASIGNACIÓN ASIGNATURAS'!W283="","",'ASIGNACIÓN ASIGNATURAS'!W283)</f>
        <v/>
      </c>
      <c r="O283" s="244" t="str">
        <f>IF('ASIGNACIÓN ASIGNATURAS'!X283="","",'ASIGNACIÓN ASIGNATURAS'!X283)</f>
        <v/>
      </c>
      <c r="P283" s="244" t="str">
        <f>IF('ASIGNACIÓN ASIGNATURAS'!Y283="","",'ASIGNACIÓN ASIGNATURAS'!Y283)</f>
        <v/>
      </c>
      <c r="Q283" s="244" t="str">
        <f>IF('ASIGNACIÓN ASIGNATURAS'!Z283="","",'ASIGNACIÓN ASIGNATURAS'!Z283)</f>
        <v/>
      </c>
      <c r="R283" s="244" t="str">
        <f>IF('ASIGNACIÓN ASIGNATURAS'!AA283="","",'ASIGNACIÓN ASIGNATURAS'!AA283)</f>
        <v/>
      </c>
      <c r="S283" s="244" t="str">
        <f>IF('ASIGNACIÓN ASIGNATURAS'!AB283="","",'ASIGNACIÓN ASIGNATURAS'!AB283)</f>
        <v/>
      </c>
    </row>
    <row r="284" spans="1:19" x14ac:dyDescent="0.3">
      <c r="A284" s="290" t="str">
        <f>IF('ASIGNACIÓN ASIGNATURAS'!J284="","",'ASIGNACIÓN ASIGNATURAS'!J284)</f>
        <v/>
      </c>
      <c r="B284" s="290" t="str">
        <f>IF('ASIGNACIÓN ASIGNATURAS'!K284="","",'ASIGNACIÓN ASIGNATURAS'!K284)</f>
        <v/>
      </c>
      <c r="C284" s="290" t="str">
        <f>IF('ASIGNACIÓN ASIGNATURAS'!L284="","",'ASIGNACIÓN ASIGNATURAS'!L284)</f>
        <v/>
      </c>
      <c r="D284" s="290" t="str">
        <f>IF('ASIGNACIÓN ASIGNATURAS'!M284="","",'ASIGNACIÓN ASIGNATURAS'!M284)</f>
        <v/>
      </c>
      <c r="E284" s="290" t="str">
        <f>IF('ASIGNACIÓN ASIGNATURAS'!N284="","",'ASIGNACIÓN ASIGNATURAS'!N284)</f>
        <v/>
      </c>
      <c r="F284" s="290" t="str">
        <f>IF('ASIGNACIÓN ASIGNATURAS'!O284="","",'ASIGNACIÓN ASIGNATURAS'!O284)</f>
        <v/>
      </c>
      <c r="G284" s="290" t="str">
        <f>IF('ASIGNACIÓN ASIGNATURAS'!P284="","",'ASIGNACIÓN ASIGNATURAS'!P284)</f>
        <v/>
      </c>
      <c r="H284" s="290" t="str">
        <f>IF('ASIGNACIÓN ASIGNATURAS'!T284="","",'ASIGNACIÓN ASIGNATURAS'!T284)</f>
        <v/>
      </c>
      <c r="I284" s="290" t="str">
        <f>IF('ASIGNACIÓN ASIGNATURAS'!U284="","",'ASIGNACIÓN ASIGNATURAS'!U284)</f>
        <v/>
      </c>
      <c r="J284" s="290" t="str">
        <f>IF('ASIGNACIÓN ASIGNATURAS'!V284="","",'ASIGNACIÓN ASIGNATURAS'!V284)</f>
        <v/>
      </c>
      <c r="K284" s="301" t="str">
        <f>IF('ASIGNACIÓN ASIGNATURAS'!S284="","",'ASIGNACIÓN ASIGNATURAS'!S284)</f>
        <v/>
      </c>
      <c r="L284" s="244" t="str">
        <f>IF('ASIGNACIÓN ASIGNATURAS'!Q284="","",'ASIGNACIÓN ASIGNATURAS'!Q284)</f>
        <v/>
      </c>
      <c r="M284" s="244" t="str">
        <f>IF('ASIGNACIÓN ASIGNATURAS'!R284="","",'ASIGNACIÓN ASIGNATURAS'!R284)</f>
        <v/>
      </c>
      <c r="N284" s="244" t="str">
        <f>IF('ASIGNACIÓN ASIGNATURAS'!W284="","",'ASIGNACIÓN ASIGNATURAS'!W284)</f>
        <v/>
      </c>
      <c r="O284" s="244" t="str">
        <f>IF('ASIGNACIÓN ASIGNATURAS'!X284="","",'ASIGNACIÓN ASIGNATURAS'!X284)</f>
        <v/>
      </c>
      <c r="P284" s="244" t="str">
        <f>IF('ASIGNACIÓN ASIGNATURAS'!Y284="","",'ASIGNACIÓN ASIGNATURAS'!Y284)</f>
        <v/>
      </c>
      <c r="Q284" s="244" t="str">
        <f>IF('ASIGNACIÓN ASIGNATURAS'!Z284="","",'ASIGNACIÓN ASIGNATURAS'!Z284)</f>
        <v/>
      </c>
      <c r="R284" s="244" t="str">
        <f>IF('ASIGNACIÓN ASIGNATURAS'!AA284="","",'ASIGNACIÓN ASIGNATURAS'!AA284)</f>
        <v/>
      </c>
      <c r="S284" s="244" t="str">
        <f>IF('ASIGNACIÓN ASIGNATURAS'!AB284="","",'ASIGNACIÓN ASIGNATURAS'!AB284)</f>
        <v/>
      </c>
    </row>
    <row r="285" spans="1:19" x14ac:dyDescent="0.3">
      <c r="A285" s="290" t="str">
        <f>IF('ASIGNACIÓN ASIGNATURAS'!J285="","",'ASIGNACIÓN ASIGNATURAS'!J285)</f>
        <v/>
      </c>
      <c r="B285" s="290" t="str">
        <f>IF('ASIGNACIÓN ASIGNATURAS'!K285="","",'ASIGNACIÓN ASIGNATURAS'!K285)</f>
        <v/>
      </c>
      <c r="C285" s="290" t="str">
        <f>IF('ASIGNACIÓN ASIGNATURAS'!L285="","",'ASIGNACIÓN ASIGNATURAS'!L285)</f>
        <v/>
      </c>
      <c r="D285" s="290" t="str">
        <f>IF('ASIGNACIÓN ASIGNATURAS'!M285="","",'ASIGNACIÓN ASIGNATURAS'!M285)</f>
        <v/>
      </c>
      <c r="E285" s="290" t="str">
        <f>IF('ASIGNACIÓN ASIGNATURAS'!N285="","",'ASIGNACIÓN ASIGNATURAS'!N285)</f>
        <v/>
      </c>
      <c r="F285" s="290" t="str">
        <f>IF('ASIGNACIÓN ASIGNATURAS'!O285="","",'ASIGNACIÓN ASIGNATURAS'!O285)</f>
        <v/>
      </c>
      <c r="G285" s="290" t="str">
        <f>IF('ASIGNACIÓN ASIGNATURAS'!P285="","",'ASIGNACIÓN ASIGNATURAS'!P285)</f>
        <v/>
      </c>
      <c r="H285" s="290" t="str">
        <f>IF('ASIGNACIÓN ASIGNATURAS'!T285="","",'ASIGNACIÓN ASIGNATURAS'!T285)</f>
        <v/>
      </c>
      <c r="I285" s="290" t="str">
        <f>IF('ASIGNACIÓN ASIGNATURAS'!U285="","",'ASIGNACIÓN ASIGNATURAS'!U285)</f>
        <v/>
      </c>
      <c r="J285" s="290" t="str">
        <f>IF('ASIGNACIÓN ASIGNATURAS'!V285="","",'ASIGNACIÓN ASIGNATURAS'!V285)</f>
        <v/>
      </c>
      <c r="K285" s="301" t="str">
        <f>IF('ASIGNACIÓN ASIGNATURAS'!S285="","",'ASIGNACIÓN ASIGNATURAS'!S285)</f>
        <v/>
      </c>
      <c r="L285" s="244" t="str">
        <f>IF('ASIGNACIÓN ASIGNATURAS'!Q285="","",'ASIGNACIÓN ASIGNATURAS'!Q285)</f>
        <v/>
      </c>
      <c r="M285" s="244" t="str">
        <f>IF('ASIGNACIÓN ASIGNATURAS'!R285="","",'ASIGNACIÓN ASIGNATURAS'!R285)</f>
        <v/>
      </c>
      <c r="N285" s="244" t="str">
        <f>IF('ASIGNACIÓN ASIGNATURAS'!W285="","",'ASIGNACIÓN ASIGNATURAS'!W285)</f>
        <v/>
      </c>
      <c r="O285" s="244" t="str">
        <f>IF('ASIGNACIÓN ASIGNATURAS'!X285="","",'ASIGNACIÓN ASIGNATURAS'!X285)</f>
        <v/>
      </c>
      <c r="P285" s="244" t="str">
        <f>IF('ASIGNACIÓN ASIGNATURAS'!Y285="","",'ASIGNACIÓN ASIGNATURAS'!Y285)</f>
        <v/>
      </c>
      <c r="Q285" s="244" t="str">
        <f>IF('ASIGNACIÓN ASIGNATURAS'!Z285="","",'ASIGNACIÓN ASIGNATURAS'!Z285)</f>
        <v/>
      </c>
      <c r="R285" s="244" t="str">
        <f>IF('ASIGNACIÓN ASIGNATURAS'!AA285="","",'ASIGNACIÓN ASIGNATURAS'!AA285)</f>
        <v/>
      </c>
      <c r="S285" s="244" t="str">
        <f>IF('ASIGNACIÓN ASIGNATURAS'!AB285="","",'ASIGNACIÓN ASIGNATURAS'!AB285)</f>
        <v/>
      </c>
    </row>
    <row r="286" spans="1:19" x14ac:dyDescent="0.3">
      <c r="A286" s="290" t="str">
        <f>IF('ASIGNACIÓN ASIGNATURAS'!J286="","",'ASIGNACIÓN ASIGNATURAS'!J286)</f>
        <v/>
      </c>
      <c r="B286" s="290" t="str">
        <f>IF('ASIGNACIÓN ASIGNATURAS'!K286="","",'ASIGNACIÓN ASIGNATURAS'!K286)</f>
        <v/>
      </c>
      <c r="C286" s="290" t="str">
        <f>IF('ASIGNACIÓN ASIGNATURAS'!L286="","",'ASIGNACIÓN ASIGNATURAS'!L286)</f>
        <v/>
      </c>
      <c r="D286" s="290" t="str">
        <f>IF('ASIGNACIÓN ASIGNATURAS'!M286="","",'ASIGNACIÓN ASIGNATURAS'!M286)</f>
        <v/>
      </c>
      <c r="E286" s="290" t="str">
        <f>IF('ASIGNACIÓN ASIGNATURAS'!N286="","",'ASIGNACIÓN ASIGNATURAS'!N286)</f>
        <v/>
      </c>
      <c r="F286" s="290" t="str">
        <f>IF('ASIGNACIÓN ASIGNATURAS'!O286="","",'ASIGNACIÓN ASIGNATURAS'!O286)</f>
        <v/>
      </c>
      <c r="G286" s="290" t="str">
        <f>IF('ASIGNACIÓN ASIGNATURAS'!P286="","",'ASIGNACIÓN ASIGNATURAS'!P286)</f>
        <v/>
      </c>
      <c r="H286" s="290" t="str">
        <f>IF('ASIGNACIÓN ASIGNATURAS'!T286="","",'ASIGNACIÓN ASIGNATURAS'!T286)</f>
        <v/>
      </c>
      <c r="I286" s="290" t="str">
        <f>IF('ASIGNACIÓN ASIGNATURAS'!U286="","",'ASIGNACIÓN ASIGNATURAS'!U286)</f>
        <v/>
      </c>
      <c r="J286" s="290" t="str">
        <f>IF('ASIGNACIÓN ASIGNATURAS'!V286="","",'ASIGNACIÓN ASIGNATURAS'!V286)</f>
        <v/>
      </c>
      <c r="K286" s="301" t="str">
        <f>IF('ASIGNACIÓN ASIGNATURAS'!S286="","",'ASIGNACIÓN ASIGNATURAS'!S286)</f>
        <v/>
      </c>
      <c r="L286" s="244" t="str">
        <f>IF('ASIGNACIÓN ASIGNATURAS'!Q286="","",'ASIGNACIÓN ASIGNATURAS'!Q286)</f>
        <v/>
      </c>
      <c r="M286" s="244" t="str">
        <f>IF('ASIGNACIÓN ASIGNATURAS'!R286="","",'ASIGNACIÓN ASIGNATURAS'!R286)</f>
        <v/>
      </c>
      <c r="N286" s="244" t="str">
        <f>IF('ASIGNACIÓN ASIGNATURAS'!W286="","",'ASIGNACIÓN ASIGNATURAS'!W286)</f>
        <v/>
      </c>
      <c r="O286" s="244" t="str">
        <f>IF('ASIGNACIÓN ASIGNATURAS'!X286="","",'ASIGNACIÓN ASIGNATURAS'!X286)</f>
        <v/>
      </c>
      <c r="P286" s="244" t="str">
        <f>IF('ASIGNACIÓN ASIGNATURAS'!Y286="","",'ASIGNACIÓN ASIGNATURAS'!Y286)</f>
        <v/>
      </c>
      <c r="Q286" s="244" t="str">
        <f>IF('ASIGNACIÓN ASIGNATURAS'!Z286="","",'ASIGNACIÓN ASIGNATURAS'!Z286)</f>
        <v/>
      </c>
      <c r="R286" s="244" t="str">
        <f>IF('ASIGNACIÓN ASIGNATURAS'!AA286="","",'ASIGNACIÓN ASIGNATURAS'!AA286)</f>
        <v/>
      </c>
      <c r="S286" s="244" t="str">
        <f>IF('ASIGNACIÓN ASIGNATURAS'!AB286="","",'ASIGNACIÓN ASIGNATURAS'!AB286)</f>
        <v/>
      </c>
    </row>
    <row r="287" spans="1:19" x14ac:dyDescent="0.3">
      <c r="A287" s="290" t="str">
        <f>IF('ASIGNACIÓN ASIGNATURAS'!J287="","",'ASIGNACIÓN ASIGNATURAS'!J287)</f>
        <v/>
      </c>
      <c r="B287" s="290" t="str">
        <f>IF('ASIGNACIÓN ASIGNATURAS'!K287="","",'ASIGNACIÓN ASIGNATURAS'!K287)</f>
        <v/>
      </c>
      <c r="C287" s="290" t="str">
        <f>IF('ASIGNACIÓN ASIGNATURAS'!L287="","",'ASIGNACIÓN ASIGNATURAS'!L287)</f>
        <v/>
      </c>
      <c r="D287" s="290" t="str">
        <f>IF('ASIGNACIÓN ASIGNATURAS'!M287="","",'ASIGNACIÓN ASIGNATURAS'!M287)</f>
        <v/>
      </c>
      <c r="E287" s="290" t="str">
        <f>IF('ASIGNACIÓN ASIGNATURAS'!N287="","",'ASIGNACIÓN ASIGNATURAS'!N287)</f>
        <v/>
      </c>
      <c r="F287" s="290" t="str">
        <f>IF('ASIGNACIÓN ASIGNATURAS'!O287="","",'ASIGNACIÓN ASIGNATURAS'!O287)</f>
        <v/>
      </c>
      <c r="G287" s="290" t="str">
        <f>IF('ASIGNACIÓN ASIGNATURAS'!P287="","",'ASIGNACIÓN ASIGNATURAS'!P287)</f>
        <v/>
      </c>
      <c r="H287" s="290" t="str">
        <f>IF('ASIGNACIÓN ASIGNATURAS'!T287="","",'ASIGNACIÓN ASIGNATURAS'!T287)</f>
        <v/>
      </c>
      <c r="I287" s="290" t="str">
        <f>IF('ASIGNACIÓN ASIGNATURAS'!U287="","",'ASIGNACIÓN ASIGNATURAS'!U287)</f>
        <v/>
      </c>
      <c r="J287" s="290" t="str">
        <f>IF('ASIGNACIÓN ASIGNATURAS'!V287="","",'ASIGNACIÓN ASIGNATURAS'!V287)</f>
        <v/>
      </c>
      <c r="K287" s="301" t="str">
        <f>IF('ASIGNACIÓN ASIGNATURAS'!S287="","",'ASIGNACIÓN ASIGNATURAS'!S287)</f>
        <v/>
      </c>
      <c r="L287" s="244" t="str">
        <f>IF('ASIGNACIÓN ASIGNATURAS'!Q287="","",'ASIGNACIÓN ASIGNATURAS'!Q287)</f>
        <v/>
      </c>
      <c r="M287" s="244" t="str">
        <f>IF('ASIGNACIÓN ASIGNATURAS'!R287="","",'ASIGNACIÓN ASIGNATURAS'!R287)</f>
        <v/>
      </c>
      <c r="N287" s="244" t="str">
        <f>IF('ASIGNACIÓN ASIGNATURAS'!W287="","",'ASIGNACIÓN ASIGNATURAS'!W287)</f>
        <v/>
      </c>
      <c r="O287" s="244" t="str">
        <f>IF('ASIGNACIÓN ASIGNATURAS'!X287="","",'ASIGNACIÓN ASIGNATURAS'!X287)</f>
        <v/>
      </c>
      <c r="P287" s="244" t="str">
        <f>IF('ASIGNACIÓN ASIGNATURAS'!Y287="","",'ASIGNACIÓN ASIGNATURAS'!Y287)</f>
        <v/>
      </c>
      <c r="Q287" s="244" t="str">
        <f>IF('ASIGNACIÓN ASIGNATURAS'!Z287="","",'ASIGNACIÓN ASIGNATURAS'!Z287)</f>
        <v/>
      </c>
      <c r="R287" s="244" t="str">
        <f>IF('ASIGNACIÓN ASIGNATURAS'!AA287="","",'ASIGNACIÓN ASIGNATURAS'!AA287)</f>
        <v/>
      </c>
      <c r="S287" s="244" t="str">
        <f>IF('ASIGNACIÓN ASIGNATURAS'!AB287="","",'ASIGNACIÓN ASIGNATURAS'!AB287)</f>
        <v/>
      </c>
    </row>
    <row r="288" spans="1:19" x14ac:dyDescent="0.3">
      <c r="A288" s="290" t="str">
        <f>IF('ASIGNACIÓN ASIGNATURAS'!J288="","",'ASIGNACIÓN ASIGNATURAS'!J288)</f>
        <v/>
      </c>
      <c r="B288" s="290" t="str">
        <f>IF('ASIGNACIÓN ASIGNATURAS'!K288="","",'ASIGNACIÓN ASIGNATURAS'!K288)</f>
        <v/>
      </c>
      <c r="C288" s="290" t="str">
        <f>IF('ASIGNACIÓN ASIGNATURAS'!L288="","",'ASIGNACIÓN ASIGNATURAS'!L288)</f>
        <v/>
      </c>
      <c r="D288" s="290" t="str">
        <f>IF('ASIGNACIÓN ASIGNATURAS'!M288="","",'ASIGNACIÓN ASIGNATURAS'!M288)</f>
        <v/>
      </c>
      <c r="E288" s="290" t="str">
        <f>IF('ASIGNACIÓN ASIGNATURAS'!N288="","",'ASIGNACIÓN ASIGNATURAS'!N288)</f>
        <v/>
      </c>
      <c r="F288" s="290" t="str">
        <f>IF('ASIGNACIÓN ASIGNATURAS'!O288="","",'ASIGNACIÓN ASIGNATURAS'!O288)</f>
        <v/>
      </c>
      <c r="G288" s="290" t="str">
        <f>IF('ASIGNACIÓN ASIGNATURAS'!P288="","",'ASIGNACIÓN ASIGNATURAS'!P288)</f>
        <v/>
      </c>
      <c r="H288" s="290" t="str">
        <f>IF('ASIGNACIÓN ASIGNATURAS'!T288="","",'ASIGNACIÓN ASIGNATURAS'!T288)</f>
        <v/>
      </c>
      <c r="I288" s="290" t="str">
        <f>IF('ASIGNACIÓN ASIGNATURAS'!U288="","",'ASIGNACIÓN ASIGNATURAS'!U288)</f>
        <v/>
      </c>
      <c r="J288" s="290" t="str">
        <f>IF('ASIGNACIÓN ASIGNATURAS'!V288="","",'ASIGNACIÓN ASIGNATURAS'!V288)</f>
        <v/>
      </c>
      <c r="K288" s="301" t="str">
        <f>IF('ASIGNACIÓN ASIGNATURAS'!S288="","",'ASIGNACIÓN ASIGNATURAS'!S288)</f>
        <v/>
      </c>
      <c r="L288" s="244" t="str">
        <f>IF('ASIGNACIÓN ASIGNATURAS'!Q288="","",'ASIGNACIÓN ASIGNATURAS'!Q288)</f>
        <v/>
      </c>
      <c r="M288" s="244" t="str">
        <f>IF('ASIGNACIÓN ASIGNATURAS'!R288="","",'ASIGNACIÓN ASIGNATURAS'!R288)</f>
        <v/>
      </c>
      <c r="N288" s="244" t="str">
        <f>IF('ASIGNACIÓN ASIGNATURAS'!W288="","",'ASIGNACIÓN ASIGNATURAS'!W288)</f>
        <v/>
      </c>
      <c r="O288" s="244" t="str">
        <f>IF('ASIGNACIÓN ASIGNATURAS'!X288="","",'ASIGNACIÓN ASIGNATURAS'!X288)</f>
        <v/>
      </c>
      <c r="P288" s="244" t="str">
        <f>IF('ASIGNACIÓN ASIGNATURAS'!Y288="","",'ASIGNACIÓN ASIGNATURAS'!Y288)</f>
        <v/>
      </c>
      <c r="Q288" s="244" t="str">
        <f>IF('ASIGNACIÓN ASIGNATURAS'!Z288="","",'ASIGNACIÓN ASIGNATURAS'!Z288)</f>
        <v/>
      </c>
      <c r="R288" s="244" t="str">
        <f>IF('ASIGNACIÓN ASIGNATURAS'!AA288="","",'ASIGNACIÓN ASIGNATURAS'!AA288)</f>
        <v/>
      </c>
      <c r="S288" s="244" t="str">
        <f>IF('ASIGNACIÓN ASIGNATURAS'!AB288="","",'ASIGNACIÓN ASIGNATURAS'!AB288)</f>
        <v/>
      </c>
    </row>
    <row r="289" spans="1:19" x14ac:dyDescent="0.3">
      <c r="A289" s="290" t="str">
        <f>IF('ASIGNACIÓN ASIGNATURAS'!J289="","",'ASIGNACIÓN ASIGNATURAS'!J289)</f>
        <v/>
      </c>
      <c r="B289" s="290" t="str">
        <f>IF('ASIGNACIÓN ASIGNATURAS'!K289="","",'ASIGNACIÓN ASIGNATURAS'!K289)</f>
        <v/>
      </c>
      <c r="C289" s="290" t="str">
        <f>IF('ASIGNACIÓN ASIGNATURAS'!L289="","",'ASIGNACIÓN ASIGNATURAS'!L289)</f>
        <v/>
      </c>
      <c r="D289" s="290" t="str">
        <f>IF('ASIGNACIÓN ASIGNATURAS'!M289="","",'ASIGNACIÓN ASIGNATURAS'!M289)</f>
        <v/>
      </c>
      <c r="E289" s="290" t="str">
        <f>IF('ASIGNACIÓN ASIGNATURAS'!N289="","",'ASIGNACIÓN ASIGNATURAS'!N289)</f>
        <v/>
      </c>
      <c r="F289" s="290" t="str">
        <f>IF('ASIGNACIÓN ASIGNATURAS'!O289="","",'ASIGNACIÓN ASIGNATURAS'!O289)</f>
        <v/>
      </c>
      <c r="G289" s="290" t="str">
        <f>IF('ASIGNACIÓN ASIGNATURAS'!P289="","",'ASIGNACIÓN ASIGNATURAS'!P289)</f>
        <v/>
      </c>
      <c r="H289" s="290" t="str">
        <f>IF('ASIGNACIÓN ASIGNATURAS'!T289="","",'ASIGNACIÓN ASIGNATURAS'!T289)</f>
        <v/>
      </c>
      <c r="I289" s="290" t="str">
        <f>IF('ASIGNACIÓN ASIGNATURAS'!U289="","",'ASIGNACIÓN ASIGNATURAS'!U289)</f>
        <v/>
      </c>
      <c r="J289" s="290" t="str">
        <f>IF('ASIGNACIÓN ASIGNATURAS'!V289="","",'ASIGNACIÓN ASIGNATURAS'!V289)</f>
        <v/>
      </c>
      <c r="K289" s="301" t="str">
        <f>IF('ASIGNACIÓN ASIGNATURAS'!S289="","",'ASIGNACIÓN ASIGNATURAS'!S289)</f>
        <v/>
      </c>
      <c r="L289" s="244" t="str">
        <f>IF('ASIGNACIÓN ASIGNATURAS'!Q289="","",'ASIGNACIÓN ASIGNATURAS'!Q289)</f>
        <v/>
      </c>
      <c r="M289" s="244" t="str">
        <f>IF('ASIGNACIÓN ASIGNATURAS'!R289="","",'ASIGNACIÓN ASIGNATURAS'!R289)</f>
        <v/>
      </c>
      <c r="N289" s="244" t="str">
        <f>IF('ASIGNACIÓN ASIGNATURAS'!W289="","",'ASIGNACIÓN ASIGNATURAS'!W289)</f>
        <v/>
      </c>
      <c r="O289" s="244" t="str">
        <f>IF('ASIGNACIÓN ASIGNATURAS'!X289="","",'ASIGNACIÓN ASIGNATURAS'!X289)</f>
        <v/>
      </c>
      <c r="P289" s="244" t="str">
        <f>IF('ASIGNACIÓN ASIGNATURAS'!Y289="","",'ASIGNACIÓN ASIGNATURAS'!Y289)</f>
        <v/>
      </c>
      <c r="Q289" s="244" t="str">
        <f>IF('ASIGNACIÓN ASIGNATURAS'!Z289="","",'ASIGNACIÓN ASIGNATURAS'!Z289)</f>
        <v/>
      </c>
      <c r="R289" s="244" t="str">
        <f>IF('ASIGNACIÓN ASIGNATURAS'!AA289="","",'ASIGNACIÓN ASIGNATURAS'!AA289)</f>
        <v/>
      </c>
      <c r="S289" s="244" t="str">
        <f>IF('ASIGNACIÓN ASIGNATURAS'!AB289="","",'ASIGNACIÓN ASIGNATURAS'!AB289)</f>
        <v/>
      </c>
    </row>
    <row r="290" spans="1:19" x14ac:dyDescent="0.3">
      <c r="A290" s="290" t="str">
        <f>IF('ASIGNACIÓN ASIGNATURAS'!J290="","",'ASIGNACIÓN ASIGNATURAS'!J290)</f>
        <v/>
      </c>
      <c r="B290" s="290" t="str">
        <f>IF('ASIGNACIÓN ASIGNATURAS'!K290="","",'ASIGNACIÓN ASIGNATURAS'!K290)</f>
        <v/>
      </c>
      <c r="C290" s="290" t="str">
        <f>IF('ASIGNACIÓN ASIGNATURAS'!L290="","",'ASIGNACIÓN ASIGNATURAS'!L290)</f>
        <v/>
      </c>
      <c r="D290" s="290" t="str">
        <f>IF('ASIGNACIÓN ASIGNATURAS'!M290="","",'ASIGNACIÓN ASIGNATURAS'!M290)</f>
        <v/>
      </c>
      <c r="E290" s="290" t="str">
        <f>IF('ASIGNACIÓN ASIGNATURAS'!N290="","",'ASIGNACIÓN ASIGNATURAS'!N290)</f>
        <v/>
      </c>
      <c r="F290" s="290" t="str">
        <f>IF('ASIGNACIÓN ASIGNATURAS'!O290="","",'ASIGNACIÓN ASIGNATURAS'!O290)</f>
        <v/>
      </c>
      <c r="G290" s="290" t="str">
        <f>IF('ASIGNACIÓN ASIGNATURAS'!P290="","",'ASIGNACIÓN ASIGNATURAS'!P290)</f>
        <v/>
      </c>
      <c r="H290" s="290" t="str">
        <f>IF('ASIGNACIÓN ASIGNATURAS'!T290="","",'ASIGNACIÓN ASIGNATURAS'!T290)</f>
        <v/>
      </c>
      <c r="I290" s="290" t="str">
        <f>IF('ASIGNACIÓN ASIGNATURAS'!U290="","",'ASIGNACIÓN ASIGNATURAS'!U290)</f>
        <v/>
      </c>
      <c r="J290" s="290" t="str">
        <f>IF('ASIGNACIÓN ASIGNATURAS'!V290="","",'ASIGNACIÓN ASIGNATURAS'!V290)</f>
        <v/>
      </c>
      <c r="K290" s="301" t="str">
        <f>IF('ASIGNACIÓN ASIGNATURAS'!S290="","",'ASIGNACIÓN ASIGNATURAS'!S290)</f>
        <v/>
      </c>
      <c r="L290" s="244" t="str">
        <f>IF('ASIGNACIÓN ASIGNATURAS'!Q290="","",'ASIGNACIÓN ASIGNATURAS'!Q290)</f>
        <v/>
      </c>
      <c r="M290" s="244" t="str">
        <f>IF('ASIGNACIÓN ASIGNATURAS'!R290="","",'ASIGNACIÓN ASIGNATURAS'!R290)</f>
        <v/>
      </c>
      <c r="N290" s="244" t="str">
        <f>IF('ASIGNACIÓN ASIGNATURAS'!W290="","",'ASIGNACIÓN ASIGNATURAS'!W290)</f>
        <v/>
      </c>
      <c r="O290" s="244" t="str">
        <f>IF('ASIGNACIÓN ASIGNATURAS'!X290="","",'ASIGNACIÓN ASIGNATURAS'!X290)</f>
        <v/>
      </c>
      <c r="P290" s="244" t="str">
        <f>IF('ASIGNACIÓN ASIGNATURAS'!Y290="","",'ASIGNACIÓN ASIGNATURAS'!Y290)</f>
        <v/>
      </c>
      <c r="Q290" s="244" t="str">
        <f>IF('ASIGNACIÓN ASIGNATURAS'!Z290="","",'ASIGNACIÓN ASIGNATURAS'!Z290)</f>
        <v/>
      </c>
      <c r="R290" s="244" t="str">
        <f>IF('ASIGNACIÓN ASIGNATURAS'!AA290="","",'ASIGNACIÓN ASIGNATURAS'!AA290)</f>
        <v/>
      </c>
      <c r="S290" s="244" t="str">
        <f>IF('ASIGNACIÓN ASIGNATURAS'!AB290="","",'ASIGNACIÓN ASIGNATURAS'!AB290)</f>
        <v/>
      </c>
    </row>
    <row r="291" spans="1:19" x14ac:dyDescent="0.3">
      <c r="A291" s="290" t="str">
        <f>IF('ASIGNACIÓN ASIGNATURAS'!J291="","",'ASIGNACIÓN ASIGNATURAS'!J291)</f>
        <v/>
      </c>
      <c r="B291" s="290" t="str">
        <f>IF('ASIGNACIÓN ASIGNATURAS'!K291="","",'ASIGNACIÓN ASIGNATURAS'!K291)</f>
        <v/>
      </c>
      <c r="C291" s="290" t="str">
        <f>IF('ASIGNACIÓN ASIGNATURAS'!L291="","",'ASIGNACIÓN ASIGNATURAS'!L291)</f>
        <v/>
      </c>
      <c r="D291" s="290" t="str">
        <f>IF('ASIGNACIÓN ASIGNATURAS'!M291="","",'ASIGNACIÓN ASIGNATURAS'!M291)</f>
        <v/>
      </c>
      <c r="E291" s="290" t="str">
        <f>IF('ASIGNACIÓN ASIGNATURAS'!N291="","",'ASIGNACIÓN ASIGNATURAS'!N291)</f>
        <v/>
      </c>
      <c r="F291" s="290" t="str">
        <f>IF('ASIGNACIÓN ASIGNATURAS'!O291="","",'ASIGNACIÓN ASIGNATURAS'!O291)</f>
        <v/>
      </c>
      <c r="G291" s="290" t="str">
        <f>IF('ASIGNACIÓN ASIGNATURAS'!P291="","",'ASIGNACIÓN ASIGNATURAS'!P291)</f>
        <v/>
      </c>
      <c r="H291" s="290" t="str">
        <f>IF('ASIGNACIÓN ASIGNATURAS'!T291="","",'ASIGNACIÓN ASIGNATURAS'!T291)</f>
        <v/>
      </c>
      <c r="I291" s="290" t="str">
        <f>IF('ASIGNACIÓN ASIGNATURAS'!U291="","",'ASIGNACIÓN ASIGNATURAS'!U291)</f>
        <v/>
      </c>
      <c r="J291" s="290" t="str">
        <f>IF('ASIGNACIÓN ASIGNATURAS'!V291="","",'ASIGNACIÓN ASIGNATURAS'!V291)</f>
        <v/>
      </c>
      <c r="K291" s="301" t="str">
        <f>IF('ASIGNACIÓN ASIGNATURAS'!S291="","",'ASIGNACIÓN ASIGNATURAS'!S291)</f>
        <v/>
      </c>
      <c r="L291" s="244" t="str">
        <f>IF('ASIGNACIÓN ASIGNATURAS'!Q291="","",'ASIGNACIÓN ASIGNATURAS'!Q291)</f>
        <v/>
      </c>
      <c r="M291" s="244" t="str">
        <f>IF('ASIGNACIÓN ASIGNATURAS'!R291="","",'ASIGNACIÓN ASIGNATURAS'!R291)</f>
        <v/>
      </c>
      <c r="N291" s="244" t="str">
        <f>IF('ASIGNACIÓN ASIGNATURAS'!W291="","",'ASIGNACIÓN ASIGNATURAS'!W291)</f>
        <v/>
      </c>
      <c r="O291" s="244" t="str">
        <f>IF('ASIGNACIÓN ASIGNATURAS'!X291="","",'ASIGNACIÓN ASIGNATURAS'!X291)</f>
        <v/>
      </c>
      <c r="P291" s="244" t="str">
        <f>IF('ASIGNACIÓN ASIGNATURAS'!Y291="","",'ASIGNACIÓN ASIGNATURAS'!Y291)</f>
        <v/>
      </c>
      <c r="Q291" s="244" t="str">
        <f>IF('ASIGNACIÓN ASIGNATURAS'!Z291="","",'ASIGNACIÓN ASIGNATURAS'!Z291)</f>
        <v/>
      </c>
      <c r="R291" s="244" t="str">
        <f>IF('ASIGNACIÓN ASIGNATURAS'!AA291="","",'ASIGNACIÓN ASIGNATURAS'!AA291)</f>
        <v/>
      </c>
      <c r="S291" s="244" t="str">
        <f>IF('ASIGNACIÓN ASIGNATURAS'!AB291="","",'ASIGNACIÓN ASIGNATURAS'!AB291)</f>
        <v/>
      </c>
    </row>
    <row r="292" spans="1:19" x14ac:dyDescent="0.3">
      <c r="A292" s="290" t="str">
        <f>IF('ASIGNACIÓN ASIGNATURAS'!J292="","",'ASIGNACIÓN ASIGNATURAS'!J292)</f>
        <v/>
      </c>
      <c r="B292" s="290" t="str">
        <f>IF('ASIGNACIÓN ASIGNATURAS'!K292="","",'ASIGNACIÓN ASIGNATURAS'!K292)</f>
        <v/>
      </c>
      <c r="C292" s="290" t="str">
        <f>IF('ASIGNACIÓN ASIGNATURAS'!L292="","",'ASIGNACIÓN ASIGNATURAS'!L292)</f>
        <v/>
      </c>
      <c r="D292" s="290" t="str">
        <f>IF('ASIGNACIÓN ASIGNATURAS'!M292="","",'ASIGNACIÓN ASIGNATURAS'!M292)</f>
        <v/>
      </c>
      <c r="E292" s="290" t="str">
        <f>IF('ASIGNACIÓN ASIGNATURAS'!N292="","",'ASIGNACIÓN ASIGNATURAS'!N292)</f>
        <v/>
      </c>
      <c r="F292" s="290" t="str">
        <f>IF('ASIGNACIÓN ASIGNATURAS'!O292="","",'ASIGNACIÓN ASIGNATURAS'!O292)</f>
        <v/>
      </c>
      <c r="G292" s="290" t="str">
        <f>IF('ASIGNACIÓN ASIGNATURAS'!P292="","",'ASIGNACIÓN ASIGNATURAS'!P292)</f>
        <v/>
      </c>
      <c r="H292" s="290" t="str">
        <f>IF('ASIGNACIÓN ASIGNATURAS'!T292="","",'ASIGNACIÓN ASIGNATURAS'!T292)</f>
        <v/>
      </c>
      <c r="I292" s="290" t="str">
        <f>IF('ASIGNACIÓN ASIGNATURAS'!U292="","",'ASIGNACIÓN ASIGNATURAS'!U292)</f>
        <v/>
      </c>
      <c r="J292" s="290" t="str">
        <f>IF('ASIGNACIÓN ASIGNATURAS'!V292="","",'ASIGNACIÓN ASIGNATURAS'!V292)</f>
        <v/>
      </c>
      <c r="K292" s="301" t="str">
        <f>IF('ASIGNACIÓN ASIGNATURAS'!S292="","",'ASIGNACIÓN ASIGNATURAS'!S292)</f>
        <v/>
      </c>
      <c r="L292" s="244" t="str">
        <f>IF('ASIGNACIÓN ASIGNATURAS'!Q292="","",'ASIGNACIÓN ASIGNATURAS'!Q292)</f>
        <v/>
      </c>
      <c r="M292" s="244" t="str">
        <f>IF('ASIGNACIÓN ASIGNATURAS'!R292="","",'ASIGNACIÓN ASIGNATURAS'!R292)</f>
        <v/>
      </c>
      <c r="N292" s="244" t="str">
        <f>IF('ASIGNACIÓN ASIGNATURAS'!W292="","",'ASIGNACIÓN ASIGNATURAS'!W292)</f>
        <v/>
      </c>
      <c r="O292" s="244" t="str">
        <f>IF('ASIGNACIÓN ASIGNATURAS'!X292="","",'ASIGNACIÓN ASIGNATURAS'!X292)</f>
        <v/>
      </c>
      <c r="P292" s="244" t="str">
        <f>IF('ASIGNACIÓN ASIGNATURAS'!Y292="","",'ASIGNACIÓN ASIGNATURAS'!Y292)</f>
        <v/>
      </c>
      <c r="Q292" s="244" t="str">
        <f>IF('ASIGNACIÓN ASIGNATURAS'!Z292="","",'ASIGNACIÓN ASIGNATURAS'!Z292)</f>
        <v/>
      </c>
      <c r="R292" s="244" t="str">
        <f>IF('ASIGNACIÓN ASIGNATURAS'!AA292="","",'ASIGNACIÓN ASIGNATURAS'!AA292)</f>
        <v/>
      </c>
      <c r="S292" s="244" t="str">
        <f>IF('ASIGNACIÓN ASIGNATURAS'!AB292="","",'ASIGNACIÓN ASIGNATURAS'!AB292)</f>
        <v/>
      </c>
    </row>
    <row r="293" spans="1:19" x14ac:dyDescent="0.3">
      <c r="A293" s="290" t="str">
        <f>IF('ASIGNACIÓN ASIGNATURAS'!J293="","",'ASIGNACIÓN ASIGNATURAS'!J293)</f>
        <v/>
      </c>
      <c r="B293" s="290" t="str">
        <f>IF('ASIGNACIÓN ASIGNATURAS'!K293="","",'ASIGNACIÓN ASIGNATURAS'!K293)</f>
        <v/>
      </c>
      <c r="C293" s="290" t="str">
        <f>IF('ASIGNACIÓN ASIGNATURAS'!L293="","",'ASIGNACIÓN ASIGNATURAS'!L293)</f>
        <v/>
      </c>
      <c r="D293" s="290" t="str">
        <f>IF('ASIGNACIÓN ASIGNATURAS'!M293="","",'ASIGNACIÓN ASIGNATURAS'!M293)</f>
        <v/>
      </c>
      <c r="E293" s="290" t="str">
        <f>IF('ASIGNACIÓN ASIGNATURAS'!N293="","",'ASIGNACIÓN ASIGNATURAS'!N293)</f>
        <v/>
      </c>
      <c r="F293" s="290" t="str">
        <f>IF('ASIGNACIÓN ASIGNATURAS'!O293="","",'ASIGNACIÓN ASIGNATURAS'!O293)</f>
        <v/>
      </c>
      <c r="G293" s="290" t="str">
        <f>IF('ASIGNACIÓN ASIGNATURAS'!P293="","",'ASIGNACIÓN ASIGNATURAS'!P293)</f>
        <v/>
      </c>
      <c r="H293" s="290" t="str">
        <f>IF('ASIGNACIÓN ASIGNATURAS'!T293="","",'ASIGNACIÓN ASIGNATURAS'!T293)</f>
        <v/>
      </c>
      <c r="I293" s="290" t="str">
        <f>IF('ASIGNACIÓN ASIGNATURAS'!U293="","",'ASIGNACIÓN ASIGNATURAS'!U293)</f>
        <v/>
      </c>
      <c r="J293" s="290" t="str">
        <f>IF('ASIGNACIÓN ASIGNATURAS'!V293="","",'ASIGNACIÓN ASIGNATURAS'!V293)</f>
        <v/>
      </c>
      <c r="K293" s="301" t="str">
        <f>IF('ASIGNACIÓN ASIGNATURAS'!S293="","",'ASIGNACIÓN ASIGNATURAS'!S293)</f>
        <v/>
      </c>
      <c r="L293" s="244" t="str">
        <f>IF('ASIGNACIÓN ASIGNATURAS'!Q293="","",'ASIGNACIÓN ASIGNATURAS'!Q293)</f>
        <v/>
      </c>
      <c r="M293" s="244" t="str">
        <f>IF('ASIGNACIÓN ASIGNATURAS'!R293="","",'ASIGNACIÓN ASIGNATURAS'!R293)</f>
        <v/>
      </c>
      <c r="N293" s="244" t="str">
        <f>IF('ASIGNACIÓN ASIGNATURAS'!W293="","",'ASIGNACIÓN ASIGNATURAS'!W293)</f>
        <v/>
      </c>
      <c r="O293" s="244" t="str">
        <f>IF('ASIGNACIÓN ASIGNATURAS'!X293="","",'ASIGNACIÓN ASIGNATURAS'!X293)</f>
        <v/>
      </c>
      <c r="P293" s="244" t="str">
        <f>IF('ASIGNACIÓN ASIGNATURAS'!Y293="","",'ASIGNACIÓN ASIGNATURAS'!Y293)</f>
        <v/>
      </c>
      <c r="Q293" s="244" t="str">
        <f>IF('ASIGNACIÓN ASIGNATURAS'!Z293="","",'ASIGNACIÓN ASIGNATURAS'!Z293)</f>
        <v/>
      </c>
      <c r="R293" s="244" t="str">
        <f>IF('ASIGNACIÓN ASIGNATURAS'!AA293="","",'ASIGNACIÓN ASIGNATURAS'!AA293)</f>
        <v/>
      </c>
      <c r="S293" s="244" t="str">
        <f>IF('ASIGNACIÓN ASIGNATURAS'!AB293="","",'ASIGNACIÓN ASIGNATURAS'!AB293)</f>
        <v/>
      </c>
    </row>
    <row r="294" spans="1:19" x14ac:dyDescent="0.3">
      <c r="A294" s="290" t="str">
        <f>IF('ASIGNACIÓN ASIGNATURAS'!J294="","",'ASIGNACIÓN ASIGNATURAS'!J294)</f>
        <v/>
      </c>
      <c r="B294" s="290" t="str">
        <f>IF('ASIGNACIÓN ASIGNATURAS'!K294="","",'ASIGNACIÓN ASIGNATURAS'!K294)</f>
        <v/>
      </c>
      <c r="C294" s="290" t="str">
        <f>IF('ASIGNACIÓN ASIGNATURAS'!L294="","",'ASIGNACIÓN ASIGNATURAS'!L294)</f>
        <v/>
      </c>
      <c r="D294" s="290" t="str">
        <f>IF('ASIGNACIÓN ASIGNATURAS'!M294="","",'ASIGNACIÓN ASIGNATURAS'!M294)</f>
        <v/>
      </c>
      <c r="E294" s="290" t="str">
        <f>IF('ASIGNACIÓN ASIGNATURAS'!N294="","",'ASIGNACIÓN ASIGNATURAS'!N294)</f>
        <v/>
      </c>
      <c r="F294" s="290" t="str">
        <f>IF('ASIGNACIÓN ASIGNATURAS'!O294="","",'ASIGNACIÓN ASIGNATURAS'!O294)</f>
        <v/>
      </c>
      <c r="G294" s="290" t="str">
        <f>IF('ASIGNACIÓN ASIGNATURAS'!P294="","",'ASIGNACIÓN ASIGNATURAS'!P294)</f>
        <v/>
      </c>
      <c r="H294" s="290" t="str">
        <f>IF('ASIGNACIÓN ASIGNATURAS'!T294="","",'ASIGNACIÓN ASIGNATURAS'!T294)</f>
        <v/>
      </c>
      <c r="I294" s="290" t="str">
        <f>IF('ASIGNACIÓN ASIGNATURAS'!U294="","",'ASIGNACIÓN ASIGNATURAS'!U294)</f>
        <v/>
      </c>
      <c r="J294" s="290" t="str">
        <f>IF('ASIGNACIÓN ASIGNATURAS'!V294="","",'ASIGNACIÓN ASIGNATURAS'!V294)</f>
        <v/>
      </c>
      <c r="K294" s="301" t="str">
        <f>IF('ASIGNACIÓN ASIGNATURAS'!S294="","",'ASIGNACIÓN ASIGNATURAS'!S294)</f>
        <v/>
      </c>
      <c r="L294" s="244" t="str">
        <f>IF('ASIGNACIÓN ASIGNATURAS'!Q294="","",'ASIGNACIÓN ASIGNATURAS'!Q294)</f>
        <v/>
      </c>
      <c r="M294" s="244" t="str">
        <f>IF('ASIGNACIÓN ASIGNATURAS'!R294="","",'ASIGNACIÓN ASIGNATURAS'!R294)</f>
        <v/>
      </c>
      <c r="N294" s="244" t="str">
        <f>IF('ASIGNACIÓN ASIGNATURAS'!W294="","",'ASIGNACIÓN ASIGNATURAS'!W294)</f>
        <v/>
      </c>
      <c r="O294" s="244" t="str">
        <f>IF('ASIGNACIÓN ASIGNATURAS'!X294="","",'ASIGNACIÓN ASIGNATURAS'!X294)</f>
        <v/>
      </c>
      <c r="P294" s="244" t="str">
        <f>IF('ASIGNACIÓN ASIGNATURAS'!Y294="","",'ASIGNACIÓN ASIGNATURAS'!Y294)</f>
        <v/>
      </c>
      <c r="Q294" s="244" t="str">
        <f>IF('ASIGNACIÓN ASIGNATURAS'!Z294="","",'ASIGNACIÓN ASIGNATURAS'!Z294)</f>
        <v/>
      </c>
      <c r="R294" s="244" t="str">
        <f>IF('ASIGNACIÓN ASIGNATURAS'!AA294="","",'ASIGNACIÓN ASIGNATURAS'!AA294)</f>
        <v/>
      </c>
      <c r="S294" s="244" t="str">
        <f>IF('ASIGNACIÓN ASIGNATURAS'!AB294="","",'ASIGNACIÓN ASIGNATURAS'!AB294)</f>
        <v/>
      </c>
    </row>
    <row r="295" spans="1:19" x14ac:dyDescent="0.3">
      <c r="A295" s="290" t="str">
        <f>IF('ASIGNACIÓN ASIGNATURAS'!J295="","",'ASIGNACIÓN ASIGNATURAS'!J295)</f>
        <v/>
      </c>
      <c r="B295" s="290" t="str">
        <f>IF('ASIGNACIÓN ASIGNATURAS'!K295="","",'ASIGNACIÓN ASIGNATURAS'!K295)</f>
        <v/>
      </c>
      <c r="C295" s="290" t="str">
        <f>IF('ASIGNACIÓN ASIGNATURAS'!L295="","",'ASIGNACIÓN ASIGNATURAS'!L295)</f>
        <v/>
      </c>
      <c r="D295" s="290" t="str">
        <f>IF('ASIGNACIÓN ASIGNATURAS'!M295="","",'ASIGNACIÓN ASIGNATURAS'!M295)</f>
        <v/>
      </c>
      <c r="E295" s="290" t="str">
        <f>IF('ASIGNACIÓN ASIGNATURAS'!N295="","",'ASIGNACIÓN ASIGNATURAS'!N295)</f>
        <v/>
      </c>
      <c r="F295" s="290" t="str">
        <f>IF('ASIGNACIÓN ASIGNATURAS'!O295="","",'ASIGNACIÓN ASIGNATURAS'!O295)</f>
        <v/>
      </c>
      <c r="G295" s="290" t="str">
        <f>IF('ASIGNACIÓN ASIGNATURAS'!P295="","",'ASIGNACIÓN ASIGNATURAS'!P295)</f>
        <v/>
      </c>
      <c r="H295" s="290" t="str">
        <f>IF('ASIGNACIÓN ASIGNATURAS'!T295="","",'ASIGNACIÓN ASIGNATURAS'!T295)</f>
        <v/>
      </c>
      <c r="I295" s="290" t="str">
        <f>IF('ASIGNACIÓN ASIGNATURAS'!U295="","",'ASIGNACIÓN ASIGNATURAS'!U295)</f>
        <v/>
      </c>
      <c r="J295" s="290" t="str">
        <f>IF('ASIGNACIÓN ASIGNATURAS'!V295="","",'ASIGNACIÓN ASIGNATURAS'!V295)</f>
        <v/>
      </c>
      <c r="K295" s="301" t="str">
        <f>IF('ASIGNACIÓN ASIGNATURAS'!S295="","",'ASIGNACIÓN ASIGNATURAS'!S295)</f>
        <v/>
      </c>
      <c r="L295" s="244" t="str">
        <f>IF('ASIGNACIÓN ASIGNATURAS'!Q295="","",'ASIGNACIÓN ASIGNATURAS'!Q295)</f>
        <v/>
      </c>
      <c r="M295" s="244" t="str">
        <f>IF('ASIGNACIÓN ASIGNATURAS'!R295="","",'ASIGNACIÓN ASIGNATURAS'!R295)</f>
        <v/>
      </c>
      <c r="N295" s="244" t="str">
        <f>IF('ASIGNACIÓN ASIGNATURAS'!W295="","",'ASIGNACIÓN ASIGNATURAS'!W295)</f>
        <v/>
      </c>
      <c r="O295" s="244" t="str">
        <f>IF('ASIGNACIÓN ASIGNATURAS'!X295="","",'ASIGNACIÓN ASIGNATURAS'!X295)</f>
        <v/>
      </c>
      <c r="P295" s="244" t="str">
        <f>IF('ASIGNACIÓN ASIGNATURAS'!Y295="","",'ASIGNACIÓN ASIGNATURAS'!Y295)</f>
        <v/>
      </c>
      <c r="Q295" s="244" t="str">
        <f>IF('ASIGNACIÓN ASIGNATURAS'!Z295="","",'ASIGNACIÓN ASIGNATURAS'!Z295)</f>
        <v/>
      </c>
      <c r="R295" s="244" t="str">
        <f>IF('ASIGNACIÓN ASIGNATURAS'!AA295="","",'ASIGNACIÓN ASIGNATURAS'!AA295)</f>
        <v/>
      </c>
      <c r="S295" s="244" t="str">
        <f>IF('ASIGNACIÓN ASIGNATURAS'!AB295="","",'ASIGNACIÓN ASIGNATURAS'!AB295)</f>
        <v/>
      </c>
    </row>
    <row r="296" spans="1:19" x14ac:dyDescent="0.3">
      <c r="A296" s="290" t="str">
        <f>IF('ASIGNACIÓN ASIGNATURAS'!J296="","",'ASIGNACIÓN ASIGNATURAS'!J296)</f>
        <v/>
      </c>
      <c r="B296" s="290" t="str">
        <f>IF('ASIGNACIÓN ASIGNATURAS'!K296="","",'ASIGNACIÓN ASIGNATURAS'!K296)</f>
        <v/>
      </c>
      <c r="C296" s="290" t="str">
        <f>IF('ASIGNACIÓN ASIGNATURAS'!L296="","",'ASIGNACIÓN ASIGNATURAS'!L296)</f>
        <v/>
      </c>
      <c r="D296" s="290" t="str">
        <f>IF('ASIGNACIÓN ASIGNATURAS'!M296="","",'ASIGNACIÓN ASIGNATURAS'!M296)</f>
        <v/>
      </c>
      <c r="E296" s="290" t="str">
        <f>IF('ASIGNACIÓN ASIGNATURAS'!N296="","",'ASIGNACIÓN ASIGNATURAS'!N296)</f>
        <v/>
      </c>
      <c r="F296" s="290" t="str">
        <f>IF('ASIGNACIÓN ASIGNATURAS'!O296="","",'ASIGNACIÓN ASIGNATURAS'!O296)</f>
        <v/>
      </c>
      <c r="G296" s="290" t="str">
        <f>IF('ASIGNACIÓN ASIGNATURAS'!P296="","",'ASIGNACIÓN ASIGNATURAS'!P296)</f>
        <v/>
      </c>
      <c r="H296" s="290" t="str">
        <f>IF('ASIGNACIÓN ASIGNATURAS'!T296="","",'ASIGNACIÓN ASIGNATURAS'!T296)</f>
        <v/>
      </c>
      <c r="I296" s="290" t="str">
        <f>IF('ASIGNACIÓN ASIGNATURAS'!U296="","",'ASIGNACIÓN ASIGNATURAS'!U296)</f>
        <v/>
      </c>
      <c r="J296" s="290" t="str">
        <f>IF('ASIGNACIÓN ASIGNATURAS'!V296="","",'ASIGNACIÓN ASIGNATURAS'!V296)</f>
        <v/>
      </c>
      <c r="K296" s="301" t="str">
        <f>IF('ASIGNACIÓN ASIGNATURAS'!S296="","",'ASIGNACIÓN ASIGNATURAS'!S296)</f>
        <v/>
      </c>
      <c r="L296" s="244" t="str">
        <f>IF('ASIGNACIÓN ASIGNATURAS'!Q296="","",'ASIGNACIÓN ASIGNATURAS'!Q296)</f>
        <v/>
      </c>
      <c r="M296" s="244" t="str">
        <f>IF('ASIGNACIÓN ASIGNATURAS'!R296="","",'ASIGNACIÓN ASIGNATURAS'!R296)</f>
        <v/>
      </c>
      <c r="N296" s="244" t="str">
        <f>IF('ASIGNACIÓN ASIGNATURAS'!W296="","",'ASIGNACIÓN ASIGNATURAS'!W296)</f>
        <v/>
      </c>
      <c r="O296" s="244" t="str">
        <f>IF('ASIGNACIÓN ASIGNATURAS'!X296="","",'ASIGNACIÓN ASIGNATURAS'!X296)</f>
        <v/>
      </c>
      <c r="P296" s="244" t="str">
        <f>IF('ASIGNACIÓN ASIGNATURAS'!Y296="","",'ASIGNACIÓN ASIGNATURAS'!Y296)</f>
        <v/>
      </c>
      <c r="Q296" s="244" t="str">
        <f>IF('ASIGNACIÓN ASIGNATURAS'!Z296="","",'ASIGNACIÓN ASIGNATURAS'!Z296)</f>
        <v/>
      </c>
      <c r="R296" s="244" t="str">
        <f>IF('ASIGNACIÓN ASIGNATURAS'!AA296="","",'ASIGNACIÓN ASIGNATURAS'!AA296)</f>
        <v/>
      </c>
      <c r="S296" s="244" t="str">
        <f>IF('ASIGNACIÓN ASIGNATURAS'!AB296="","",'ASIGNACIÓN ASIGNATURAS'!AB296)</f>
        <v/>
      </c>
    </row>
    <row r="297" spans="1:19" x14ac:dyDescent="0.3">
      <c r="A297" s="290" t="str">
        <f>IF('ASIGNACIÓN ASIGNATURAS'!J297="","",'ASIGNACIÓN ASIGNATURAS'!J297)</f>
        <v/>
      </c>
      <c r="B297" s="290" t="str">
        <f>IF('ASIGNACIÓN ASIGNATURAS'!K297="","",'ASIGNACIÓN ASIGNATURAS'!K297)</f>
        <v/>
      </c>
      <c r="C297" s="290" t="str">
        <f>IF('ASIGNACIÓN ASIGNATURAS'!L297="","",'ASIGNACIÓN ASIGNATURAS'!L297)</f>
        <v/>
      </c>
      <c r="D297" s="290" t="str">
        <f>IF('ASIGNACIÓN ASIGNATURAS'!M297="","",'ASIGNACIÓN ASIGNATURAS'!M297)</f>
        <v/>
      </c>
      <c r="E297" s="290" t="str">
        <f>IF('ASIGNACIÓN ASIGNATURAS'!N297="","",'ASIGNACIÓN ASIGNATURAS'!N297)</f>
        <v/>
      </c>
      <c r="F297" s="290" t="str">
        <f>IF('ASIGNACIÓN ASIGNATURAS'!O297="","",'ASIGNACIÓN ASIGNATURAS'!O297)</f>
        <v/>
      </c>
      <c r="G297" s="290" t="str">
        <f>IF('ASIGNACIÓN ASIGNATURAS'!P297="","",'ASIGNACIÓN ASIGNATURAS'!P297)</f>
        <v/>
      </c>
      <c r="H297" s="290" t="str">
        <f>IF('ASIGNACIÓN ASIGNATURAS'!T297="","",'ASIGNACIÓN ASIGNATURAS'!T297)</f>
        <v/>
      </c>
      <c r="I297" s="290" t="str">
        <f>IF('ASIGNACIÓN ASIGNATURAS'!U297="","",'ASIGNACIÓN ASIGNATURAS'!U297)</f>
        <v/>
      </c>
      <c r="J297" s="290" t="str">
        <f>IF('ASIGNACIÓN ASIGNATURAS'!V297="","",'ASIGNACIÓN ASIGNATURAS'!V297)</f>
        <v/>
      </c>
      <c r="K297" s="301" t="str">
        <f>IF('ASIGNACIÓN ASIGNATURAS'!S297="","",'ASIGNACIÓN ASIGNATURAS'!S297)</f>
        <v/>
      </c>
      <c r="L297" s="244" t="str">
        <f>IF('ASIGNACIÓN ASIGNATURAS'!Q297="","",'ASIGNACIÓN ASIGNATURAS'!Q297)</f>
        <v/>
      </c>
      <c r="M297" s="244" t="str">
        <f>IF('ASIGNACIÓN ASIGNATURAS'!R297="","",'ASIGNACIÓN ASIGNATURAS'!R297)</f>
        <v/>
      </c>
      <c r="N297" s="244" t="str">
        <f>IF('ASIGNACIÓN ASIGNATURAS'!W297="","",'ASIGNACIÓN ASIGNATURAS'!W297)</f>
        <v/>
      </c>
      <c r="O297" s="244" t="str">
        <f>IF('ASIGNACIÓN ASIGNATURAS'!X297="","",'ASIGNACIÓN ASIGNATURAS'!X297)</f>
        <v/>
      </c>
      <c r="P297" s="244" t="str">
        <f>IF('ASIGNACIÓN ASIGNATURAS'!Y297="","",'ASIGNACIÓN ASIGNATURAS'!Y297)</f>
        <v/>
      </c>
      <c r="Q297" s="244" t="str">
        <f>IF('ASIGNACIÓN ASIGNATURAS'!Z297="","",'ASIGNACIÓN ASIGNATURAS'!Z297)</f>
        <v/>
      </c>
      <c r="R297" s="244" t="str">
        <f>IF('ASIGNACIÓN ASIGNATURAS'!AA297="","",'ASIGNACIÓN ASIGNATURAS'!AA297)</f>
        <v/>
      </c>
      <c r="S297" s="244" t="str">
        <f>IF('ASIGNACIÓN ASIGNATURAS'!AB297="","",'ASIGNACIÓN ASIGNATURAS'!AB297)</f>
        <v/>
      </c>
    </row>
    <row r="298" spans="1:19" x14ac:dyDescent="0.3">
      <c r="A298" s="290" t="str">
        <f>IF('ASIGNACIÓN ASIGNATURAS'!J298="","",'ASIGNACIÓN ASIGNATURAS'!J298)</f>
        <v/>
      </c>
      <c r="B298" s="290" t="str">
        <f>IF('ASIGNACIÓN ASIGNATURAS'!K298="","",'ASIGNACIÓN ASIGNATURAS'!K298)</f>
        <v/>
      </c>
      <c r="C298" s="290" t="str">
        <f>IF('ASIGNACIÓN ASIGNATURAS'!L298="","",'ASIGNACIÓN ASIGNATURAS'!L298)</f>
        <v/>
      </c>
      <c r="D298" s="290" t="str">
        <f>IF('ASIGNACIÓN ASIGNATURAS'!M298="","",'ASIGNACIÓN ASIGNATURAS'!M298)</f>
        <v/>
      </c>
      <c r="E298" s="290" t="str">
        <f>IF('ASIGNACIÓN ASIGNATURAS'!N298="","",'ASIGNACIÓN ASIGNATURAS'!N298)</f>
        <v/>
      </c>
      <c r="F298" s="290" t="str">
        <f>IF('ASIGNACIÓN ASIGNATURAS'!O298="","",'ASIGNACIÓN ASIGNATURAS'!O298)</f>
        <v/>
      </c>
      <c r="G298" s="290" t="str">
        <f>IF('ASIGNACIÓN ASIGNATURAS'!P298="","",'ASIGNACIÓN ASIGNATURAS'!P298)</f>
        <v/>
      </c>
      <c r="H298" s="290" t="str">
        <f>IF('ASIGNACIÓN ASIGNATURAS'!T298="","",'ASIGNACIÓN ASIGNATURAS'!T298)</f>
        <v/>
      </c>
      <c r="I298" s="290" t="str">
        <f>IF('ASIGNACIÓN ASIGNATURAS'!U298="","",'ASIGNACIÓN ASIGNATURAS'!U298)</f>
        <v/>
      </c>
      <c r="J298" s="290" t="str">
        <f>IF('ASIGNACIÓN ASIGNATURAS'!V298="","",'ASIGNACIÓN ASIGNATURAS'!V298)</f>
        <v/>
      </c>
      <c r="K298" s="301" t="str">
        <f>IF('ASIGNACIÓN ASIGNATURAS'!S298="","",'ASIGNACIÓN ASIGNATURAS'!S298)</f>
        <v/>
      </c>
      <c r="L298" s="244" t="str">
        <f>IF('ASIGNACIÓN ASIGNATURAS'!Q298="","",'ASIGNACIÓN ASIGNATURAS'!Q298)</f>
        <v/>
      </c>
      <c r="M298" s="244" t="str">
        <f>IF('ASIGNACIÓN ASIGNATURAS'!R298="","",'ASIGNACIÓN ASIGNATURAS'!R298)</f>
        <v/>
      </c>
      <c r="N298" s="244" t="str">
        <f>IF('ASIGNACIÓN ASIGNATURAS'!W298="","",'ASIGNACIÓN ASIGNATURAS'!W298)</f>
        <v/>
      </c>
      <c r="O298" s="244" t="str">
        <f>IF('ASIGNACIÓN ASIGNATURAS'!X298="","",'ASIGNACIÓN ASIGNATURAS'!X298)</f>
        <v/>
      </c>
      <c r="P298" s="244" t="str">
        <f>IF('ASIGNACIÓN ASIGNATURAS'!Y298="","",'ASIGNACIÓN ASIGNATURAS'!Y298)</f>
        <v/>
      </c>
      <c r="Q298" s="244" t="str">
        <f>IF('ASIGNACIÓN ASIGNATURAS'!Z298="","",'ASIGNACIÓN ASIGNATURAS'!Z298)</f>
        <v/>
      </c>
      <c r="R298" s="244" t="str">
        <f>IF('ASIGNACIÓN ASIGNATURAS'!AA298="","",'ASIGNACIÓN ASIGNATURAS'!AA298)</f>
        <v/>
      </c>
      <c r="S298" s="244" t="str">
        <f>IF('ASIGNACIÓN ASIGNATURAS'!AB298="","",'ASIGNACIÓN ASIGNATURAS'!AB298)</f>
        <v/>
      </c>
    </row>
    <row r="299" spans="1:19" x14ac:dyDescent="0.3">
      <c r="A299" s="290" t="str">
        <f>IF('ASIGNACIÓN ASIGNATURAS'!J299="","",'ASIGNACIÓN ASIGNATURAS'!J299)</f>
        <v/>
      </c>
      <c r="B299" s="290" t="str">
        <f>IF('ASIGNACIÓN ASIGNATURAS'!K299="","",'ASIGNACIÓN ASIGNATURAS'!K299)</f>
        <v/>
      </c>
      <c r="C299" s="290" t="str">
        <f>IF('ASIGNACIÓN ASIGNATURAS'!L299="","",'ASIGNACIÓN ASIGNATURAS'!L299)</f>
        <v/>
      </c>
      <c r="D299" s="290" t="str">
        <f>IF('ASIGNACIÓN ASIGNATURAS'!M299="","",'ASIGNACIÓN ASIGNATURAS'!M299)</f>
        <v/>
      </c>
      <c r="E299" s="290" t="str">
        <f>IF('ASIGNACIÓN ASIGNATURAS'!N299="","",'ASIGNACIÓN ASIGNATURAS'!N299)</f>
        <v/>
      </c>
      <c r="F299" s="290" t="str">
        <f>IF('ASIGNACIÓN ASIGNATURAS'!O299="","",'ASIGNACIÓN ASIGNATURAS'!O299)</f>
        <v/>
      </c>
      <c r="G299" s="290" t="str">
        <f>IF('ASIGNACIÓN ASIGNATURAS'!P299="","",'ASIGNACIÓN ASIGNATURAS'!P299)</f>
        <v/>
      </c>
      <c r="H299" s="290" t="str">
        <f>IF('ASIGNACIÓN ASIGNATURAS'!T299="","",'ASIGNACIÓN ASIGNATURAS'!T299)</f>
        <v/>
      </c>
      <c r="I299" s="290" t="str">
        <f>IF('ASIGNACIÓN ASIGNATURAS'!U299="","",'ASIGNACIÓN ASIGNATURAS'!U299)</f>
        <v/>
      </c>
      <c r="J299" s="290" t="str">
        <f>IF('ASIGNACIÓN ASIGNATURAS'!V299="","",'ASIGNACIÓN ASIGNATURAS'!V299)</f>
        <v/>
      </c>
      <c r="K299" s="301" t="str">
        <f>IF('ASIGNACIÓN ASIGNATURAS'!S299="","",'ASIGNACIÓN ASIGNATURAS'!S299)</f>
        <v/>
      </c>
      <c r="L299" s="244" t="str">
        <f>IF('ASIGNACIÓN ASIGNATURAS'!Q299="","",'ASIGNACIÓN ASIGNATURAS'!Q299)</f>
        <v/>
      </c>
      <c r="M299" s="244" t="str">
        <f>IF('ASIGNACIÓN ASIGNATURAS'!R299="","",'ASIGNACIÓN ASIGNATURAS'!R299)</f>
        <v/>
      </c>
      <c r="N299" s="244" t="str">
        <f>IF('ASIGNACIÓN ASIGNATURAS'!W299="","",'ASIGNACIÓN ASIGNATURAS'!W299)</f>
        <v/>
      </c>
      <c r="O299" s="244" t="str">
        <f>IF('ASIGNACIÓN ASIGNATURAS'!X299="","",'ASIGNACIÓN ASIGNATURAS'!X299)</f>
        <v/>
      </c>
      <c r="P299" s="244" t="str">
        <f>IF('ASIGNACIÓN ASIGNATURAS'!Y299="","",'ASIGNACIÓN ASIGNATURAS'!Y299)</f>
        <v/>
      </c>
      <c r="Q299" s="244" t="str">
        <f>IF('ASIGNACIÓN ASIGNATURAS'!Z299="","",'ASIGNACIÓN ASIGNATURAS'!Z299)</f>
        <v/>
      </c>
      <c r="R299" s="244" t="str">
        <f>IF('ASIGNACIÓN ASIGNATURAS'!AA299="","",'ASIGNACIÓN ASIGNATURAS'!AA299)</f>
        <v/>
      </c>
      <c r="S299" s="244" t="str">
        <f>IF('ASIGNACIÓN ASIGNATURAS'!AB299="","",'ASIGNACIÓN ASIGNATURAS'!AB299)</f>
        <v/>
      </c>
    </row>
    <row r="300" spans="1:19" x14ac:dyDescent="0.3">
      <c r="A300" s="290" t="str">
        <f>IF('ASIGNACIÓN ASIGNATURAS'!J300="","",'ASIGNACIÓN ASIGNATURAS'!J300)</f>
        <v/>
      </c>
      <c r="B300" s="290" t="str">
        <f>IF('ASIGNACIÓN ASIGNATURAS'!K300="","",'ASIGNACIÓN ASIGNATURAS'!K300)</f>
        <v/>
      </c>
      <c r="C300" s="290" t="str">
        <f>IF('ASIGNACIÓN ASIGNATURAS'!L300="","",'ASIGNACIÓN ASIGNATURAS'!L300)</f>
        <v/>
      </c>
      <c r="D300" s="290" t="str">
        <f>IF('ASIGNACIÓN ASIGNATURAS'!M300="","",'ASIGNACIÓN ASIGNATURAS'!M300)</f>
        <v/>
      </c>
      <c r="E300" s="290" t="str">
        <f>IF('ASIGNACIÓN ASIGNATURAS'!N300="","",'ASIGNACIÓN ASIGNATURAS'!N300)</f>
        <v/>
      </c>
      <c r="F300" s="290" t="str">
        <f>IF('ASIGNACIÓN ASIGNATURAS'!O300="","",'ASIGNACIÓN ASIGNATURAS'!O300)</f>
        <v/>
      </c>
      <c r="G300" s="290" t="str">
        <f>IF('ASIGNACIÓN ASIGNATURAS'!P300="","",'ASIGNACIÓN ASIGNATURAS'!P300)</f>
        <v/>
      </c>
      <c r="H300" s="290" t="str">
        <f>IF('ASIGNACIÓN ASIGNATURAS'!T300="","",'ASIGNACIÓN ASIGNATURAS'!T300)</f>
        <v/>
      </c>
      <c r="I300" s="290" t="str">
        <f>IF('ASIGNACIÓN ASIGNATURAS'!U300="","",'ASIGNACIÓN ASIGNATURAS'!U300)</f>
        <v/>
      </c>
      <c r="J300" s="290" t="str">
        <f>IF('ASIGNACIÓN ASIGNATURAS'!V300="","",'ASIGNACIÓN ASIGNATURAS'!V300)</f>
        <v/>
      </c>
      <c r="K300" s="301" t="str">
        <f>IF('ASIGNACIÓN ASIGNATURAS'!S300="","",'ASIGNACIÓN ASIGNATURAS'!S300)</f>
        <v/>
      </c>
      <c r="L300" s="244" t="str">
        <f>IF('ASIGNACIÓN ASIGNATURAS'!Q300="","",'ASIGNACIÓN ASIGNATURAS'!Q300)</f>
        <v/>
      </c>
      <c r="M300" s="244" t="str">
        <f>IF('ASIGNACIÓN ASIGNATURAS'!R300="","",'ASIGNACIÓN ASIGNATURAS'!R300)</f>
        <v/>
      </c>
      <c r="N300" s="244" t="str">
        <f>IF('ASIGNACIÓN ASIGNATURAS'!W300="","",'ASIGNACIÓN ASIGNATURAS'!W300)</f>
        <v/>
      </c>
      <c r="O300" s="244" t="str">
        <f>IF('ASIGNACIÓN ASIGNATURAS'!X300="","",'ASIGNACIÓN ASIGNATURAS'!X300)</f>
        <v/>
      </c>
      <c r="P300" s="244" t="str">
        <f>IF('ASIGNACIÓN ASIGNATURAS'!Y300="","",'ASIGNACIÓN ASIGNATURAS'!Y300)</f>
        <v/>
      </c>
      <c r="Q300" s="244" t="str">
        <f>IF('ASIGNACIÓN ASIGNATURAS'!Z300="","",'ASIGNACIÓN ASIGNATURAS'!Z300)</f>
        <v/>
      </c>
      <c r="R300" s="244" t="str">
        <f>IF('ASIGNACIÓN ASIGNATURAS'!AA300="","",'ASIGNACIÓN ASIGNATURAS'!AA300)</f>
        <v/>
      </c>
      <c r="S300" s="244" t="str">
        <f>IF('ASIGNACIÓN ASIGNATURAS'!AB300="","",'ASIGNACIÓN ASIGNATURAS'!AB300)</f>
        <v/>
      </c>
    </row>
    <row r="301" spans="1:19" hidden="1" x14ac:dyDescent="0.3">
      <c r="A301" s="302"/>
      <c r="B301" s="302"/>
      <c r="C301" s="302"/>
      <c r="D301" s="302"/>
      <c r="E301" s="302"/>
      <c r="F301" s="302"/>
      <c r="G301" s="302"/>
      <c r="H301" s="302"/>
      <c r="I301" s="302"/>
      <c r="J301" s="302"/>
      <c r="K301" s="302"/>
      <c r="L301" s="302"/>
      <c r="M301" s="302"/>
      <c r="N301" s="302"/>
      <c r="O301" s="302"/>
      <c r="P301" s="302"/>
      <c r="Q301" s="302"/>
      <c r="R301" s="302"/>
      <c r="S301" s="302"/>
    </row>
  </sheetData>
  <autoFilter ref="A1:S300" xr:uid="{0505848A-C29E-43FB-8F9A-E7CBA86711DB}">
    <sortState xmlns:xlrd2="http://schemas.microsoft.com/office/spreadsheetml/2017/richdata2" ref="A2:S300">
      <sortCondition ref="E1:E300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C61570E7E35E54791167A8FC10A4ED7" ma:contentTypeVersion="4" ma:contentTypeDescription="Crear nuevo documento." ma:contentTypeScope="" ma:versionID="479f8107a8d1c3ff57f5beff6d3deade">
  <xsd:schema xmlns:xsd="http://www.w3.org/2001/XMLSchema" xmlns:xs="http://www.w3.org/2001/XMLSchema" xmlns:p="http://schemas.microsoft.com/office/2006/metadata/properties" xmlns:ns2="7f960fea-8a37-47be-9d6f-c64a90728b0c" targetNamespace="http://schemas.microsoft.com/office/2006/metadata/properties" ma:root="true" ma:fieldsID="06b67ea7fbc0faee5ba7f87029a4f31a" ns2:_="">
    <xsd:import namespace="7f960fea-8a37-47be-9d6f-c64a90728b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60fea-8a37-47be-9d6f-c64a90728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5F9973-5431-4B64-A918-FDB6F1FFD5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0CC95F-20A6-45C0-8350-62047CE0CC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60fea-8a37-47be-9d6f-c64a90728b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69F1EEF-F1B3-4B17-8CDC-6854D197B33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MENU</vt:lpstr>
      <vt:lpstr>ASIGNACIÓN ASIGNATURAS</vt:lpstr>
      <vt:lpstr>PLANTILLA MALLA PREGRADO</vt:lpstr>
      <vt:lpstr>DATA</vt:lpstr>
      <vt:lpstr>MAPEO MALLA</vt:lpstr>
      <vt:lpstr>PLANTILLA MALLA POSGRADO</vt:lpstr>
      <vt:lpstr>MAPEO PLAN DE ESTUDIO</vt:lpstr>
      <vt:lpstr>PLAN DE ESTUDIO</vt:lpstr>
      <vt:lpstr>ASIGNATURAS</vt:lpstr>
      <vt:lpstr>ASIGNATURA</vt:lpstr>
      <vt:lpstr>COMPONENTES</vt:lpstr>
      <vt:lpstr>NIVEL</vt:lpstr>
      <vt:lpstr>SEMESTRE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CRISTIAN JOSE VERGARA ALFONSO</cp:lastModifiedBy>
  <cp:revision/>
  <dcterms:created xsi:type="dcterms:W3CDTF">2024-09-26T13:02:57Z</dcterms:created>
  <dcterms:modified xsi:type="dcterms:W3CDTF">2025-05-20T17:17:24Z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0x0101007C61570E7E35E54791167A8FC10A4ED7</vt:lpwstr>
  </property>
</Properties>
</file>